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hared_tiberiandawn" sheetId="2" state="visible" r:id="rId2"/>
    <sheet name="tiberiandawn_gdi" sheetId="3" state="visible" r:id="rId3"/>
    <sheet name="tiberiandawn_nod" sheetId="4" state="visible" r:id="rId4"/>
    <sheet name="shared_redalert" sheetId="5" state="visible" r:id="rId5"/>
    <sheet name="redalert_japan" sheetId="6" state="visible" r:id="rId6"/>
    <sheet name="redalert_soviets" sheetId="7" state="visible" r:id="rId7"/>
    <sheet name="redalert_allies" sheetId="8" state="visible" r:id="rId8"/>
    <sheet name="tiberiansun_cabal" sheetId="9" state="visible" r:id="rId9"/>
    <sheet name="tiberiansun_nod" sheetId="10" state="visible" r:id="rId10"/>
    <sheet name="tiberiansun_gdi" sheetId="11" state="visible" r:id="rId11"/>
    <sheet name="tiberiansun_forgotten" sheetId="12" state="visible" r:id="rId12"/>
    <sheet name="shared_redalert2" sheetId="13" state="visible" r:id="rId13"/>
    <sheet name="redalert2_allies" sheetId="14" state="visible" r:id="rId14"/>
    <sheet name="redalert2_soviets" sheetId="15" state="visible" r:id="rId15"/>
    <sheet name="redalert2_yuri" sheetId="16" state="visible" r:id="rId16"/>
    <sheet name="redalert2mod_asianalliance" sheetId="17" state="visible" r:id="rId17"/>
    <sheet name="redalert2mod_consortium" sheetId="18" state="visible" r:id="rId18"/>
    <sheet name="redalert2mod_syndicate" sheetId="19" state="visible" r:id="rId19"/>
    <sheet name="redalert2mod_naxis" sheetId="20" state="visible" r:id="rId20"/>
    <sheet name="redalert2mod_schwarzermond" sheetId="21" state="visible" r:id="rId21"/>
    <sheet name="redalert2mod_futuretech" sheetId="22" state="visible" r:id="rId22"/>
    <sheet name="redalert2mod_tkm" sheetId="23" state="visible" r:id="rId23"/>
    <sheet name="shared_d2k" sheetId="24" state="visible" r:id="rId24"/>
    <sheet name="d2k_ordos" sheetId="25" state="visible" r:id="rId25"/>
    <sheet name="d2k_ixian" sheetId="26" state="visible" r:id="rId26"/>
    <sheet name="d2k_atreides" sheetId="27" state="visible" r:id="rId27"/>
    <sheet name="d2k_harkonnen" sheetId="28" state="visible" r:id="rId28"/>
    <sheet name="starcraft_protoss" sheetId="29" state="visible" r:id="rId29"/>
    <sheet name="starcraft_zerg" sheetId="30" state="visible" r:id="rId30"/>
    <sheet name="starcraft_terran" sheetId="31" state="visible" r:id="rId31"/>
    <sheet name="warcraft2_orcs" sheetId="32" state="visible" r:id="rId32"/>
    <sheet name="warcraft2_human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!td_gdi_upgrade_armorpiercingbullets</t>
      </text>
    </comment>
    <comment ref="L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!td_gdi_upgrade_armorpiercingbullets</t>
      </text>
    </comment>
    <comment ref="L6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td_gdi_upgrade_armorpiercingbullets</t>
      </text>
    </comment>
    <comment ref="L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td_gdi_upgrade_armorpiercingbullets</t>
      </text>
    </comment>
    <comment ref="L9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!td_gdi_upgrade_advancedmissiletargeting</t>
      </text>
    </comment>
    <comment ref="L10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!td_gdi_upgrade_advancedmissiletargeting</t>
      </text>
    </comment>
    <comment ref="L11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td_gdi_upgrade_advancedmissiletargeting</t>
      </text>
    </comment>
    <comment ref="L12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td_gdi_upgrade_advancedmissiletargeting</t>
      </text>
    </comment>
    <comment ref="L16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!td_gdi_upgrade_armorpiercingbullets</t>
      </text>
    </comment>
    <comment ref="L17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!td_gdi_upgrade_armorpiercingbullets</t>
      </text>
    </comment>
    <comment ref="L18" authorId="0" shapeId="0">
      <text>
        <t>per-shot TOTAL across 2 main warhead(s).
raw warhead damages: 20000, 10, 1000,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td_gdi_upgrade_armorpiercingbullets</t>
      </text>
    </comment>
    <comment ref="L19" authorId="0" shapeId="0">
      <text>
        <t>per-shot TOTAL across 2 main warhead(s).
raw warhead damages: 20000, 10, 1000,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td_gdi_upgrade_armorpiercingbullets</t>
      </text>
    </comment>
    <comment ref="L21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2 main warhead(s).
raw warhead damages: 20000, 10000, 10,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1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3" authorId="0" shapeId="0">
      <text>
        <t>per-shot TOTAL across 2 main warhead(s).
raw warhead damages: 20000, 10000, 10,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!td_gdi_upgrade_armorpiercingbullets</t>
      </text>
    </comment>
    <comment ref="L4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!td_gdi_upgrade_armorpiercingbullets</t>
      </text>
    </comment>
    <comment ref="L4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td_gdi_upgrade_armorpiercingbullets</t>
      </text>
    </comment>
    <comment ref="L4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td_gdi_upgrade_armorpiercingbullets</t>
      </text>
    </comment>
    <comment ref="L45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!td_gdi_upgrade_armorpiercingbullets</t>
      </text>
    </comment>
    <comment ref="L46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!td_gdi_upgrade_armorpiercingbullets</t>
      </text>
    </comment>
    <comment ref="L4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td_gdi_upgrade_armorpiercingbullets</t>
      </text>
    </comment>
    <comment ref="L4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td_gdi_upgrade_armorpiercingbullets</t>
      </text>
    </comment>
    <comment ref="L50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!td_gdi_upgrade_advancedmissiletargeting</t>
      </text>
    </comment>
    <comment ref="L51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!td_gdi_upgrade_advancedmissiletargeting</t>
      </text>
    </comment>
    <comment ref="L52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td_gdi_upgrade_advancedmissiletargeting</t>
      </text>
    </comment>
    <comment ref="L53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td_gdi_upgrade_advancedmissiletargeting</t>
      </text>
    </comment>
    <comment ref="L5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5 main warhead(s).
raw warhead damages: 10000, 5, 10000, 5, 10000, 5000, 5, 10000, 5, 1000,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5 main warhead(s).
raw warhead damages: 10000, 5, 10000, 5, 10000, 5000, 5, 10000, 5, 1000,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5" authorId="0" shapeId="0">
      <text>
        <t>per-shot TOTAL across 5 main warhead(s).
raw warhead damages: 14000, 7, 14000, 7, 14000, 7, 14000, 7000,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!td_gdi_upgrade_armorpiercingbullets</t>
      </text>
    </comment>
    <comment ref="L6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!td_gdi_upgrade_armorpiercingbullets</t>
      </text>
    </comment>
    <comment ref="L6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td_gdi_upgrade_armorpiercingbullets</t>
      </text>
    </comment>
    <comment ref="L7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td_gdi_upgrade_armorpiercingbullets</t>
      </text>
    </comment>
    <comment ref="L7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!td_gdi_upgrade_highvelocitycannons</t>
      </text>
    </comment>
    <comment ref="L73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td_gdi_upgrade_highvelocitycannons</t>
      </text>
    </comment>
    <comment ref="L74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!td_gdi_upgrade_advancedmissiletargeting</t>
      </text>
    </comment>
    <comment ref="L7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td_gdi_upgrade_advancedmissiletargeting</t>
      </text>
    </comment>
    <comment ref="L7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td_gdi_upgrade_armorpiercingbullets</t>
      </text>
    </comment>
    <comment ref="L78" authorId="0" shapeId="0">
      <text>
        <t>per-shot TOTAL across 6 main warhead(s).
raw warhead damages: 2000, 1, 2000,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6 main warhead(s).
raw warhead damages: 2000, 1, 2000,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undeployed</t>
      </text>
    </comment>
    <comment ref="L82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deployed</t>
      </text>
    </comment>
    <comment ref="L8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undeployed</t>
      </text>
    </comment>
    <comment ref="L84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deployed</t>
      </text>
    </comment>
    <comment ref="L85" authorId="0" shapeId="0">
      <text>
        <t>per-shot TOTAL across 6 main warhead(s).
raw warhead damages: 4000, 2, 4000, 2, 4000, 1000,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undeployed</t>
      </text>
    </comment>
    <comment ref="L86" authorId="0" shapeId="0">
      <text>
        <t>per-shot TOTAL across 6 main warhead(s).
raw warhead damages: 4000, 2, 4000, 2, 4000, 1000,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deployed</t>
      </text>
    </comment>
    <comment ref="L87" authorId="0" shapeId="0">
      <text>
        <t>per-shot TOTAL across 1 main warhead(s).
raw warhead damages: 160000, 80,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deployed</t>
      </text>
    </comment>
    <comment ref="L88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!td_gdi_upgrade_advancedmissiletargeting &amp;&amp; deployed</t>
      </text>
    </comment>
    <comment ref="L89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td_gdi_upgrade_advancedmissiletargeting &amp;&amp; deployed</t>
      </text>
    </comment>
    <comment ref="L91" authorId="0" shapeId="0">
      <text>
        <t>per-shot TOTAL across 1 main warhead(s).
raw warhead damages: 20000, 10,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!td_gdi_upgrade_armorpiercingbullets</t>
      </text>
    </comment>
    <comment ref="L94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td_gdi_upgrade_armorpiercingbullets</t>
      </text>
    </comment>
    <comment ref="L9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!td_gdi_upgrade_armorpiercingbullets</t>
      </text>
    </comment>
    <comment ref="L9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td_gdi_upgrade_armorpiercingbullets</t>
      </text>
    </comment>
    <comment ref="L9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!td_gdi_upgrade_armorpiercingbullets</t>
      </text>
    </comment>
    <comment ref="L9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td_gdi_upgrade_armorpiercingbullets</t>
      </text>
    </comment>
    <comment ref="L100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!td_gdi_upgrade_advancedmissiletargeting</t>
      </text>
    </comment>
    <comment ref="L10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!td_gdi_upgrade_advancedmissiletargeting</t>
      </text>
    </comment>
    <comment ref="L102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td_gdi_upgrade_advancedmissiletargeting</t>
      </text>
    </comment>
    <comment ref="L103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td_gdi_upgrade_advancedmissiletargeting</t>
      </text>
    </comment>
    <comment ref="L10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!td_gdi_upgrade_highvelocitycannons</t>
      </text>
    </comment>
    <comment ref="L106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td_gdi_upgrade_highvelocitycannons</t>
      </text>
    </comment>
    <comment ref="L107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!td_gdi_upgrade_advancedmissiletargeting</t>
      </text>
    </comment>
    <comment ref="L108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td_gdi_upgrade_advancedmissiletargeting</t>
      </text>
    </comment>
    <comment ref="L110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!td_gdi_upgrade_highvelocitycannons</t>
      </text>
    </comment>
    <comment ref="L111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td_gdi_upgrade_highvelocitycannons</t>
      </text>
    </comment>
    <comment ref="L112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!td_gdi_upgrade_advancedmissiletargeting</t>
      </text>
    </comment>
    <comment ref="L113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td_gdi_upgrade_advancedmissiletargeting</t>
      </text>
    </comment>
    <comment ref="L115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5" authorId="0" shapeId="0">
      <text>
        <t>fires when: !td_gdi_upgrade_advancedmissiletargeting</t>
      </text>
    </comment>
    <comment ref="L116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td_gdi_upgrade_advancedmissiletargeting</t>
      </text>
    </comment>
    <comment ref="L119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!td_gdi_upgrade_highvelocitycannons</t>
      </text>
    </comment>
    <comment ref="L120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td_gdi_upgrade_highvelocitycannons</t>
      </text>
    </comment>
    <comment ref="L12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!td_gdi_upgrade_advancedmissiletargeting</t>
      </text>
    </comment>
    <comment ref="L12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td_gdi_upgrade_advancedmissiletargeting</t>
      </text>
    </comment>
    <comment ref="L123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td_gdi_upgrade_armorpiercingbullets</t>
      </text>
    </comment>
    <comment ref="L128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9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3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5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0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td_gdi_upgrade_cuttingedgeequipment</t>
      </text>
    </comment>
    <comment ref="L141" authorId="0" shapeId="0">
      <text>
        <t>per-shot TOTAL across 4 main warhead(s).
raw warhead damages: 10000, 5, 10000, 5, 10000, 5000,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3" authorId="0" shapeId="0">
      <text>
        <t>per-shot TOTAL across 6 main warhead(s).
raw warhead damages: 2000, 1,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!td_gdi_upgrade_advancedmissiletargeting</t>
      </text>
    </comment>
    <comment ref="L144" authorId="0" shapeId="0">
      <text>
        <t>per-shot TOTAL across 6 main warhead(s).
raw warhead damages: 2000, 1,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td_gdi_upgrade_advancedmissiletargeting</t>
      </text>
    </comment>
    <comment ref="L147" authorId="0" shapeId="0">
      <text>
        <t>per-shot TOTAL across 1 main warhead(s).
raw warhead damages: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8" authorId="0" shapeId="0">
      <text>
        <t>per-shot TOTAL across 1 main warhead(s).
raw warhead damages: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0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0" authorId="0" shapeId="0">
      <text>
        <t>fires when: !td_gdi_upgrade_advancedmissiletargeting</t>
      </text>
    </comment>
    <comment ref="L151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1" authorId="0" shapeId="0">
      <text>
        <t>fires when: td_gdi_upgrade_advancedmissiletargeting</t>
      </text>
    </comment>
    <comment ref="L152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3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1" authorId="0" shapeId="0">
      <text>
        <t>per-shot TOTAL across 7 main warhead(s).
raw warhead damages: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1" authorId="0" shapeId="0">
      <text>
        <t>fires when: !td_gdi_upgrade_advancedmissiletargeting</t>
      </text>
    </comment>
    <comment ref="L162" authorId="0" shapeId="0">
      <text>
        <t>per-shot TOTAL across 7 main warhead(s).
raw warhead damages: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2" authorId="0" shapeId="0">
      <text>
        <t>fires when: td_gdi_upgrade_advancedmissiletargeting</t>
      </text>
    </comment>
    <comment ref="L16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7" authorId="0" shapeId="0">
      <text>
        <t>fires when: !td_gdi_upgrade_armorpiercingbullets</t>
      </text>
    </comment>
    <comment ref="L16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8" authorId="0" shapeId="0">
      <text>
        <t>fires when: td_gdi_upgrade_armorpiercingbullets</t>
      </text>
    </comment>
    <comment ref="L17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3 main warhead(s).
raw warhead damages: 12000, 6000,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" authorId="0" shapeId="0">
      <text>
        <t>per-shot TOTAL across 3 main warhead(s).
raw warhead damages: 12000, 6000,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1 main warhead(s).
raw warhead damages: 2000, 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1 main warhead(s).
raw warhead damages: 2000, 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1 main warhead(s).
raw warhead damages: 2000, 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3 main warhead(s).
raw warhead damages: 48000, 4, 48000, 4, 48000, 4,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3 main warhead(s).
raw warhead damages: 48000, 4, 48000, 4, 48000, 4,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!td_nod_upgrade_blackmarketupgrades</t>
      </text>
    </comment>
    <comment ref="L3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!td_nod_upgrade_blackmarketupgrades</t>
      </text>
    </comment>
    <comment ref="L31" authorId="0" shapeId="0">
      <text>
        <t>per-shot TOTAL across 3 main warhead(s).
raw warhead damages: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td_nod_upgrade_blackmarketupgrades</t>
      </text>
    </comment>
    <comment ref="L32" authorId="0" shapeId="0">
      <text>
        <t>per-shot TOTAL across 3 main warhead(s).
raw warhead damages: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td_nod_upgrade_blackmarketupgrades</t>
      </text>
    </comment>
    <comment ref="L34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5 main warhead(s).
raw warhead damages: 4000, 2000, 2,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5 main warhead(s).
raw warhead damages: 4000, 2000, 2,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!td_nod_upgrade_blackmarketupgrades</t>
      </text>
    </comment>
    <comment ref="L42" authorId="0" shapeId="0">
      <text>
        <t>per-shot TOTAL across 6 main warhead(s).
raw warhead damages: 6000, 3000, 3, 6000, 3000,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td_nod_upgrade_blackmarketupgrades</t>
      </text>
    </comment>
    <comment ref="L4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td_nod_upgrade_blackmarketupgrades</t>
      </text>
    </comment>
    <comment ref="L4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td_nod_upgrade_blackmarketupgrades</t>
      </text>
    </comment>
    <comment ref="L4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1 main warhead(s).
raw warhead damages: 6000, 3,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td_nod_upgrade_blackmarketupgrades &amp;&amp; !td_nod_upgrade_elitecapacitors &amp;&amp; !td_nod_upgrade_burninglasers</t>
      </text>
    </comment>
    <comment ref="L5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td_nod_upgrade_blackmarketupgrades &amp;&amp; td_nod_upgrade_elitecapacitors &amp;&amp; !td_nod_upgrade_burninglasers</t>
      </text>
    </comment>
    <comment ref="L5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td_nod_upgrade_blackmarketupgrades &amp;&amp; td_nod_upgrade_burninglasers</t>
      </text>
    </comment>
    <comment ref="L53" authorId="0" shapeId="0">
      <text>
        <t>per-shot TOTAL across 1 main warhead(s).
raw warhead damages: 6000, 3,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td_nod_upgrade_blackmarketupgrades &amp;&amp; !td_nod_upgrade_elitecapacitors &amp;&amp; !td_nod_upgrade_burninglasers</t>
      </text>
    </comment>
    <comment ref="L54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td_nod_upgrade_blackmarketupgrades &amp;&amp; td_nod_upgrade_elitecapacitors &amp;&amp; !td_nod_upgrade_burninglasers</t>
      </text>
    </comment>
    <comment ref="L55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td_nod_upgrade_blackmarketupgrades &amp;&amp; td_nod_upgrade_burninglasers</t>
      </text>
    </comment>
    <comment ref="AB57" authorId="0" shapeId="0">
      <text>
        <t>fires when: td_nod_upgrade_blackmarketupgrades</t>
      </text>
    </comment>
    <comment ref="L58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0" authorId="0" shapeId="0">
      <text>
        <t>per-shot TOTAL across 4 main warhead(s).
raw warhead damages: 30000, 15,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3 main warhead(s).
raw warhead damages: 10000, 5000,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4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td_nod_upgrade_blackmarketupgrades</t>
      </text>
    </comment>
    <comment ref="L7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td_nod_upgrade_blackmarketupgrades</t>
      </text>
    </comment>
    <comment ref="AB76" authorId="0" shapeId="0">
      <text>
        <t>fires when: td_nod_upgrade_blackmarketupgrades</t>
      </text>
    </comment>
    <comment ref="L77" authorId="0" shapeId="0">
      <text>
        <t>per-shot TOTAL across 4 main warhead(s).
raw warhead damages: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!td_nod_upgrade_blackmarketupgrades</t>
      </text>
    </comment>
    <comment ref="L80" authorId="0" shapeId="0">
      <text>
        <t>per-shot TOTAL across 8 main warhead(s).
raw warhead damages: 4000, 2, 4000, 2, 4000, 2,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td_nod_upgrade_blackmarketupgrades</t>
      </text>
    </comment>
    <comment ref="L82" authorId="0" shapeId="0">
      <text>
        <t>per-shot TOTAL across 1 main warhead(s).
raw warhead damages: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5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!td_nod_upgrade_blackmarketupgrades</t>
      </text>
    </comment>
    <comment ref="L86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td_nod_upgrade_blackmarketupgrades</t>
      </text>
    </comment>
    <comment ref="L90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td_nod_upgrade_blackmarketupgrades</t>
      </text>
    </comment>
    <comment ref="L94" authorId="0" shapeId="0">
      <text>
        <t>per-shot TOTAL across 1 main warhead(s).
raw warhead damages: 8000, 4,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!td_nod_upgrade_elitecapacitors &amp;&amp; !td_nod_upgrade_burninglasers</t>
      </text>
    </comment>
    <comment ref="L9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td_nod_upgrade_elitecapacitors &amp;&amp; !td_nod_upgrade_burninglasers</t>
      </text>
    </comment>
    <comment ref="L96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td_nod_upgrade_burninglasers</t>
      </text>
    </comment>
    <comment ref="L100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!td_nod_upgrade_blackmarketupgrades</t>
      </text>
    </comment>
    <comment ref="L101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td_nod_upgrade_blackmarketupgrades</t>
      </text>
    </comment>
    <comment ref="L103" authorId="0" shapeId="0">
      <text>
        <t>per-shot TOTAL across 1 main warhead(s).
raw warhead damages: 120000, 60,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4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6" authorId="0" shapeId="0">
      <text>
        <t>per-shot TOTAL across 1 main warhead(s).
raw warhead damages: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3" authorId="0" shapeId="0">
      <text>
        <t>per-shot TOTAL across 4 main warhead(s).
raw warhead damages: 1000, 3000,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!td_nod_upgrade_blackmarketupgrades</t>
      </text>
    </comment>
    <comment ref="L114" authorId="0" shapeId="0">
      <text>
        <t>per-shot TOTAL across 6 main warhead(s).
raw warhead damages: 6000, 3, 6000, 3, 1000, 3000,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td_nod_upgrade_blackmarketupgrades</t>
      </text>
    </comment>
    <comment ref="L118" authorId="0" shapeId="0">
      <text>
        <t>per-shot TOTAL across 1 main warhead(s).
raw warhead damages: 12000, 6,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!td_nod_upgrade_elitecapacitors &amp;&amp; !td_nod_upgrade_burninglasers</t>
      </text>
    </comment>
    <comment ref="L119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td_nod_upgrade_elitecapacitors &amp;&amp; !td_nod_upgrade_burninglasers</t>
      </text>
    </comment>
    <comment ref="L120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td_nod_upgrade_burninglasers</t>
      </text>
    </comment>
    <comment ref="L123" authorId="0" shapeId="0">
      <text>
        <t>per-shot TOTAL across 1 main warhead(s).
raw warhead damages: 96000, 48,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!td_nod_upgrade_elitecapacitors &amp;&amp; !td_nod_upgrade_burninglasers</t>
      </text>
    </comment>
    <comment ref="L124" authorId="0" shapeId="0">
      <text>
        <t>per-shot TOTAL across 1 main warhead(s).
raw warhead damages: 96000, 48,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td_nod_upgrade_elitecapacitors &amp;&amp; !td_nod_upgrade_burninglasers</t>
      </text>
    </comment>
    <comment ref="L125" authorId="0" shapeId="0">
      <text>
        <t>per-shot TOTAL across 2 main warhead(s).
raw warhead damages: 96000, 48, 1000,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td_nod_upgrade_burninglasers</t>
      </text>
    </comment>
    <comment ref="L128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3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!ra1_allies_upgrade_cryomissiles</t>
      </text>
    </comment>
    <comment ref="L7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!ra1_allies_upgrade_cryomissiles</t>
      </text>
    </comment>
    <comment ref="L8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ra1_allies_upgrade_cryomissiles</t>
      </text>
    </comment>
    <comment ref="L9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ra1_allies_upgrade_cryomissiles</t>
      </text>
    </comment>
    <comment ref="L1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!ra1_allies_upgrade_cryomissiles</t>
      </text>
    </comment>
    <comment ref="L1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!ra1_allies_upgrade_cryomissiles</t>
      </text>
    </comment>
    <comment ref="L13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ra1_allies_upgrade_cryomissiles</t>
      </text>
    </comment>
    <comment ref="L1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ra1_allies_upgrade_cryomissiles</t>
      </text>
    </comment>
    <comment ref="L23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5 main warhead(s).
raw warhead damages: 10000, 5000, 5,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9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!japan_upgrade_waveforcebullets</t>
      </text>
    </comment>
    <comment ref="L54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japan_upgrade_waveforcebullets</t>
      </text>
    </comment>
    <comment ref="L55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!japan_upgrade_waveforcebullets</t>
      </text>
    </comment>
    <comment ref="L63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!japan_upgrade_waveforcebullets</t>
      </text>
    </comment>
    <comment ref="L64" authorId="0" shapeId="0">
      <text>
        <t>per-shot TOTAL across 3 main warhead(s).
raw warhead damages: 4000, 2, 1000, 1000, 500, 2, 6000,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japan_upgrade_waveforcebullets</t>
      </text>
    </comment>
    <comment ref="L65" authorId="0" shapeId="0">
      <text>
        <t>per-shot TOTAL across 3 main warhead(s).
raw warhead damages: 4000, 2, 1000, 1000, 500, 2, 6000,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japan_upgrade_waveforcebullets</t>
      </text>
    </comment>
    <comment ref="L6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!ra1_allies_upgrade_cryomissiles</t>
      </text>
    </comment>
    <comment ref="L7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ra1_allies_upgrade_cryomissiles</t>
      </text>
    </comment>
    <comment ref="L73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4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6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7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0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2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!ra1_soviets_doctrine_inferno</t>
      </text>
    </comment>
    <comment ref="L83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ra1_soviets_doctrine_inferno</t>
      </text>
    </comment>
  </commentList>
</comments>
</file>

<file path=xl/comments/comment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!japan_upgrade_energizedarrows</t>
      </text>
    </comment>
    <comment ref="L5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!japan_upgrade_energizedarrows</t>
      </text>
    </comment>
    <comment ref="L6" authorId="0" shapeId="0">
      <text>
        <t>per-shot TOTAL across 7 main warhead(s).
raw warhead damages: 6000, 3, 6000, 3, 6000, 3000, 3, 6000,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japan_upgrade_energizedarrows</t>
      </text>
    </comment>
    <comment ref="L7" authorId="0" shapeId="0">
      <text>
        <t>per-shot TOTAL across 7 main warhead(s).
raw warhead damages: 6000, 3, 6000, 3, 6000, 3000, 3, 6000,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japan_upgrade_energizedarrows</t>
      </text>
    </comment>
    <comment ref="L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1 main warhead(s).
raw warhead damages: 240000, 120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1 main warhead(s).
raw warhead damages: 240000, 120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3 main warhead(s).
raw warhead damages: 4000, 1, 1000,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!japan_upgrade_waveforcebullets</t>
      </text>
    </comment>
    <comment ref="L15" authorId="0" shapeId="0">
      <text>
        <t>per-shot TOTAL across 3 main warhead(s).
raw warhead damages: 4000, 1, 1000,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!japan_upgrade_waveforcebullets</t>
      </text>
    </comment>
    <comment ref="L16" authorId="0" shapeId="0">
      <text>
        <t>per-shot TOTAL across 4 main warhead(s).
raw warhead damages: 2000, 1, 1000, 4000, 1, 1000,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japan_upgrade_waveforcebullets</t>
      </text>
    </comment>
    <comment ref="L17" authorId="0" shapeId="0">
      <text>
        <t>per-shot TOTAL across 4 main warhead(s).
raw warhead damages: 2000, 1, 1000, 4000, 1, 1000,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japan_upgrade_waveforcebullets</t>
      </text>
    </comment>
    <comment ref="L1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!japan_upgrade_advancedplasmaweapons</t>
      </text>
    </comment>
    <comment ref="L2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!japan_upgrade_advancedplasmaweapons</t>
      </text>
    </comment>
    <comment ref="L2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japan_upgrade_advancedplasmaweapons</t>
      </text>
    </comment>
    <comment ref="L2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japan_upgrade_advancedplasmaweapons</t>
      </text>
    </comment>
    <comment ref="L24" authorId="0" shapeId="0">
      <text>
        <t>per-shot TOTAL across 6 main warhead(s).
raw warhead damages: 2000, 1000, 1,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!japan_upgrade_advancedplasmaweapons</t>
      </text>
    </comment>
    <comment ref="L27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!japan_upgrade_advancedplasmaweapons</t>
      </text>
    </comment>
    <comment ref="L28" authorId="0" shapeId="0">
      <text>
        <t>per-shot TOTAL across 2 main warhead(s).
raw warhead damages: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japan_upgrade_advancedplasmaweapons</t>
      </text>
    </comment>
    <comment ref="L29" authorId="0" shapeId="0">
      <text>
        <t>per-shot TOTAL across 2 main warhead(s).
raw warhead damages: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japan_upgrade_advancedplasmaweapons</t>
      </text>
    </comment>
    <comment ref="L31" authorId="0" shapeId="0">
      <text>
        <t>per-shot TOTAL across 3 main warhead(s).
raw warhead damages: 8000, 4,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3 main warhead(s).
raw warhead damages: 8000, 4,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3" authorId="0" shapeId="0">
      <text>
        <t>per-shot TOTAL across 1 main warhead(s).
raw warhead damages: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japan_upgrade_advancedplasmaweapons</t>
      </text>
    </comment>
    <comment ref="L34" authorId="0" shapeId="0">
      <text>
        <t>per-shot TOTAL across 1 main warhead(s).
raw warhead damages: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japan_upgrade_advancedplasmaweapons</t>
      </text>
    </comment>
    <comment ref="L37" authorId="0" shapeId="0">
      <text>
        <t>per-shot TOTAL across 8 main warhead(s).
raw warhead damages: 2000, 1, 2000, 1,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!japan_upgrade_waveforcebullets</t>
      </text>
    </comment>
    <comment ref="L38" authorId="0" shapeId="0">
      <text>
        <t>per-shot TOTAL across 8 main warhead(s).
raw warhead damages: 2000, 1, 2000, 1,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!japan_upgrade_waveforcebullets</t>
      </text>
    </comment>
    <comment ref="L39" authorId="0" shapeId="0">
      <text>
        <t>per-shot TOTAL across 10 main warhead(s).
raw warhead damages: 1000, 1, 2000, 1, 1000, 2000, 1, 2000, 1,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japan_upgrade_waveforcebullets</t>
      </text>
    </comment>
    <comment ref="L40" authorId="0" shapeId="0">
      <text>
        <t>per-shot TOTAL across 10 main warhead(s).
raw warhead damages: 1000, 1, 2000, 1, 1000, 2000, 1, 2000, 1,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japan_upgrade_waveforcebullets</t>
      </text>
    </comment>
    <comment ref="L42" authorId="0" shapeId="0">
      <text>
        <t>per-shot TOTAL across 4 main warhead(s).
raw warhead damages: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4 main warhead(s).
raw warhead damages: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japan_upgrade_energizedarrows</t>
      </text>
    </comment>
    <comment ref="L45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!japan_upgrade_advancedplasmaweapons</t>
      </text>
    </comment>
    <comment ref="L46" authorId="0" shapeId="0">
      <text>
        <t>per-shot TOTAL across 3 main warhead(s).
raw warhead damages: 4000, 2, 2000, 4000, 2,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japan_upgrade_advancedplasmaweapons</t>
      </text>
    </comment>
    <comment ref="L5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7" authorId="0" shapeId="0">
      <text>
        <t>per-shot TOTAL across 1 main warhead(s).
raw warhead damages: 240000, 120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!japan_upgrade_advancedplasmaweapons</t>
      </text>
    </comment>
    <comment ref="L59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!japan_upgrade_advancedplasmaweapons</t>
      </text>
    </comment>
    <comment ref="L60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!japan_upgrade_advancedplasmaweapons</t>
      </text>
    </comment>
    <comment ref="L61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japan_upgrade_advancedplasmaweapons</t>
      </text>
    </comment>
    <comment ref="L62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japan_upgrade_advancedplasmaweapons</t>
      </text>
    </comment>
    <comment ref="L63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japan_upgrade_advancedplasmaweapons</t>
      </text>
    </comment>
    <comment ref="L6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!japan_upgrade_advancedplasmaweapons</t>
      </text>
    </comment>
    <comment ref="L6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!japan_upgrade_advancedplasmaweapons</t>
      </text>
    </comment>
    <comment ref="L6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japan_upgrade_advancedplasmaweapons</t>
      </text>
    </comment>
    <comment ref="L6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japan_upgrade_advancedplasmaweapons</t>
      </text>
    </comment>
    <comment ref="L69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!japan_upgrade_advancedplasmaweapons</t>
      </text>
    </comment>
    <comment ref="L70" authorId="0" shapeId="0">
      <text>
        <t>per-shot TOTAL across 3 main warhead(s).
raw warhead damages: 20000, 10, 20000, 10000,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japan_upgrade_advancedplasmaweapons</t>
      </text>
    </comment>
    <comment ref="L7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!japan_upgrade_advancedplasmaweapons</t>
      </text>
    </comment>
    <comment ref="L7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japan_upgrade_advancedplasmaweapons</t>
      </text>
    </comment>
    <comment ref="L75" authorId="0" shapeId="0">
      <text>
        <t>per-shot TOTAL across 6 main warhead(s).
raw warhead damages: 2000, 1,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!japan_upgrade_advancedplasmaweapons</t>
      </text>
    </comment>
    <comment ref="L76" authorId="0" shapeId="0">
      <text>
        <t>per-shot TOTAL across 13 main warhead(s).
raw warhead damages: 2000, 1000, 1, 2000, 1, 2000, 1, 2000, 1, 2000, 1, 2000, 1000, 1, 2000, 1000,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japan_upgrade_advancedplasmaweapons</t>
      </text>
    </comment>
    <comment ref="L7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!japan_upgrade_waveforcebullets</t>
      </text>
    </comment>
    <comment ref="L78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japan_upgrade_waveforcebullets</t>
      </text>
    </comment>
    <comment ref="L7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!japan_upgrade_waveforcebullets</t>
      </text>
    </comment>
    <comment ref="L80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japan_upgrade_waveforcebullets</t>
      </text>
    </comment>
    <comment ref="L8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!japan_upgrade_advancedplasmaweapons</t>
      </text>
    </comment>
    <comment ref="L83" authorId="0" shapeId="0">
      <text>
        <t>per-shot TOTAL across 4 main warhead(s).
raw warhead damages: 4000, 2000, 2, 4000, 2, 1000, 1,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japan_upgrade_advancedplasmaweapons</t>
      </text>
    </comment>
    <comment ref="L87" authorId="0" shapeId="0">
      <text>
        <t>per-shot TOTAL across 3 main warhead(s).
raw warhead damages: 7777, 7, 7777, 7777, 7, 7777, 7777,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9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!japan_upgrade_advancedplasmaweapons</t>
      </text>
    </comment>
    <comment ref="L90" authorId="0" shapeId="0">
      <text>
        <t>per-shot TOTAL across 3 main warhead(s).
raw warhead damages: 8000, 4, 4000, 8000, 4, 1000,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japan_upgrade_advancedplasmaweapons</t>
      </text>
    </comment>
    <comment ref="L9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!japan_upgrade_advancedplasmaweapons</t>
      </text>
    </comment>
    <comment ref="L9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!japan_upgrade_advancedplasmaweapons</t>
      </text>
    </comment>
    <comment ref="L93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!japan_upgrade_advancedplasmaweapons</t>
      </text>
    </comment>
    <comment ref="L94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japan_upgrade_advancedplasmaweapons</t>
      </text>
    </comment>
    <comment ref="L95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japan_upgrade_advancedplasmaweapons</t>
      </text>
    </comment>
    <comment ref="L96" authorId="0" shapeId="0">
      <text>
        <t>per-shot TOTAL across 4 main warhead(s).
raw warhead damages: 2000, 1, 2000, 1000,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japan_upgrade_advancedplasmaweapons</t>
      </text>
    </comment>
    <comment ref="L9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!japan_upgrade_advancedplasmaweapons</t>
      </text>
    </comment>
    <comment ref="L9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!japan_upgrade_advancedplasmaweapons</t>
      </text>
    </comment>
    <comment ref="L9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japan_upgrade_advancedplasmaweapons</t>
      </text>
    </comment>
    <comment ref="L10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japan_upgrade_advancedplasmaweapons</t>
      </text>
    </comment>
    <comment ref="L10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!japan_upgrade_waveforcebullets</t>
      </text>
    </comment>
    <comment ref="L103" authorId="0" shapeId="0">
      <text>
        <t>per-shot TOTAL across 2 main warhead(s).
raw warhead damages: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japan_upgrade_waveforcebullets</t>
      </text>
    </comment>
    <comment ref="L105" authorId="0" shapeId="0">
      <text>
        <t>per-shot TOTAL across 1 main warhead(s).
raw warhead damages: 600000, 300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7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1" authorId="0" shapeId="0">
      <text>
        <t>per-shot TOTAL across 2 main warhead(s).
raw warhead damages: 10000, 5,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!japan_upgrade_advancedplasmaweapons</t>
      </text>
    </comment>
    <comment ref="L112" authorId="0" shapeId="0">
      <text>
        <t>per-shot TOTAL across 2 main warhead(s).
raw warhead damages: 10000, 5,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japan_upgrade_advancedplasmaweapons</t>
      </text>
    </comment>
    <comment ref="L113" authorId="0" shapeId="0">
      <text>
        <t>per-shot TOTAL across 2 main warhead(s).
raw warhead damages: 10000, 5000,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japan_upgrade_advancedplasmaweapons</t>
      </text>
    </comment>
    <comment ref="L114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japan_upgrade_advancedplasmaweapons</t>
      </text>
    </comment>
    <comment ref="L117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7" authorId="0" shapeId="0">
      <text>
        <t>fires when: !japan_upgrade_waveforcebullets</t>
      </text>
    </comment>
    <comment ref="L118" authorId="0" shapeId="0">
      <text>
        <t>per-shot TOTAL across 3 main warhead(s).
raw warhead damages: 4000, 2, 1000, 1000, 500, 2, 6000,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japan_upgrade_waveforcebullets</t>
      </text>
    </comment>
    <comment ref="L11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!japan_upgrade_advancedplasmaweapons</t>
      </text>
    </comment>
    <comment ref="L120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japan_upgrade_advancedplasmaweapons</t>
      </text>
    </comment>
    <comment ref="L122" authorId="0" shapeId="0">
      <text>
        <t>per-shot TOTAL across 2 main warhead(s).
raw warhead damages: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!japan_upgrade_energizedarrows</t>
      </text>
    </comment>
    <comment ref="L123" authorId="0" shapeId="0">
      <text>
        <t>per-shot TOTAL across 4 main warhead(s).
raw warhead damages: 16000, 8, 16000, 8000,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japan_upgrade_energizedarrows</t>
      </text>
    </comment>
    <comment ref="L124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!japan_upgrade_advancedplasmaweapons</t>
      </text>
    </comment>
    <comment ref="L125" authorId="0" shapeId="0">
      <text>
        <t>per-shot TOTAL across 4 main warhead(s).
raw warhead damages: 4000, 2, 2000,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japan_upgrade_advancedplasmaweapons</t>
      </text>
    </comment>
    <comment ref="L12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!japan_upgrade_waveforcebullets</t>
      </text>
    </comment>
    <comment ref="L127" authorId="0" shapeId="0">
      <text>
        <t>per-shot TOTAL across 3 main warhead(s).
raw warhead damages: 2000, 1, 1000, 2000, 1, 2000, 1, 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japan_upgrade_waveforcebullets</t>
      </text>
    </comment>
    <comment ref="L129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!japan_upgrade_energizedarrows</t>
      </text>
    </comment>
    <comment ref="L130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0" authorId="0" shapeId="0">
      <text>
        <t>fires when: japan_upgrade_energizedarrows</t>
      </text>
    </comment>
    <comment ref="L13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!japan_upgrade_waveforcebullets</t>
      </text>
    </comment>
    <comment ref="L132" authorId="0" shapeId="0">
      <text>
        <t>per-shot TOTAL across 3 main warhead(s).
raw warhead damages: 4000, 2, 1000, 1000, 500, 2, 6000,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japan_upgrade_waveforcebullets</t>
      </text>
    </comment>
    <comment ref="L135" authorId="0" shapeId="0">
      <text>
        <t>per-shot TOTAL across 4 main warhead(s).
raw warhead damages: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6" authorId="0" shapeId="0">
      <text>
        <t>per-shot TOTAL across 1 main warhead(s).
raw warhead damages: 160000, 80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7" authorId="0" shapeId="0">
      <text>
        <t>per-shot TOTAL across 4 main warhead(s).
raw warhead damages: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7" authorId="0" shapeId="0">
      <text>
        <t>fires when: japan_upgrade_energizedarrows</t>
      </text>
    </comment>
    <comment ref="L138" authorId="0" shapeId="0">
      <text>
        <t>per-shot TOTAL across 8 main warhead(s).
raw warhead damages: 20000, 10, 20000, 10, 20000, 10, 20000, 10000, 10, 20000, 10, 20000, 10000,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8" authorId="0" shapeId="0">
      <text>
        <t>fires when: japan_upgrade_energizedarrows</t>
      </text>
    </comment>
    <comment ref="L140" authorId="0" shapeId="0">
      <text>
        <t>per-shot TOTAL across 2 main warhead(s).
raw warhead damages: 4000, 1,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!japan_upgrade_waveforcebullets</t>
      </text>
    </comment>
    <comment ref="L141" authorId="0" shapeId="0">
      <text>
        <t>per-shot TOTAL across 3 main warhead(s).
raw warhead damages: 4000, 2, 1000, 4000, 1,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japan_upgrade_waveforcebullets</t>
      </text>
    </comment>
  </commentList>
</comments>
</file>

<file path=xl/comments/comment5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!ra1_soviets_upgrade_scorchedearth</t>
      </text>
    </comment>
    <comment ref="L18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!ra1_soviets_upgrade_scorchedearth</t>
      </text>
    </comment>
    <comment ref="L19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ra1_soviets_upgrade_scorchedearth</t>
      </text>
    </comment>
    <comment ref="L20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ra1_soviets_upgrade_scorchedearth</t>
      </text>
    </comment>
    <comment ref="L2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!ra1_soviets_upgrade_scorchedearth</t>
      </text>
    </comment>
    <comment ref="L23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!ra1_soviets_upgrade_scorchedearth</t>
      </text>
    </comment>
    <comment ref="L24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ra1_soviets_upgrade_scorchedearth</t>
      </text>
    </comment>
    <comment ref="L2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ra1_soviets_upgrade_scorchedearth</t>
      </text>
    </comment>
    <comment ref="L27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!ra1_soviets_upgrade_scorchedearth</t>
      </text>
    </comment>
    <comment ref="L28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!ra1_soviets_upgrade_scorchedearth</t>
      </text>
    </comment>
    <comment ref="L29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ra1_soviets_upgrade_scorchedearth</t>
      </text>
    </comment>
    <comment ref="L30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ra1_soviets_upgrade_scorchedearth</t>
      </text>
    </comment>
    <comment ref="L32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!ra1_soviets_upgrade_scorchedearth</t>
      </text>
    </comment>
    <comment ref="L33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!ra1_soviets_upgrade_scorchedearth</t>
      </text>
    </comment>
    <comment ref="L34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ra1_soviets_upgrade_scorchedearth</t>
      </text>
    </comment>
    <comment ref="L35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ra1_soviets_upgrade_scorchedearth</t>
      </text>
    </comment>
    <comment ref="L3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!ra1_soviets_upgrade_incendiarybullets</t>
      </text>
    </comment>
    <comment ref="L3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!ra1_soviets_upgrade_incendiarybullets</t>
      </text>
    </comment>
    <comment ref="L3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ra1_soviets_upgrade_incendiarybullets</t>
      </text>
    </comment>
    <comment ref="L4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ra1_soviets_upgrade_incendiarybullets</t>
      </text>
    </comment>
    <comment ref="L42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!ra1_soviets_doctrine_teslaandexperimentaltech &amp;&amp; !ra1_soviets_upgrade_teslaarcing</t>
      </text>
    </comment>
    <comment ref="L46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ra1_soviets_doctrine_teslaandexperimentaltech &amp;&amp; !ra1_soviets_upgrade_teslaarcing</t>
      </text>
    </comment>
    <comment ref="L47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ra1_soviets_upgrade_teslaarcing</t>
      </text>
    </comment>
    <comment ref="L48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!ra1_soviets_doctrine_teslaandexperimentaltech &amp;&amp; !ra1_soviets_upgrade_teslaarcing</t>
      </text>
    </comment>
    <comment ref="L49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ra1_soviets_doctrine_teslaandexperimentaltech &amp;&amp; !ra1_soviets_upgrade_teslaarcing</t>
      </text>
    </comment>
    <comment ref="L50" authorId="0" shapeId="0">
      <text>
        <t>per-shot TOTAL across 1 main warhead(s).
raw warhead damages: 20000, 10,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ra1_soviets_upgrade_teslaarcing</t>
      </text>
    </comment>
    <comment ref="L52" authorId="0" shapeId="0">
      <text>
        <t>per-shot TOTAL across 3 main warhead(s).
raw warhead damages: 10000, 5, 10000,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!ra1_soviets_upgrade_incendiarybullets &amp;&amp; !ra1_soviets_upgrade_teslaarcing &amp;&amp; !ra1_soviets_upgrade_nucleartankshells</t>
      </text>
    </comment>
    <comment ref="L53" authorId="0" shapeId="0">
      <text>
        <t>per-shot TOTAL across 4 main warhead(s).
raw warhead damages: 8000, 4, 8000, 4, 8000, 4000,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!ra1_soviets_upgrade_incendiarybullets &amp;&amp; ra1_soviets_upgrade_teslaarcing</t>
      </text>
    </comment>
    <comment ref="L54" authorId="0" shapeId="0">
      <text>
        <t>per-shot TOTAL across 4 main warhead(s).
raw warhead damages: 40000, 20, 40000, 20, 40000, 20, 40000, 20000,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!ra1_soviets_upgrade_incendiarybullets &amp;&amp; ra1_soviets_upgrade_nucleartankshells</t>
      </text>
    </comment>
    <comment ref="L55" authorId="0" shapeId="0">
      <text>
        <t>per-shot TOTAL across 4 main warhead(s).
raw warhead damages: 10000, 5, 10000, 5, 10000,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ra1_soviets_upgrade_incendiarybullets &amp;&amp; !ra1_soviets_upgrade_teslaarcing &amp;&amp; !ra1_soviets_upgrade_nucleartankshells</t>
      </text>
    </comment>
    <comment ref="L56" authorId="0" shapeId="0">
      <text>
        <t>per-shot TOTAL across 5 main warhead(s).
raw warhead damages: 8000, 4, 8000, 4, 8000, 4000, 4, 8000, 4, 8000, 4000,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ra1_soviets_upgrade_incendiarybullets &amp;&amp; ra1_soviets_upgrade_teslaarcing</t>
      </text>
    </comment>
    <comment ref="L57" authorId="0" shapeId="0">
      <text>
        <t>per-shot TOTAL across 5 main warhead(s).
raw warhead damages: 40000, 20, 40000, 20, 40000, 20, 40000, 20, 40000, 20000,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ra1_soviets_upgrade_incendiarybullets &amp;&amp; ra1_soviets_upgrade_nucleartankshells</t>
      </text>
    </comment>
    <comment ref="L58" authorId="0" shapeId="0">
      <text>
        <t>per-shot TOTAL across 3 main warhead(s).
raw warhead damages: 10000, 5, 10000,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!ra1_soviets_upgrade_incendiarybullets &amp;&amp; !ra1_soviets_upgrade_teslaarcing &amp;&amp; !ra1_soviets_upgrade_nucleartankshells</t>
      </text>
    </comment>
    <comment ref="L59" authorId="0" shapeId="0">
      <text>
        <t>per-shot TOTAL across 4 main warhead(s).
raw warhead damages: 8000, 4, 8000, 4, 8000, 4000,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!ra1_soviets_upgrade_incendiarybullets &amp;&amp; ra1_soviets_upgrade_teslaarcing</t>
      </text>
    </comment>
    <comment ref="L60" authorId="0" shapeId="0">
      <text>
        <t>per-shot TOTAL across 4 main warhead(s).
raw warhead damages: 40000, 20, 40000, 20, 40000, 20, 40000, 20000,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!ra1_soviets_upgrade_incendiarybullets &amp;&amp; ra1_soviets_upgrade_nucleartankshells</t>
      </text>
    </comment>
    <comment ref="L61" authorId="0" shapeId="0">
      <text>
        <t>per-shot TOTAL across 4 main warhead(s).
raw warhead damages: 10000, 5, 10000, 5, 10000,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ra1_soviets_upgrade_incendiarybullets &amp;&amp; !ra1_soviets_upgrade_teslaarcing &amp;&amp; !ra1_soviets_upgrade_nucleartankshells</t>
      </text>
    </comment>
    <comment ref="L62" authorId="0" shapeId="0">
      <text>
        <t>per-shot TOTAL across 5 main warhead(s).
raw warhead damages: 8000, 4, 8000, 4, 8000, 4000, 4, 8000, 4, 8000, 4000,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ra1_soviets_upgrade_incendiarybullets &amp;&amp; ra1_soviets_upgrade_teslaarcing</t>
      </text>
    </comment>
    <comment ref="L63" authorId="0" shapeId="0">
      <text>
        <t>per-shot TOTAL across 5 main warhead(s).
raw warhead damages: 40000, 20, 40000, 20, 40000, 20, 40000, 20, 40000, 20000,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ra1_soviets_upgrade_incendiarybullets &amp;&amp; ra1_soviets_upgrade_nucleartankshells</t>
      </text>
    </comment>
    <comment ref="L65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!ra1_soviets_upgrade_teslaarcing</t>
      </text>
    </comment>
    <comment ref="L66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ra1_soviets_upgrade_teslaarcing</t>
      </text>
    </comment>
    <comment ref="L67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!ra1_soviets_upgrade_teslaarcing</t>
      </text>
    </comment>
    <comment ref="L68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ra1_soviets_upgrade_teslaarcing</t>
      </text>
    </comment>
    <comment ref="L7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3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ra1_soviets_doctrine_teslaandexperimentaltech &amp;&amp; !ra1_soviets_upgrade_teslaarcing</t>
      </text>
    </comment>
    <comment ref="L74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ra1_soviets_upgrade_teslaarcing</t>
      </text>
    </comment>
    <comment ref="L75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ra1_soviets_doctrine_teslaandexperimentaltech &amp;&amp; !ra1_soviets_upgrade_teslaarcing</t>
      </text>
    </comment>
    <comment ref="L76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ra1_soviets_upgrade_teslaarcing</t>
      </text>
    </comment>
    <comment ref="L7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!ra1_soviets_upgrade_incendiarybullets</t>
      </text>
    </comment>
    <comment ref="L8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!ra1_soviets_upgrade_incendiarybullets</t>
      </text>
    </comment>
    <comment ref="L8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ra1_soviets_upgrade_incendiarybullets</t>
      </text>
    </comment>
    <comment ref="L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ra1_soviets_upgrade_incendiarybullets</t>
      </text>
    </comment>
    <comment ref="L85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ra1_soviets_doctrine_teslaandexperimentaltech &amp;&amp; !ra1_soviets_upgrade_teslaarcing</t>
      </text>
    </comment>
    <comment ref="L86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ra1_soviets_upgrade_teslaarcing</t>
      </text>
    </comment>
    <comment ref="L87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ra1_soviets_doctrine_teslaandexperimentaltech &amp;&amp; !ra1_soviets_upgrade_teslaarcing</t>
      </text>
    </comment>
    <comment ref="L88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ra1_soviets_upgrade_teslaarcing</t>
      </text>
    </comment>
    <comment ref="L90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2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!(ra1_soviets_upgrade_highexplosiverockets || ra1_soviets_upgrade_scorchedearth)</t>
      </text>
    </comment>
    <comment ref="L93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ra1_soviets_upgrade_highexplosiverockets || ra1_soviets_upgrade_scorchedearth</t>
      </text>
    </comment>
    <comment ref="L95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!ra1_soviets_upgrade_nucleartankshells</t>
      </text>
    </comment>
    <comment ref="L96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ra1_soviets_upgrade_nucleartankshells</t>
      </text>
    </comment>
    <comment ref="L97" authorId="0" shapeId="0">
      <text>
        <t>per-shot TOTAL across 4 main warhead(s).
raw warhead damages: 2000, 1, 1000, 1, 2000, 1, 600,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ra1_soviets_upgrade_shtoradefensesystem</t>
      </text>
    </comment>
    <comment ref="L99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0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!ra1_soviets_upgrade_nucleartankshells</t>
      </text>
    </comment>
    <comment ref="L106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ra1_soviets_upgrade_nucleartankshells</t>
      </text>
    </comment>
    <comment ref="L108" authorId="0" shapeId="0">
      <text>
        <t>per-shot TOTAL across 1 main warhead(s).
raw warhead damages: 10000, 5, 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9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!ra1_soviets_upgrade_teslaarcing</t>
      </text>
    </comment>
    <comment ref="L110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ra1_soviets_upgrade_teslaarcing</t>
      </text>
    </comment>
    <comment ref="L112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!ra1_soviets_upgrade_nucleartankshells</t>
      </text>
    </comment>
    <comment ref="L113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ra1_soviets_upgrade_nucleartankshells</t>
      </text>
    </comment>
    <comment ref="L117" authorId="0" shapeId="0">
      <text>
        <t>per-shot TOTAL across 4 main warhead(s).
raw warhead damages: 6000, 3, 6000, 3, 6000, 3000,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7" authorId="0" shapeId="0">
      <text>
        <t>fires when: !ra1_soviets_upgrade_nucleartankshells &amp;&amp; !ra1_soviets_promotion_mammothtanktargetingcomputer</t>
      </text>
    </comment>
    <comment ref="L118" authorId="0" shapeId="0">
      <text>
        <t>per-shot TOTAL across 4 main warhead(s).
raw warhead damages: 6000, 3, 6000, 3, 6000, 3000,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!ra1_soviets_upgrade_nucleartankshells &amp;&amp; ra1_soviets_promotion_mammothtanktargetingcomputer</t>
      </text>
    </comment>
    <comment ref="L119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ra1_soviets_upgrade_nucleartankshells &amp;&amp; !ra1_soviets_promotion_mammothtanktargetingcomputer</t>
      </text>
    </comment>
    <comment ref="L120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ra1_soviets_upgrade_nucleartankshells &amp;&amp; ra1_soviets_promotion_mammothtanktargetingcomputer</t>
      </text>
    </comment>
    <comment ref="L121" authorId="0" shapeId="0">
      <text>
        <t>per-shot TOTAL across 4 main warhead(s).
raw warhead damages: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!ra1_soviets_upgrade_teslarockets &amp;&amp; !ra1_soviets_upgrade_thermonuclearrockets &amp;&amp; !ra1_soviets_promotion_mammothtanktargetingcomputer</t>
      </text>
    </comment>
    <comment ref="L122" authorId="0" shapeId="0">
      <text>
        <t>per-shot TOTAL across 4 main warhead(s).
raw warhead damages: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!ra1_soviets_upgrade_teslarockets &amp;&amp; !ra1_soviets_upgrade_thermonuclearrockets &amp;&amp; ra1_soviets_promotion_mammothtanktargetingcomputer</t>
      </text>
    </comment>
    <comment ref="L123" authorId="0" shapeId="0">
      <text>
        <t>per-shot TOTAL across 4 main warhead(s).
raw warhead damages: 8000, 4000, 4, 8000,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ra1_soviets_upgrade_teslarockets &amp;&amp; !ra1_soviets_promotion_mammothtanktargetingcomputer</t>
      </text>
    </comment>
    <comment ref="L124" authorId="0" shapeId="0">
      <text>
        <t>per-shot TOTAL across 4 main warhead(s).
raw warhead damages: 8000, 4000, 4, 8000,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ra1_soviets_upgrade_teslarockets &amp;&amp; ra1_soviets_promotion_mammothtanktargetingcomputer</t>
      </text>
    </comment>
    <comment ref="L125" authorId="0" shapeId="0">
      <text>
        <t>per-shot TOTAL across 8 main warhead(s).
raw warhead damages: 4000, 2, 4000, 2, 4000, 2, 4000, 2000,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ra1_soviets_upgrade_thermonuclearrockets &amp;&amp; !ra1_soviets_promotion_mammothtanktargetingcomputer</t>
      </text>
    </comment>
    <comment ref="L126" authorId="0" shapeId="0">
      <text>
        <t>per-shot TOTAL across 8 main warhead(s).
raw warhead damages: 4000, 2, 4000, 2, 4000, 2, 4000, 2000,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ra1_soviets_upgrade_thermonuclearrockets &amp;&amp; ra1_soviets_promotion_mammothtanktargetingcomputer</t>
      </text>
    </comment>
    <comment ref="L129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!ra1_soviets_doctrine_inferno</t>
      </text>
    </comment>
    <comment ref="L130" authorId="0" shapeId="0">
      <text>
        <t>per-shot TOTAL across 3 main warhead(s).
raw warhead damages: 40000, 20,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0" authorId="0" shapeId="0">
      <text>
        <t>fires when: ra1_soviets_doctrine_inferno</t>
      </text>
    </comment>
    <comment ref="L131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!ra1_soviets_upgrade_teslarockets &amp;&amp; !ra1_soviets_upgrade_thermonuclearrockets</t>
      </text>
    </comment>
    <comment ref="L132" authorId="0" shapeId="0">
      <text>
        <t>per-shot TOTAL across 4 main warhead(s).
raw warhead damages: 26750, 13250, 13, 26750, 13, 26750, 13250, 13, 26750, 13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ra1_soviets_upgrade_teslarockets</t>
      </text>
    </comment>
    <comment ref="L133" authorId="0" shapeId="0">
      <text>
        <t>per-shot TOTAL across 8 main warhead(s).
raw warhead damages: 13250, 7, 13250, 7, 13250, 7, 13250, 6750, 7, 13250, 7, 13250, 6750, 7, 13250, 7, 13250,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ra1_soviets_upgrade_thermonuclearrockets</t>
      </text>
    </comment>
    <comment ref="L135" authorId="0" shapeId="0">
      <text>
        <t>per-shot TOTAL across 15 main warhead(s).
raw warhead damages: 20000, 10, 20000, 10, 20000, 10, 20000, 10, 20000, 10000, 10, 20000, 10000, 10, 20000, 10, 20000, 10, 20000, 10, 20000, 10, 20000, 10, 20000, 10,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!ra1_soviets_upgrade_thermonuclearrockets</t>
      </text>
    </comment>
    <comment ref="L136" authorId="0" shapeId="0">
      <text>
        <t>per-shot TOTAL across 15 main warhead(s).
raw warhead damages: 20000, 10, 20000, 10, 20000, 10, 20000, 10, 20000, 10000, 10, 20000, 10000, 10, 20000, 10, 20000, 10, 20000, 10, 20000, 10, 20000, 10, 20000, 10,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ra1_soviets_upgrade_thermonuclearrockets</t>
      </text>
    </comment>
    <comment ref="L141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!ra1_soviets_upgrade_nucleartankshells &amp;&amp; !ra1_soviets_promotion_mammothtanktargetingcomputer</t>
      </text>
    </comment>
    <comment ref="L142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!ra1_soviets_upgrade_nucleartankshells &amp;&amp; ra1_soviets_promotion_mammothtanktargetingcomputer</t>
      </text>
    </comment>
    <comment ref="L143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ra1_soviets_upgrade_nucleartankshells &amp;&amp; !ra1_soviets_promotion_mammothtanktargetingcomputer</t>
      </text>
    </comment>
    <comment ref="L144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ra1_soviets_upgrade_nucleartankshells &amp;&amp; ra1_soviets_promotion_mammothtanktargetingcomputer</t>
      </text>
    </comment>
    <comment ref="L145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!ra1_soviets_upgrade_highexplosiverockets &amp;&amp; !ra1_soviets_promotion_mammothtanktargetingcomputer</t>
      </text>
    </comment>
    <comment ref="L146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6" authorId="0" shapeId="0">
      <text>
        <t>fires when: !ra1_soviets_upgrade_highexplosiverockets &amp;&amp; ra1_soviets_promotion_mammothtanktargetingcomputer</t>
      </text>
    </comment>
    <comment ref="L147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7" authorId="0" shapeId="0">
      <text>
        <t>fires when: ra1_soviets_upgrade_highexplosiverockets &amp;&amp; !ra1_soviets_promotion_mammothtanktargetingcomputer</t>
      </text>
    </comment>
    <comment ref="L148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8" authorId="0" shapeId="0">
      <text>
        <t>fires when: ra1_soviets_upgrade_highexplosiverockets &amp;&amp; ra1_soviets_promotion_mammothtanktargetingcomputer</t>
      </text>
    </comment>
    <comment ref="L151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1" authorId="0" shapeId="0">
      <text>
        <t>fires when: !ra1_soviets_doctrine_teslaandexperimentaltech &amp;&amp; !ra1_soviets_upgrade_teslaarcing</t>
      </text>
    </comment>
    <comment ref="L152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2" authorId="0" shapeId="0">
      <text>
        <t>fires when: ra1_soviets_doctrine_teslaandexperimentaltech &amp;&amp; !ra1_soviets_upgrade_teslaarcing</t>
      </text>
    </comment>
    <comment ref="L153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ra1_soviets_upgrade_teslaarcing</t>
      </text>
    </comment>
    <comment ref="L155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5" authorId="0" shapeId="0">
      <text>
        <t>fires when: !ra1_soviets_upgrade_scorchedearth</t>
      </text>
    </comment>
    <comment ref="L156" authorId="0" shapeId="0">
      <text>
        <t>per-shot TOTAL across 3 main warhead(s).
raw warhead damages: 8000,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6" authorId="0" shapeId="0">
      <text>
        <t>fires when: ra1_soviets_upgrade_scorchedearth</t>
      </text>
    </comment>
    <comment ref="L158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!ra1_soviets_upgrade_highexplosiverockets &amp;&amp; !ra1_soviets_upgrade_teslarockets</t>
      </text>
    </comment>
    <comment ref="L159" authorId="0" shapeId="0">
      <text>
        <t>per-shot TOTAL across 5 main warhead(s).
raw warhead damages: 40000, 20, 60000, 30, 60000, 30,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9" authorId="0" shapeId="0">
      <text>
        <t>fires when: ra1_soviets_upgrade_highexplosiverockets</t>
      </text>
    </comment>
    <comment ref="L160" authorId="0" shapeId="0">
      <text>
        <t>per-shot TOTAL across 5 main warhead(s).
raw warhead damages: 30000, 15, 15000, 60000, 30, 60000, 30,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0" authorId="0" shapeId="0">
      <text>
        <t>fires when: ra1_soviets_upgrade_teslarockets</t>
      </text>
    </comment>
    <comment ref="L16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3" authorId="0" shapeId="0">
      <text>
        <t>fires when: !ra1_soviets_upgrade_incendiarybullets</t>
      </text>
    </comment>
    <comment ref="L16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!ra1_soviets_upgrade_incendiarybullets</t>
      </text>
    </comment>
    <comment ref="L16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5" authorId="0" shapeId="0">
      <text>
        <t>fires when: ra1_soviets_upgrade_incendiarybullets</t>
      </text>
    </comment>
    <comment ref="L16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6" authorId="0" shapeId="0">
      <text>
        <t>fires when: ra1_soviets_upgrade_incendiarybullets</t>
      </text>
    </comment>
    <comment ref="L16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8" authorId="0" shapeId="0">
      <text>
        <t>fires when: !ra1_soviets_upgrade_highexplosiverockets &amp;&amp; !ra1_soviets_upgrade_thermonuclearrockets &amp;&amp; !ra1_soviets_promotion_hurricanerocketpods</t>
      </text>
    </comment>
    <comment ref="L16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9" authorId="0" shapeId="0">
      <text>
        <t>fires when: !ra1_soviets_upgrade_highexplosiverockets &amp;&amp; !ra1_soviets_upgrade_thermonuclearrockets &amp;&amp; ra1_soviets_promotion_hurricanerocketpods</t>
      </text>
    </comment>
    <comment ref="L17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0" authorId="0" shapeId="0">
      <text>
        <t>fires when: !ra1_soviets_upgrade_highexplosiverockets &amp;&amp; !ra1_soviets_upgrade_thermonuclearrockets &amp;&amp; ra1_soviets_promotion_hurricanerocketpods</t>
      </text>
    </comment>
    <comment ref="L171" authorId="0" shapeId="0">
      <text>
        <t>per-shot TOTAL across 5 main warhead(s).
raw warhead damages: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1" authorId="0" shapeId="0">
      <text>
        <t>fires when: ra1_soviets_upgrade_highexplosiverockets &amp;&amp; !ra1_soviets_promotion_hurricanerocketpods</t>
      </text>
    </comment>
    <comment ref="L172" authorId="0" shapeId="0">
      <text>
        <t>per-shot TOTAL across 5 main warhead(s).
raw warhead damages: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2" authorId="0" shapeId="0">
      <text>
        <t>fires when: ra1_soviets_upgrade_highexplosiverockets &amp;&amp; ra1_soviets_promotion_hurricanerocketpods</t>
      </text>
    </comment>
    <comment ref="L173" authorId="0" shapeId="0">
      <text>
        <t>per-shot TOTAL across 5 main warhead(s).
raw warhead damages: 2000, 1, 2000, 1000,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3" authorId="0" shapeId="0">
      <text>
        <t>fires when: ra1_soviets_upgrade_highexplosiverockets &amp;&amp; ra1_soviets_promotion_hurricanerocketpods</t>
      </text>
    </comment>
    <comment ref="L17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4" authorId="0" shapeId="0">
      <text>
        <t>fires when: ra1_soviets_upgrade_thermonuclearrockets &amp;&amp; !ra1_soviets_promotion_hurricanerocketpods</t>
      </text>
    </comment>
    <comment ref="L175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5" authorId="0" shapeId="0">
      <text>
        <t>fires when: ra1_soviets_upgrade_thermonuclearrockets &amp;&amp; ra1_soviets_promotion_hurricanerocketpods</t>
      </text>
    </comment>
    <comment ref="L17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6" authorId="0" shapeId="0">
      <text>
        <t>fires when: ra1_soviets_upgrade_thermonuclearrockets &amp;&amp; ra1_soviets_promotion_hurricanerocketpods</t>
      </text>
    </comment>
    <comment ref="L17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7" authorId="0" shapeId="0">
      <text>
        <t>fires when: !ra1_soviets_upgrade_incendiarybullets</t>
      </text>
    </comment>
    <comment ref="L17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8" authorId="0" shapeId="0">
      <text>
        <t>fires when: !ra1_soviets_upgrade_incendiarybullets</t>
      </text>
    </comment>
    <comment ref="L17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9" authorId="0" shapeId="0">
      <text>
        <t>fires when: ra1_soviets_upgrade_incendiarybullets</t>
      </text>
    </comment>
    <comment ref="L18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0" authorId="0" shapeId="0">
      <text>
        <t>fires when: ra1_soviets_upgrade_incendiarybullets</t>
      </text>
    </comment>
    <comment ref="L183" authorId="0" shapeId="0">
      <text>
        <t>per-shot TOTAL across 2 main warhead(s).
raw warhead damages: 16000, 8, 16000, 8, 8000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3" authorId="0" shapeId="0">
      <text>
        <t>fires when: !ra1_soviets_upgrade_teslaarcing</t>
      </text>
    </comment>
    <comment ref="L184" authorId="0" shapeId="0">
      <text>
        <t>per-shot TOTAL across 2 main warhead(s).
raw warhead damages: 16000, 8, 16000, 8, 8000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4" authorId="0" shapeId="0">
      <text>
        <t>fires when: ra1_soviets_upgrade_teslaarcing</t>
      </text>
    </comment>
    <comment ref="L18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5" authorId="0" shapeId="0">
      <text>
        <t>fires when: !ra1_soviets_upgrade_teslarockets &amp;&amp; !ra1_soviets_promotion_hurricanerocketpods</t>
      </text>
    </comment>
    <comment ref="L18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6" authorId="0" shapeId="0">
      <text>
        <t>fires when: !ra1_soviets_upgrade_teslarockets &amp;&amp; ra1_soviets_promotion_hurricanerocketpods</t>
      </text>
    </comment>
    <comment ref="L18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7" authorId="0" shapeId="0">
      <text>
        <t>fires when: !ra1_soviets_upgrade_teslarockets &amp;&amp; ra1_soviets_promotion_hurricanerocketpods</t>
      </text>
    </comment>
    <comment ref="L188" authorId="0" shapeId="0">
      <text>
        <t>per-shot TOTAL across 5 main warhead(s).
raw warhead damages: 2000, 1000, 1, 2000, 1000,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8" authorId="0" shapeId="0">
      <text>
        <t>fires when: ra1_soviets_upgrade_teslarockets &amp;&amp; !ra1_soviets_promotion_hurricanerocketpods</t>
      </text>
    </comment>
    <comment ref="L189" authorId="0" shapeId="0">
      <text>
        <t>per-shot TOTAL across 5 main warhead(s).
raw warhead damages: 2000, 1000, 1, 2000, 1000,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9" authorId="0" shapeId="0">
      <text>
        <t>fires when: ra1_soviets_upgrade_teslarockets &amp;&amp; ra1_soviets_promotion_hurricanerocketpods</t>
      </text>
    </comment>
    <comment ref="L190" authorId="0" shapeId="0">
      <text>
        <t>per-shot TOTAL across 5 main warhead(s).
raw warhead damages: 2000, 1000, 1, 2000, 1000,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0" authorId="0" shapeId="0">
      <text>
        <t>fires when: ra1_soviets_upgrade_teslarockets &amp;&amp; ra1_soviets_promotion_hurricanerocketpods</t>
      </text>
    </comment>
    <comment ref="L19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1" authorId="0" shapeId="0">
      <text>
        <t>fires when: !ra1_soviets_upgrade_incendiarybullets</t>
      </text>
    </comment>
    <comment ref="L19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2" authorId="0" shapeId="0">
      <text>
        <t>fires when: !ra1_soviets_upgrade_incendiarybullets</t>
      </text>
    </comment>
    <comment ref="L19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3" authorId="0" shapeId="0">
      <text>
        <t>fires when: ra1_soviets_upgrade_incendiarybullets</t>
      </text>
    </comment>
    <comment ref="L19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4" authorId="0" shapeId="0">
      <text>
        <t>fires when: ra1_soviets_upgrade_incendiarybullets</t>
      </text>
    </comment>
    <comment ref="L196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6" authorId="0" shapeId="0">
      <text>
        <t>fires when: !ra1_soviets_upgrade_teslarockets &amp;&amp; !ra1_soviets_upgrade_thermonuclearrockets</t>
      </text>
    </comment>
    <comment ref="L197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7" authorId="0" shapeId="0">
      <text>
        <t>fires when: !ra1_soviets_upgrade_teslarockets &amp;&amp; !ra1_soviets_upgrade_thermonuclearrockets</t>
      </text>
    </comment>
    <comment ref="L198" authorId="0" shapeId="0">
      <text>
        <t>per-shot TOTAL across 2 main warhead(s).
raw warhead damages: 16000, 8, 8000,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8" authorId="0" shapeId="0">
      <text>
        <t>fires when: ra1_soviets_upgrade_teslarockets</t>
      </text>
    </comment>
    <comment ref="L199" authorId="0" shapeId="0">
      <text>
        <t>per-shot TOTAL across 2 main warhead(s).
raw warhead damages: 16000, 8, 8000,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9" authorId="0" shapeId="0">
      <text>
        <t>fires when: ra1_soviets_upgrade_teslarockets</t>
      </text>
    </comment>
    <comment ref="L200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0" authorId="0" shapeId="0">
      <text>
        <t>fires when: ra1_soviets_upgrade_thermonuclearrockets</t>
      </text>
    </comment>
    <comment ref="L201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1" authorId="0" shapeId="0">
      <text>
        <t>fires when: ra1_soviets_upgrade_thermonuclearrockets</t>
      </text>
    </comment>
    <comment ref="L203" authorId="0" shapeId="0">
      <text>
        <t>per-shot TOTAL across 4 main warhead(s).
raw warhead damages: 50000, 25,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4" authorId="0" shapeId="0">
      <text>
        <t>fires when: !ra1_soviets_upgrade_incendiarybullets</t>
      </text>
    </comment>
    <comment ref="L20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5" authorId="0" shapeId="0">
      <text>
        <t>fires when: !ra1_soviets_upgrade_incendiarybullets</t>
      </text>
    </comment>
    <comment ref="L20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6" authorId="0" shapeId="0">
      <text>
        <t>fires when: ra1_soviets_upgrade_incendiarybullets</t>
      </text>
    </comment>
    <comment ref="L20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7" authorId="0" shapeId="0">
      <text>
        <t>fires when: ra1_soviets_upgrade_incendiarybullets</t>
      </text>
    </comment>
    <comment ref="L209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9" authorId="0" shapeId="0">
      <text>
        <t>fires when: !ra1_soviets_upgrade_highexplosiverockets</t>
      </text>
    </comment>
    <comment ref="L210" authorId="0" shapeId="0">
      <text>
        <t>per-shot TOTAL across 3 main warhead(s).
raw warhead damages: 14000, 7,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0" authorId="0" shapeId="0">
      <text>
        <t>fires when: ra1_soviets_upgrade_highexplosiverockets</t>
      </text>
    </comment>
    <comment ref="L21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1" authorId="0" shapeId="0">
      <text>
        <t>fires when: !ra1_soviets_upgrade_incendiarybullets</t>
      </text>
    </comment>
    <comment ref="L21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2" authorId="0" shapeId="0">
      <text>
        <t>fires when: !ra1_soviets_upgrade_incendiarybullets</t>
      </text>
    </comment>
    <comment ref="L21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3" authorId="0" shapeId="0">
      <text>
        <t>fires when: ra1_soviets_upgrade_incendiarybullets</t>
      </text>
    </comment>
    <comment ref="L21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4" authorId="0" shapeId="0">
      <text>
        <t>fires when: ra1_soviets_upgrade_incendiarybullets</t>
      </text>
    </comment>
    <comment ref="L216" authorId="0" shapeId="0">
      <text>
        <t>per-shot TOTAL across 4 main warhead(s).
raw warhead damages: 100000, 50, 100000, 50, 100000, 50, 100000, 50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8" authorId="0" shapeId="0">
      <text>
        <t>per-shot TOTAL across 4 main warhead(s).
raw warhead damages: 40000, 20000, 20, 40000, 20,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9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9" authorId="0" shapeId="0">
      <text>
        <t>fires when: !ra1_soviets_upgrade_teslaarcing</t>
      </text>
    </comment>
    <comment ref="L220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0" authorId="0" shapeId="0">
      <text>
        <t>fires when: ra1_soviets_upgrade_teslaarcing</t>
      </text>
    </comment>
    <comment ref="L22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1" authorId="0" shapeId="0">
      <text>
        <t>fires when: !ra1_soviets_upgrade_incendiarybullets</t>
      </text>
    </comment>
    <comment ref="L22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2" authorId="0" shapeId="0">
      <text>
        <t>fires when: !ra1_soviets_upgrade_incendiarybullets</t>
      </text>
    </comment>
    <comment ref="L22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3" authorId="0" shapeId="0">
      <text>
        <t>fires when: ra1_soviets_upgrade_incendiarybullets</t>
      </text>
    </comment>
    <comment ref="L22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4" authorId="0" shapeId="0">
      <text>
        <t>fires when: ra1_soviets_upgrade_incendiarybullets</t>
      </text>
    </comment>
    <comment ref="L226" authorId="0" shapeId="0">
      <text>
        <t>per-shot TOTAL across 4 main warhead(s).
raw warhead damages: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7" authorId="0" shapeId="0">
      <text>
        <t>fires when: !ra1_soviets_upgrade_incendiarybullets</t>
      </text>
    </comment>
    <comment ref="L22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8" authorId="0" shapeId="0">
      <text>
        <t>fires when: !ra1_soviets_upgrade_incendiarybullets</t>
      </text>
    </comment>
    <comment ref="L22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9" authorId="0" shapeId="0">
      <text>
        <t>fires when: ra1_soviets_upgrade_incendiarybullets</t>
      </text>
    </comment>
    <comment ref="L23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0" authorId="0" shapeId="0">
      <text>
        <t>fires when: ra1_soviets_upgrade_incendiarybullets</t>
      </text>
    </comment>
    <comment ref="L233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3" authorId="0" shapeId="0">
      <text>
        <t>fires when: !ra1_soviets_doctrine_inferno</t>
      </text>
    </comment>
    <comment ref="L23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4" authorId="0" shapeId="0">
      <text>
        <t>fires when: ra1_soviets_doctrine_inferno</t>
      </text>
    </comment>
    <comment ref="L238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0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0" authorId="0" shapeId="0">
      <text>
        <t>fires when: !ra1_soviets_doctrine_teslaandexperimentaltech &amp;&amp; !ra1_soviets_upgrade_teslaarcing</t>
      </text>
    </comment>
    <comment ref="L241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1" authorId="0" shapeId="0">
      <text>
        <t>fires when: ra1_soviets_doctrine_teslaandexperimentaltech &amp;&amp; !ra1_soviets_upgrade_teslaarcing</t>
      </text>
    </comment>
    <comment ref="L242" authorId="0" shapeId="0">
      <text>
        <t>per-shot TOTAL across 1 main warhead(s).
raw warhead damages: 32000, 16, 16000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2" authorId="0" shapeId="0">
      <text>
        <t>fires when: ra1_soviets_upgrade_teslaarcing</t>
      </text>
    </comment>
  </commentList>
</comments>
</file>

<file path=xl/comments/comment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!ra1_allies_upgrade_cryomissiles</t>
      </text>
    </comment>
    <comment ref="L5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!ra1_allies_upgrade_cryomissiles</t>
      </text>
    </comment>
    <comment ref="L6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ra1_allies_upgrade_cryomissiles</t>
      </text>
    </comment>
    <comment ref="L7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ra1_allies_upgrade_cryomissiles</t>
      </text>
    </comment>
    <comment ref="L9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1 main warhead(s).
raw warhead damages: 7777,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1 main warhead(s).
raw warhead damages: 7777,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3 main warhead(s).
raw warhead damages: 10000, 5,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!ra1_allies_upgrade_cryomissiles</t>
      </text>
    </comment>
    <comment ref="L29" authorId="0" shapeId="0">
      <text>
        <t>per-shot TOTAL across 3 main warhead(s).
raw warhead damages: 10000, 5,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ra1_allies_upgrade_cryomissiles</t>
      </text>
    </comment>
    <comment ref="L3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0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2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5 main warhead(s).
raw warhead damages: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!ra1_allies_upgrade_cryomissiles</t>
      </text>
    </comment>
    <comment ref="L45" authorId="0" shapeId="0">
      <text>
        <t>per-shot TOTAL across 5 main warhead(s).
raw warhead damages: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!ra1_allies_upgrade_cryomissiles</t>
      </text>
    </comment>
    <comment ref="L46" authorId="0" shapeId="0">
      <text>
        <t>per-shot TOTAL across 5 main warhead(s).
raw warhead damages: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ra1_allies_upgrade_cryomissiles</t>
      </text>
    </comment>
    <comment ref="L47" authorId="0" shapeId="0">
      <text>
        <t>per-shot TOTAL across 5 main warhead(s).
raw warhead damages: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ra1_allies_upgrade_cryomissiles</t>
      </text>
    </comment>
    <comment ref="L54" authorId="0" shapeId="0">
      <text>
        <t>per-shot TOTAL across 4 main warhead(s).
raw warhead damages: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!ra1_allies_upgrade_cryomissiles</t>
      </text>
    </comment>
    <comment ref="L55" authorId="0" shapeId="0">
      <text>
        <t>per-shot TOTAL across 4 main warhead(s).
raw warhead damages: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ra1_allies_upgrade_cryomissiles</t>
      </text>
    </comment>
    <comment ref="L5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8 main warhead(s).
raw warhead damages: 4000, 2000, 2, 4000, 2000, 2, 4000, 2, 4000, 2, 4000, 2, 4000, 2, 1000,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!ra1_allies_upgrade_cryomissiles</t>
      </text>
    </comment>
    <comment ref="L60" authorId="0" shapeId="0">
      <text>
        <t>per-shot TOTAL across 8 main warhead(s).
raw warhead damages: 4000, 2000, 2, 4000, 2000, 2, 4000, 2, 4000, 2, 4000, 2, 4000, 2, 1000,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ra1_allies_upgrade_cryomissiles</t>
      </text>
    </comment>
    <comment ref="L62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!ra1_allies_upgrade_cryomissiles</t>
      </text>
    </comment>
    <comment ref="L64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ra1_allies_upgrade_cryomissiles</t>
      </text>
    </comment>
    <comment ref="L6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!ra1_allies_upgrade_cryomissiles</t>
      </text>
    </comment>
    <comment ref="L73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ra1_allies_upgrade_cryomissiles</t>
      </text>
    </comment>
    <comment ref="L7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!ra1_allies_upgrade_cryomissiles</t>
      </text>
    </comment>
    <comment ref="L7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ra1_allies_upgrade_cryomissiles</t>
      </text>
    </comment>
    <comment ref="L77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!ra1_allies_upgrade_cryomissiles</t>
      </text>
    </comment>
    <comment ref="L78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ra1_allies_upgrade_cryomissiles</t>
      </text>
    </comment>
    <comment ref="L8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3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5" authorId="0" shapeId="0">
      <text>
        <t>per-shot TOTAL across 3 main warhead(s).
raw warhead damages: 10000, 5,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!disabled &amp;&amp; !lowpower &amp;&amp; !ra1_allies_upgrade_cryomissiles</t>
      </text>
    </comment>
    <comment ref="L86" authorId="0" shapeId="0">
      <text>
        <t>per-shot TOTAL across 3 main warhead(s).
raw warhead damages: 10000, 5,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!disabled &amp;&amp; !lowpower &amp;&amp; ra1_allies_upgrade_cryomissiles</t>
      </text>
    </comment>
  </commentList>
</comments>
</file>

<file path=xl/comments/comment7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6 main warhead(s).
raw warhead damages: 6000, 3,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6 main warhead(s).
raw warhead damages: 6000, 3,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!cabal_upgrade_neutronnuclearcatalyst</t>
      </text>
    </comment>
    <comment ref="L8" authorId="0" shapeId="0">
      <text>
        <t>per-shot TOTAL across 6 main warhead(s).
raw warhead damages: 50000, 25, 50000, 25, 50000, 25, 50000, 1000, 25, 50000, 25, 888,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cabal_upgrade_neutronnuclearcatalyst</t>
      </text>
    </comment>
    <comment ref="L9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!cabal_upgrade_neutronnuclearcatalyst</t>
      </text>
    </comment>
    <comment ref="L10" authorId="0" shapeId="0">
      <text>
        <t>per-shot TOTAL across 6 main warhead(s).
raw warhead damages: 50000, 25, 50000, 25, 50000, 25, 50000, 1000, 25, 50000, 25, 888,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cabal_upgrade_neutronnuclearcatalyst</t>
      </text>
    </comment>
    <comment ref="L12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!cabal_upgrade_neutronnuclearcatalyst</t>
      </text>
    </comment>
    <comment ref="L13" authorId="0" shapeId="0">
      <text>
        <t>per-shot TOTAL across 6 main warhead(s).
raw warhead damages: 50000, 25, 50000, 25, 50000, 25, 50000, 1000, 25, 50000, 25, 888,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cabal_upgrade_neutronnuclearcatalyst</t>
      </text>
    </comment>
    <comment ref="L14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!cabal_upgrade_neutronnuclearcatalyst</t>
      </text>
    </comment>
    <comment ref="L15" authorId="0" shapeId="0">
      <text>
        <t>per-shot TOTAL across 6 main warhead(s).
raw warhead damages: 50000, 25, 50000, 25, 50000, 25, 50000, 1000, 25, 50000, 25, 888, 50000, 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cabal_upgrade_neutronnuclearcatalyst</t>
      </text>
    </comment>
    <comment ref="L17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1 main warhead(s).
raw warhead damages: 4000,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1 main warhead(s).
raw warhead damages: 4000,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2 main warhead(s).
raw warhead damages: -1600,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1" authorId="0" shapeId="0">
      <text>
        <t>per-shot TOTAL across 4 main warhead(s).
raw warhead damages: 70000, 35, 70000, 35, 600, 70000, 35,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3" authorId="0" shapeId="0">
      <text>
        <t>per-shot TOTAL across 4 main warhead(s).
raw warhead damages: 70000, 35, 70000, 35, 600, 70000, 35,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end_disable == 0</t>
      </text>
    </comment>
    <comment ref="L36" authorId="0" shapeId="0">
      <text>
        <t>per-shot TOTAL across 0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end_disable &gt;= 1</t>
      </text>
    </comment>
    <comment ref="L39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!cabal_upgrade_darkarmament</t>
      </text>
    </comment>
    <comment ref="L40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cabal_upgrade_darkarmament</t>
      </text>
    </comment>
    <comment ref="L41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4 main warhead(s).
raw warhead damages: 42000, 21000, 21, 42000, 21000, 21, 42000, 21, 42000, 21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!cabal_upgrade_neutronnuclearcatalyst</t>
      </text>
    </comment>
    <comment ref="L45" authorId="0" shapeId="0">
      <text>
        <t>per-shot TOTAL across 8 main warhead(s).
raw warhead damages: 42000, 21000, 21, 42000, 21000, 21, 42000, 21, 42000, 21, 42000, 21, 42000, 1000, 21, 42000, 21, 888, 42000, 21,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cabal_upgrade_neutronnuclearcatalyst</t>
      </text>
    </comment>
    <comment ref="L47" authorId="0" shapeId="0">
      <text>
        <t>per-shot TOTAL across 1 main warhead(s).
raw warhead damages: 80000, 40,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8" authorId="0" shapeId="0">
      <text>
        <t>per-shot TOTAL across 1 main warhead(s).
raw warhead damages: 80000, 40,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4 main warhead(s).
raw warhead damages: 10000, 5, 10000, 5000, 5, 10000, 5, 1000, 10000, 5,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1 main warhead(s).
raw warhead damages: 74000, 37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1 main warhead(s).
raw warhead damages: 160000, 80,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160000, 80,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4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7" authorId="0" shapeId="0">
      <text>
        <t>per-shot TOTAL across 1 main warhead(s).
raw warhead damages: 44000, 22,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1 main warhead(s).
raw warhead damages: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2 main warhead(s).
raw warhead damages: 6000, 3, 6000, 3,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5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!cabal_upgrade_neutronnuclearcatalyst</t>
      </text>
    </comment>
    <comment ref="L76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cabal_upgrade_neutronnuclearcatalyst</t>
      </text>
    </comment>
    <comment ref="L79" authorId="0" shapeId="0">
      <text>
        <t>per-shot TOTAL across 1 main warhead(s).
raw warhead damages: 44000, 22,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!cabal_upgrade_neutronnuclearcatalyst</t>
      </text>
    </comment>
    <comment ref="L82" authorId="0" shapeId="0">
      <text>
        <t>per-shot TOTAL across 1 main warhead(s).
raw warhead damages: 24000,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cabal_upgrade_neutronnuclearcatalyst</t>
      </text>
    </comment>
    <comment ref="L85" authorId="0" shapeId="0">
      <text>
        <t>per-shot TOTAL across 2 main warhead(s).
raw warhead damages: 60000, 30,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8" authorId="0" shapeId="0">
      <text>
        <t>per-shot TOTAL across 1 main warhead(s).
raw warhead damages: 4000, 2, 1000, 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0" authorId="0" shapeId="0">
      <text>
        <t>per-shot TOTAL across 2 main warhead(s).
raw warhead damages: 4000, 2,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1 main warhead(s).
raw warhead damages: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2 main warhead(s).
raw warhead damages: 8000, 4, 600,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7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9" authorId="0" shapeId="0">
      <text>
        <t>per-shot TOTAL across 3 main warhead(s).
raw warhead damages: 10000, 5, 600, 10000, 5, 1000,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0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2" authorId="0" shapeId="0">
      <text>
        <t>per-shot TOTAL across 1 main warhead(s).
raw warhead damages: 20000, 10,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3" authorId="0" shapeId="0">
      <text>
        <t>per-shot TOTAL across 6 main warhead(s).
raw warhead damages: 10000, 5000, 5, 10000, 5, 10000, 5, 10000, 5, 10000, 5000,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5" authorId="0" shapeId="0">
      <text>
        <t>per-shot TOTAL across 1 main warhead(s).
raw warhead damages: 4000, 2, 1000, 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7" authorId="0" shapeId="0">
      <text>
        <t>per-shot TOTAL across 1 main warhead(s).
raw warhead damages: 4000, 2, 1000, 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9" authorId="0" shapeId="0">
      <text>
        <t>per-shot TOTAL across 1 main warhead(s).
raw warhead damages: 12500,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1 main warhead(s).
raw warhead damages: 12500,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2" authorId="0" shapeId="0">
      <text>
        <t>per-shot TOTAL across 2 main warhead(s).
raw warhead damages: -1600,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5" authorId="0" shapeId="0">
      <text>
        <t>per-shot TOTAL across 1 main warhead(s).
raw warhead damages: 40000, 22,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6" authorId="0" shapeId="0">
      <text>
        <t>per-shot TOTAL across 1 main warhead(s).
raw warhead damages: 36000, 18,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7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0" authorId="0" shapeId="0">
      <text>
        <t>per-shot TOTAL across 3 main warhead(s).
raw warhead damages: 25000, 12, 25000, 12, 25000,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end_disable == 0</t>
      </text>
    </comment>
    <comment ref="L123" authorId="0" shapeId="0">
      <text>
        <t>per-shot TOTAL across 0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end_disable &gt;= 1</t>
      </text>
    </comment>
    <comment ref="L126" authorId="0" shapeId="0">
      <text>
        <t>per-shot TOTAL across 4 main warhead(s).
raw warhead damages: 70000, 35, 70000, 35, 600, 70000, 35,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9" authorId="0" shapeId="0">
      <text>
        <t>per-shot TOTAL across 1 main warhead(s).
raw warhead damages: 36000, 18,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2" authorId="0" shapeId="0">
      <text>
        <t>per-shot TOTAL across 2 main warhead(s).
raw warhead damages: 10000, 5,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8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!ts_nod_upgrade_tiberiumlenses</t>
      </text>
    </comment>
    <comment ref="L7" authorId="0" shapeId="0">
      <text>
        <t>per-shot TOTAL across 3 main warhead(s).
raw warhead damages: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ts_nod_upgrade_tiberiumlenses</t>
      </text>
    </comment>
    <comment ref="L8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!ts_nod_upgrade_tiberiumlenses</t>
      </text>
    </comment>
    <comment ref="L9" authorId="0" shapeId="0">
      <text>
        <t>per-shot TOTAL across 3 main warhead(s).
raw warhead damages: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ts_nod_upgrade_tiberiumlenses</t>
      </text>
    </comment>
    <comment ref="L10" authorId="0" shapeId="0">
      <text>
        <t>per-shot TOTAL across 1 main warhead(s).
raw warhead damages: 36000, 18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ts_nod_upgrade_auxiliaryweapon</t>
      </text>
    </comment>
    <comment ref="L11" authorId="0" shapeId="0">
      <text>
        <t>per-shot TOTAL across 1 main warhead(s).
raw warhead damages: 36000, 18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ts_nod_upgrade_auxiliaryweapon</t>
      </text>
    </comment>
    <comment ref="L15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!ts_nod_upgrade_tiberiumlenses</t>
      </text>
    </comment>
    <comment ref="L1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!ts_nod_upgrade_tiberiumlenses</t>
      </text>
    </comment>
    <comment ref="L20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ts_nod_upgrade_tiberiumlenses</t>
      </text>
    </comment>
    <comment ref="L21" authorId="0" shapeId="0">
      <text>
        <t>per-shot TOTAL across 2 main warhead(s).
raw warhead damages: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ts_nod_upgrade_tiberiumlenses</t>
      </text>
    </comment>
    <comment ref="L23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!ts_nod_upgrade_tiberiumcoremissiles</t>
      </text>
    </comment>
    <comment ref="L24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!ts_nod_upgrade_tiberiumcoremissiles</t>
      </text>
    </comment>
    <comment ref="L25" authorId="0" shapeId="0">
      <text>
        <t>per-shot TOTAL across 2 main warhead(s).
raw warhead damages: 6000, 3,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ts_nod_upgrade_tiberiumcoremissiles</t>
      </text>
    </comment>
    <comment ref="L26" authorId="0" shapeId="0">
      <text>
        <t>per-shot TOTAL across 2 main warhead(s).
raw warhead damages: 6000, 3,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ts_nod_upgrade_tiberiumcoremissiles</t>
      </text>
    </comment>
    <comment ref="L28" authorId="0" shapeId="0">
      <text>
        <t>per-shot TOTAL across 1 main warhead(s).
raw warhead damages: 7000,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1 main warhead(s).
raw warhead damages: 7000,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6 main warhead(s).
raw warhead damages: 8000, 4, 8000, 4000,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6 main warhead(s).
raw warhead damages: 8000, 4, 8000, 4000,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!deployed</t>
      </text>
    </comment>
    <comment ref="L42" authorId="0" shapeId="0">
      <text>
        <t>per-shot TOTAL across 2 main warhead(s).
raw warhead damages: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(deployed || undeployed) &amp;&amp; !ts_nod_upgrade_auxiliaryweapon</t>
      </text>
    </comment>
    <comment ref="L43" authorId="0" shapeId="0">
      <text>
        <t>per-shot TOTAL across 2 main warhead(s).
raw warhead damages: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(deployed || undeployed) &amp;&amp; ts_nod_upgrade_auxiliaryweapon</t>
      </text>
    </comment>
    <comment ref="L45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!ts_nod_upgrade_tiberiumlenses</t>
      </text>
    </comment>
    <comment ref="L46" authorId="0" shapeId="0">
      <text>
        <t>per-shot TOTAL across 2 main warhead(s).
raw warhead damages: 6000, 3, 6000, 3,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ts_nod_upgrade_tiberiumlenses</t>
      </text>
    </comment>
    <comment ref="L47" authorId="0" shapeId="0">
      <text>
        <t>per-shot TOTAL across 1 main warhead(s).
raw warhead damages: 36000, 18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ts_nod_upgrade_auxiliaryweapon</t>
      </text>
    </comment>
    <comment ref="L49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!ts_nod_upgrade_tiberiumcoremissiles</t>
      </text>
    </comment>
    <comment ref="L50" authorId="0" shapeId="0">
      <text>
        <t>per-shot TOTAL across 4 main warhead(s).
raw warhead damages: 4000, 2, 4000, 2, 4000, 42,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ts_nod_upgrade_tiberiumcoremissiles</t>
      </text>
    </comment>
    <comment ref="L5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!ts_nod_upgrade_tiberiumcoremissiles</t>
      </text>
    </comment>
    <comment ref="L59" authorId="0" shapeId="0">
      <text>
        <t>per-shot TOTAL across 3 main warhead(s).
raw warhead damages: 10000, 5, 10000, 5, 10000, 5, 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ts_nod_upgrade_tiberiumcoremissiles</t>
      </text>
    </comment>
    <comment ref="L61" authorId="0" shapeId="0">
      <text>
        <t>per-shot TOTAL across 2 main warhead(s).
raw warhead damages: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!ts_nod_upgrade_tiberiumcoremissiles</t>
      </text>
    </comment>
    <comment ref="L62" authorId="0" shapeId="0">
      <text>
        <t>per-shot TOTAL across 3 main warhead(s).
raw warhead damages: 8000,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ts_nod_upgrade_tiberiumcoremissiles</t>
      </text>
    </comment>
    <comment ref="L65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undeployed &amp;&amp; !ts_nod_upgrade_tiberiumlenses</t>
      </text>
    </comment>
    <comment ref="L66" authorId="0" shapeId="0">
      <text>
        <t>per-shot TOTAL across 2 main warhead(s).
raw warhead damages: 6000, 3, 6000, 3,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undeployed &amp;&amp; ts_nod_upgrade_tiberiumlenses</t>
      </text>
    </comment>
    <comment ref="L67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deployed &amp;&amp; !ts_nod_upgrade_tiberiumlenses</t>
      </text>
    </comment>
    <comment ref="L68" authorId="0" shapeId="0">
      <text>
        <t>per-shot TOTAL across 2 main warhead(s).
raw warhead damages: 6000, 3, 6000, 3,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deployed &amp;&amp; ts_nod_upgrade_tiberiumlenses</t>
      </text>
    </comment>
    <comment ref="L6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deployed &amp;&amp; ts_nod_upgrade_auxiliaryweapon &amp;&amp; !ts_nod_upgrade_tiberiumlenses</t>
      </text>
    </comment>
    <comment ref="L70" authorId="0" shapeId="0">
      <text>
        <t>per-shot TOTAL across 2 main warhead(s).
raw warhead damages: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deployed &amp;&amp; ts_nod_upgrade_auxiliaryweapon &amp;&amp; ts_nod_upgrade_tiberiumlenses</t>
      </text>
    </comment>
    <comment ref="L73" authorId="0" shapeId="0">
      <text>
        <t>per-shot TOTAL across 2 main warhead(s).
raw warhead damages: 30000, 15, 30000, 15,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!ts_nod_upgrade_tiberiumlenses &amp;&amp; !ts_nod_upgrade_auxiliaryweapon</t>
      </text>
    </comment>
    <comment ref="L76" authorId="0" shapeId="0">
      <text>
        <t>per-shot TOTAL across 1 main warhead(s).
raw warhead damages: 0, 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!ts_nod_upgrade_tiberiumlenses &amp;&amp; ts_nod_upgrade_auxiliaryweapon</t>
      </text>
    </comment>
    <comment ref="L7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!ts_nod_upgrade_tiberiumlenses &amp;&amp; ts_nod_upgrade_auxiliaryweapon</t>
      </text>
    </comment>
    <comment ref="L78" authorId="0" shapeId="0">
      <text>
        <t>per-shot TOTAL across 2 main warhead(s).
raw warhead damages: 4000, 2,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ts_nod_upgrade_tiberiumlenses &amp;&amp; !ts_nod_upgrade_auxiliaryweapon</t>
      </text>
    </comment>
    <comment ref="L79" authorId="0" shapeId="0">
      <text>
        <t>per-shot TOTAL across 3 main warhead(s).
raw warhead damages: 0, 0, 4000, 2, 1000, 0, 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ts_nod_upgrade_tiberiumlenses &amp;&amp; ts_nod_upgrade_auxiliaryweapon</t>
      </text>
    </comment>
    <comment ref="L80" authorId="0" shapeId="0">
      <text>
        <t>per-shot TOTAL across 2 main warhead(s).
raw warhead damages: 4000, 2,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ts_nod_upgrade_tiberiumlenses &amp;&amp; ts_nod_upgrade_auxiliaryweapon</t>
      </text>
    </comment>
    <comment ref="L83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4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5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7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0" authorId="0" shapeId="0">
      <text>
        <t>per-shot TOTAL across 2 main warhead(s).
raw warhead damages: 9000, 5, 9000,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!rank-elite</t>
      </text>
    </comment>
    <comment ref="L91" authorId="0" shapeId="0">
      <text>
        <t>per-shot TOTAL across 3 main warhead(s).
raw warhead damages: 10000, 5, 10000, 5, 10000, 5, 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rank-elite</t>
      </text>
    </comment>
    <comment ref="L93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!rank-elite</t>
      </text>
    </comment>
    <comment ref="L94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rank-elite</t>
      </text>
    </comment>
    <comment ref="L98" authorId="0" shapeId="0">
      <text>
        <t>per-shot TOTAL across 2 main warhead(s).
raw warhead damages: 10000, 5,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!ts_nod_upgrade_tiberiumlenses</t>
      </text>
    </comment>
    <comment ref="L99" authorId="0" shapeId="0">
      <text>
        <t>per-shot TOTAL across 2 main warhead(s).
raw warhead damages: 16000, 8, 16000, 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ts_nod_upgrade_tiberiumlenses</t>
      </text>
    </comment>
    <comment ref="AB101" authorId="0" shapeId="0">
      <text>
        <t>fires when: !ts_nod_tiberiumwastefacility</t>
      </text>
    </comment>
    <comment ref="AB102" authorId="0" shapeId="0">
      <text>
        <t>fires when: ts_nod_tiberiumwastefacility</t>
      </text>
    </comment>
    <comment ref="L104" authorId="0" shapeId="0">
      <text>
        <t>per-shot TOTAL across 2 main warhead(s).
raw warhead damages: 52000, 26, 52000, 26,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!ts_nod_upgrade_tiberiumlenses</t>
      </text>
    </comment>
    <comment ref="L105" authorId="0" shapeId="0">
      <text>
        <t>per-shot TOTAL across 2 main warhead(s).
raw warhead damages: 80000, 40, 80000, 40,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ts_nod_upgrade_tiberiumlenses</t>
      </text>
    </comment>
    <comment ref="L107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!ts_nod_upgrade_tiberiumcoremissiles</t>
      </text>
    </comment>
    <comment ref="L108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ts_nod_upgrade_tiberiumcoremissiles</t>
      </text>
    </comment>
  </commentList>
</comments>
</file>

<file path=xl/comments/comment9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12000, 6, 12000, 6, 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!ts_gdi_upgrade_sonicweaponry</t>
      </text>
    </comment>
    <comment ref="L5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ts_gdi_upgrade_sonicweaponry</t>
      </text>
    </comment>
    <comment ref="L6" authorId="0" shapeId="0">
      <text>
        <t>per-shot TOTAL across 2 main warhead(s).
raw warhead damages: 12000, 6, 12000, 6, 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!ts_gdi_upgrade_sonicweaponry</t>
      </text>
    </comment>
    <comment ref="L7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ts_gdi_upgrade_sonicweaponry</t>
      </text>
    </comment>
    <comment ref="L1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!ts_gdi_upgrade_railgunweaponry</t>
      </text>
    </comment>
    <comment ref="L15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!ts_gdi_upgrade_railgunweaponry</t>
      </text>
    </comment>
    <comment ref="L16" authorId="0" shapeId="0">
      <text>
        <t>per-shot TOTAL across 3 main warhead(s).
raw warhead damages: 2000, 1,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ts_gdi_upgrade_railgunweaponry</t>
      </text>
    </comment>
    <comment ref="L17" authorId="0" shapeId="0">
      <text>
        <t>per-shot TOTAL across 3 main warhead(s).
raw warhead damages: 2000, 1,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ts_gdi_upgrade_railgunweaponry</t>
      </text>
    </comment>
    <comment ref="L1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!ts_gdi_upgrade_railgunweaponry</t>
      </text>
    </comment>
    <comment ref="L29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ts_gdi_upgrade_railgunweaponry</t>
      </text>
    </comment>
    <comment ref="L30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!ts_gdi_upgrade_railgunweaponry</t>
      </text>
    </comment>
    <comment ref="L31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ts_gdi_upgrade_railgunweaponry</t>
      </text>
    </comment>
    <comment ref="L33" authorId="0" shapeId="0">
      <text>
        <t>per-shot TOTAL across 6 main warhead(s).
raw warhead damages: 4000, 2, 4000, 2000,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6 main warhead(s).
raw warhead damages: 4000, 2, 4000, 2000,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!ts_gdi_upgrade_railgunweaponry</t>
      </text>
    </comment>
    <comment ref="L37" authorId="0" shapeId="0">
      <text>
        <t>per-shot TOTAL across 1 main warhead(s).
raw warhead damages: 60000, 1, 1000,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ts_gdi_upgrade_railgunweaponry</t>
      </text>
    </comment>
    <comment ref="L38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!ts_gdi_upgrade_railgunweaponry</t>
      </text>
    </comment>
    <comment ref="L39" authorId="0" shapeId="0">
      <text>
        <t>per-shot TOTAL across 1 main warhead(s).
raw warhead damages: 60000, 1, 1000,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ts_gdi_upgrade_railgunweaponry</t>
      </text>
    </comment>
    <comment ref="L4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2 main warhead(s).
raw warhead damages: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!ts_gdi_upgrade_sonicweaponry</t>
      </text>
    </comment>
    <comment ref="L4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ts_gdi_upgrade_sonicweaponry</t>
      </text>
    </comment>
    <comment ref="L47" authorId="0" shapeId="0">
      <text>
        <t>per-shot TOTAL across 3 main warhead(s).
raw warhead damages: 4000, 2, 4000, 2, 4000, 2000,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!deployed</t>
      </text>
    </comment>
    <comment ref="L50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deployed || undeployed</t>
      </text>
    </comment>
    <comment ref="L52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4" authorId="0" shapeId="0">
      <text>
        <t>per-shot TOTAL across 1 main warhead(s).
raw warhead damages: 80000, 1, 1000,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!ts_gdi_upgrade_railgunweaponry</t>
      </text>
    </comment>
    <comment ref="L55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80000, 1, 1000,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ts_gdi_upgrade_railgunweaponry</t>
      </text>
    </comment>
    <comment ref="L57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!ts_gdi_upgrade_railgunweaponry</t>
      </text>
    </comment>
    <comment ref="L60" authorId="0" shapeId="0">
      <text>
        <t>per-shot TOTAL across 1 main warhead(s).
raw warhead damages: 42000, 21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1 main warhead(s).
raw warhead damages: 40000, 1, 1000,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ts_gdi_upgrade_railgunweaponry</t>
      </text>
    </comment>
    <comment ref="L64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7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!ts_gdi_upgrade_railgunweaponry</t>
      </text>
    </comment>
    <comment ref="L71" authorId="0" shapeId="0">
      <text>
        <t>per-shot TOTAL across 2 main warhead(s).
raw warhead damages: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ts_gdi_upgrade_railgunweaponry</t>
      </text>
    </comment>
    <comment ref="L73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!ts_gdi_upgrade_railgunweaponry</t>
      </text>
    </comment>
    <comment ref="L74" authorId="0" shapeId="0">
      <text>
        <t>per-shot TOTAL across 2 main warhead(s).
raw warhead damages: 18000, 9, 18000, 9,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ts_gdi_upgrade_railgunweaponry</t>
      </text>
    </comment>
    <comment ref="L7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!ts_gdi_upgrade_sonicweaponry</t>
      </text>
    </comment>
    <comment ref="L77" authorId="0" shapeId="0">
      <text>
        <t>per-shot TOTAL across 2 main warhead(s).
raw warhead damages: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ts_gdi_upgrade_sonicweaponry</t>
      </text>
    </comment>
    <comment ref="L79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!ts_gdi_upgrade_sonicweaponry</t>
      </text>
    </comment>
    <comment ref="L80" authorId="0" shapeId="0">
      <text>
        <t>per-shot TOTAL across 2 main warhead(s).
raw warhead damages: 8000, 4,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ts_gdi_upgrade_sonicweaponry</t>
      </text>
    </comment>
    <comment ref="L8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9" authorId="0" shapeId="0">
      <text>
        <t>per-shot TOTAL across 5 main warhead(s).
raw warhead damages: 8000, 4, 8000, 4,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!ts_gdi_upgrade_sonicweaponry</t>
      </text>
    </comment>
    <comment ref="L90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ts_gdi_upgrade_sonicweaponry</t>
      </text>
    </comment>
    <comment ref="L9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!ts_gdi_upgrade_sonicweaponry</t>
      </text>
    </comment>
    <comment ref="L94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ts_gdi_upgrade_sonicweaponry</t>
      </text>
    </comment>
    <comment ref="L96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!ts_gdi_upgrade_sonicweaponry</t>
      </text>
    </comment>
    <comment ref="L97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ts_gdi_upgrade_sonicweaponry</t>
      </text>
    </comment>
    <comment ref="L99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!ts_gdi_upgrade_sonicweaponry</t>
      </text>
    </comment>
    <comment ref="L100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ts_gdi_upgrade_sonicweaponry</t>
      </text>
    </comment>
    <comment ref="L10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9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1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2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3" authorId="0" shapeId="0">
      <text>
        <t>per-shot TOTAL across 3 main warhead(s).
raw warhead damages: 4000, 2, 4000, 2, 4000, 2000,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4" authorId="0" shapeId="0">
      <text>
        <t>per-shot TOTAL across 3 main warhead(s).
raw warhead damages: 4000, 2, 4000, 2, 4000, 2000,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6" authorId="0" shapeId="0">
      <text>
        <t>per-shot TOTAL across 3 main warhead(s).
raw warhead damages: 4000, 2, 4000, 2, 4000, 2000,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7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8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1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2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3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6" authorId="0" shapeId="0">
      <text>
        <t>per-shot TOTAL across 2 main warhead(s).
raw warhead damages: 10000, 5000,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8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8" authorId="0" shapeId="0">
      <text>
        <t>fires when: !ts_gdi_upgrade_railgunweaponry</t>
      </text>
    </comment>
    <comment ref="L129" authorId="0" shapeId="0">
      <text>
        <t>per-shot TOTAL across 3 main warhead(s).
raw warhead damages: 16000, 8, 16000, 8000, 8, 16000, 1, 1000,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ts_gdi_upgrade_railgunweaponry</t>
      </text>
    </comment>
    <comment ref="L13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!ts_gdi_upgrade_sonicweaponry</t>
      </text>
    </comment>
    <comment ref="L134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ts_gdi_upgrade_sonicweaponry</t>
      </text>
    </comment>
  </commentList>
</comments>
</file>

<file path=xl/comments/comment10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!forgotten_upgrade_chemicalweapons</t>
      </text>
    </comment>
    <comment ref="L5" authorId="0" shapeId="0">
      <text>
        <t>per-shot TOTAL across 3 main warhead(s).
raw warhead damages: 32000, 16,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forgotten_upgrade_chemicalweapons</t>
      </text>
    </comment>
    <comment ref="L6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!forgotten_upgrade_chemicalweapons</t>
      </text>
    </comment>
    <comment ref="L7" authorId="0" shapeId="0">
      <text>
        <t>per-shot TOTAL across 3 main warhead(s).
raw warhead damages: 32000, 16,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forgotten_upgrade_chemicalweapons</t>
      </text>
    </comment>
    <comment ref="L1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!forgotten_upgrade_chemicalweapons</t>
      </text>
    </comment>
    <comment ref="L15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forgotten_upgrade_chemicalweapons</t>
      </text>
    </comment>
    <comment ref="L17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!forgotten_upgrade_chemicalweapons</t>
      </text>
    </comment>
    <comment ref="L18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forgotten_upgrade_chemicalweapons</t>
      </text>
    </comment>
    <comment ref="L20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!forgotten_upgrade_chemicalweapons</t>
      </text>
    </comment>
    <comment ref="L2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forgotten_upgrade_chemicalweapons</t>
      </text>
    </comment>
    <comment ref="L23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!forgotten_upgrade_chemicalweapons</t>
      </text>
    </comment>
    <comment ref="L2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forgotten_upgrade_chemicalweapons</t>
      </text>
    </comment>
    <comment ref="L2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!forgotten_upgrade_chemicalweapons</t>
      </text>
    </comment>
    <comment ref="L27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forgotten_upgrade_chemicalweapons</t>
      </text>
    </comment>
    <comment ref="L28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!forgotten_upgrade_chemicalweapons</t>
      </text>
    </comment>
    <comment ref="L2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forgotten_upgrade_chemicalweapons</t>
      </text>
    </comment>
    <comment ref="L3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!forgotten_upgrade_chemicalweapons</t>
      </text>
    </comment>
    <comment ref="L42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forgotten_upgrade_chemicalweapons</t>
      </text>
    </comment>
    <comment ref="L43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!forgotten_upgrade_chemicalweapons</t>
      </text>
    </comment>
    <comment ref="L44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forgotten_upgrade_chemicalweapons</t>
      </text>
    </comment>
    <comment ref="L46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7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3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4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!forgotten_upgrade_chemicalweapons</t>
      </text>
    </comment>
    <comment ref="L65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!forgotten_upgrade_chemicalweapons</t>
      </text>
    </comment>
    <comment ref="L66" authorId="0" shapeId="0">
      <text>
        <t>per-shot TOTAL across 2 main warhead(s).
raw warhead damages: 6000, 3,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forgotten_upgrade_chemicalweapons</t>
      </text>
    </comment>
    <comment ref="L67" authorId="0" shapeId="0">
      <text>
        <t>per-shot TOTAL across 2 main warhead(s).
raw warhead damages: 6000, 3,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forgotten_upgrade_chemicalweapons</t>
      </text>
    </comment>
    <comment ref="L69" authorId="0" shapeId="0">
      <text>
        <t>per-shot TOTAL across 6 main warhead(s).
raw warhead damages: 4000, 2, 4000, 2000,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6 main warhead(s).
raw warhead damages: 4000, 2, 4000, 2000,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!forgotten_upgrade_chemicalweapons</t>
      </text>
    </comment>
    <comment ref="L73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!forgotten_upgrade_chemicalweapons</t>
      </text>
    </comment>
    <comment ref="L74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forgotten_upgrade_chemicalweapons</t>
      </text>
    </comment>
    <comment ref="L75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forgotten_upgrade_chemicalweapons</t>
      </text>
    </comment>
    <comment ref="L77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!forgotten_upgrade_chemicalweapons</t>
      </text>
    </comment>
    <comment ref="L78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!forgotten_upgrade_chemicalweapons</t>
      </text>
    </comment>
    <comment ref="L79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forgotten_upgrade_chemicalweapons</t>
      </text>
    </comment>
    <comment ref="L80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forgotten_upgrade_chemicalweapons</t>
      </text>
    </comment>
    <comment ref="L82" authorId="0" shapeId="0">
      <text>
        <t>per-shot TOTAL across 4 main warhead(s).
raw warhead damages: 6000, 3000,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!forgotten_upgrade_chemicalweapons</t>
      </text>
    </comment>
    <comment ref="L83" authorId="0" shapeId="0">
      <text>
        <t>per-shot TOTAL across 4 main warhead(s).
raw warhead damages: 6000, 3000, 3, 6000, 3000,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!forgotten_upgrade_chemicalweapons</t>
      </text>
    </comment>
    <comment ref="L84" authorId="0" shapeId="0">
      <text>
        <t>per-shot TOTAL across 6 main warhead(s).
raw warhead damages: 6000, 3000, 3, 6000, 3000,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forgotten_upgrade_chemicalweapons</t>
      </text>
    </comment>
    <comment ref="L85" authorId="0" shapeId="0">
      <text>
        <t>per-shot TOTAL across 6 main warhead(s).
raw warhead damages: 6000, 3000, 3, 6000, 3000,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forgotten_upgrade_chemicalweapons</t>
      </text>
    </comment>
    <comment ref="L87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!forgotten_upgrade_chemicalweapons</t>
      </text>
    </comment>
    <comment ref="L88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!forgotten_upgrade_chemicalweapons</t>
      </text>
    </comment>
    <comment ref="L89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forgotten_upgrade_chemicalweapons</t>
      </text>
    </comment>
    <comment ref="L90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forgotten_upgrade_chemicalweapons</t>
      </text>
    </comment>
    <comment ref="L92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0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1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3" authorId="0" shapeId="0">
      <text>
        <t>per-shot TOTAL across 1 main warhead(s).
raw warhead damages: 28000, 14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!forgotten_upgrade_chemicalweapons</t>
      </text>
    </comment>
    <comment ref="L104" authorId="0" shapeId="0">
      <text>
        <t>per-shot TOTAL across 2 main warhead(s).
raw warhead damages: 28000, 14,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forgotten_upgrade_chemicalweapons</t>
      </text>
    </comment>
    <comment ref="L106" authorId="0" shapeId="0">
      <text>
        <t>per-shot TOTAL across 3 main warhead(s).
raw warhead damages: 30000, 15, 3600,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!forgotten_upgrade_chemicalweapons</t>
      </text>
    </comment>
    <comment ref="L107" authorId="0" shapeId="0">
      <text>
        <t>per-shot TOTAL across 4 main warhead(s).
raw warhead damages: 30000, 15, 3600, 30000, 15, 30000, 15000,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forgotten_upgrade_chemicalweapons</t>
      </text>
    </comment>
    <comment ref="L108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!forgotten_upgrade_chemicalweapons</t>
      </text>
    </comment>
    <comment ref="L111" authorId="0" shapeId="0">
      <text>
        <t>per-shot TOTAL across 4 main warhead(s).
raw warhead damages: 20000, 10, 20000, 10,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forgotten_upgrade_chemicalweapons</t>
      </text>
    </comment>
    <comment ref="L11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!forgotten_upgrade_chemicalweapons</t>
      </text>
    </comment>
    <comment ref="L11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!forgotten_upgrade_chemicalweapons</t>
      </text>
    </comment>
    <comment ref="L11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5" authorId="0" shapeId="0">
      <text>
        <t>fires when: forgotten_upgrade_chemicalweapons</t>
      </text>
    </comment>
    <comment ref="L11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forgotten_upgrade_chemicalweapons</t>
      </text>
    </comment>
    <comment ref="L118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!forgotten_upgrade_chemicalweapons</t>
      </text>
    </comment>
    <comment ref="L119" authorId="0" shapeId="0">
      <text>
        <t>per-shot TOTAL across 2 main warhead(s).
raw warhead damages: 12000, 6, 24000, 12000,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forgotten_upgrade_chemicalweapons</t>
      </text>
    </comment>
    <comment ref="L121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!forgotten_upgrade_chemicalweapons</t>
      </text>
    </comment>
    <comment ref="L122" authorId="0" shapeId="0">
      <text>
        <t>per-shot TOTAL across 2 main warhead(s).
raw warhead damages: 12000, 6, 24000, 500,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forgotten_upgrade_chemicalweapons</t>
      </text>
    </comment>
    <comment ref="L12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9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!forgotten_upgrade_chemicalweapons</t>
      </text>
    </comment>
    <comment ref="L130" authorId="0" shapeId="0">
      <text>
        <t>per-shot TOTAL across 2 main warhead(s).
raw warhead damages: 4000,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0" authorId="0" shapeId="0">
      <text>
        <t>fires when: forgotten_upgrade_chemicalweapons</t>
      </text>
    </comment>
    <comment ref="L132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!forgotten_upgrade_chemicalweapons</t>
      </text>
    </comment>
    <comment ref="L133" authorId="0" shapeId="0">
      <text>
        <t>per-shot TOTAL across 4 main warhead(s).
raw warhead damages: 10000, 5, 8000, 4, 18000, 9000,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forgotten_upgrade_chemicalweapons</t>
      </text>
    </comment>
    <comment ref="L135" authorId="0" shapeId="0">
      <text>
        <t>per-shot TOTAL across 2 main warhead(s).
raw warhead damages: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6" authorId="0" shapeId="0">
      <text>
        <t>per-shot TOTAL across 3 main warhead(s).
raw warhead damages: 8000,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8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8" authorId="0" shapeId="0">
      <text>
        <t>fires when: !forgotten_upgrade_chemicalweapons</t>
      </text>
    </comment>
    <comment ref="L139" authorId="0" shapeId="0">
      <text>
        <t>per-shot TOTAL across 2 main warhead(s).
raw warhead damages: 20000, 10,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9" authorId="0" shapeId="0">
      <text>
        <t>fires when: forgotten_upgrade_chemicalweapons</t>
      </text>
    </comment>
    <comment ref="L141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!forgotten_upgrade_chemicalweapons</t>
      </text>
    </comment>
    <comment ref="L142" authorId="0" shapeId="0">
      <text>
        <t>per-shot TOTAL across 2 main warhead(s).
raw warhead damages: 15000, 7,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forgotten_upgrade_chemicalweapons</t>
      </text>
    </comment>
    <comment ref="L144" authorId="0" shapeId="0">
      <text>
        <t>per-shot TOTAL across 2 main warhead(s).
raw warhead damages: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!forgotten_upgrade_chemicalweapons</t>
      </text>
    </comment>
    <comment ref="L145" authorId="0" shapeId="0">
      <text>
        <t>per-shot TOTAL across 4 main warhead(s).
raw warhead damages: 32000, 16000, 16, 32000, 16,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forgotten_upgrade_chemicalweapons</t>
      </text>
    </comment>
    <comment ref="L148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8" authorId="0" shapeId="0">
      <text>
        <t>fires when: !forgotten_upgrade_chemicalweapons</t>
      </text>
    </comment>
    <comment ref="L149" authorId="0" shapeId="0">
      <text>
        <t>per-shot TOTAL across 2 main warhead(s).
raw warhead damages: 20000, 1, 40000, 20,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9" authorId="0" shapeId="0">
      <text>
        <t>fires when: forgotten_upgrade_chemicalweapons</t>
      </text>
    </comment>
    <comment ref="L152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2" authorId="0" shapeId="0">
      <text>
        <t>fires when: !forgotten_upgrade_chemicalweapons</t>
      </text>
    </comment>
    <comment ref="L153" authorId="0" shapeId="0">
      <text>
        <t>per-shot TOTAL across 7 main warhead(s).
raw warhead damages: 4000, 2, 12000, 6,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forgotten_upgrade_chemicalweapons</t>
      </text>
    </comment>
    <comment ref="L157" authorId="0" shapeId="0">
      <text>
        <t>per-shot TOTAL across 6 main warhead(s).
raw warhead damages: 4000, 2,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7" authorId="0" shapeId="0">
      <text>
        <t>fires when: !forgotten_upgrade_chemicalweapons</t>
      </text>
    </comment>
    <comment ref="L158" authorId="0" shapeId="0">
      <text>
        <t>per-shot TOTAL across 7 main warhead(s).
raw warhead damages: 4000, 2, 12000, 6, 4000, 2, 4000, 2000,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forgotten_upgrade_chemicalweapons</t>
      </text>
    </comment>
    <comment ref="L160" authorId="0" shapeId="0">
      <text>
        <t>per-shot TOTAL across 1 main warhead(s).
raw warhead damages: 120000, 60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0" authorId="0" shapeId="0">
      <text>
        <t>fires when: !forgotten_upgrade_chemicalweapons</t>
      </text>
    </comment>
    <comment ref="L161" authorId="0" shapeId="0">
      <text>
        <t>per-shot TOTAL across 2 main warhead(s).
raw warhead damages: 120000, 60,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1" authorId="0" shapeId="0">
      <text>
        <t>fires when: forgotten_upgrade_chemicalweapons</t>
      </text>
    </comment>
    <comment ref="L163" authorId="0" shapeId="0">
      <text>
        <t>per-shot TOTAL across 1 main warhead(s).
raw warhead damages: 180000, 90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3" authorId="0" shapeId="0">
      <text>
        <t>fires when: !forgotten_upgrade_chemicalweapons</t>
      </text>
    </comment>
    <comment ref="L164" authorId="0" shapeId="0">
      <text>
        <t>per-shot TOTAL across 2 main warhead(s).
raw warhead damages: 180000, 90, 90000, 45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forgotten_upgrade_chemicalweapons</t>
      </text>
    </comment>
    <comment ref="L166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9" authorId="0" shapeId="0">
      <text>
        <t>per-shot TOTAL across 2 main warhead(s).
raw warhead damages: 2000, 1,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9" authorId="0" shapeId="0">
      <text>
        <t>fires when: !forgotten_upgrade_chemicalweapons</t>
      </text>
    </comment>
    <comment ref="L170" authorId="0" shapeId="0">
      <text>
        <t>per-shot TOTAL across 3 main warhead(s).
raw warhead damages: 1000, 500, 1, 16000, 8,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0" authorId="0" shapeId="0">
      <text>
        <t>fires when: forgotten_upgrade_chemicalweapons</t>
      </text>
    </comment>
    <comment ref="L171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2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4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5" authorId="0" shapeId="0">
      <text>
        <t>per-shot TOTAL across 1 main warhead(s).
raw warhead damages: 20000,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5" authorId="0" shapeId="0">
      <text>
        <t>fires when: !forgotten_upgrade_chemicalweapons</t>
      </text>
    </comment>
    <comment ref="L176" authorId="0" shapeId="0">
      <text>
        <t>per-shot TOTAL across 2 main warhead(s).
raw warhead damages: 20000, 10000, 15, 10000,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6" authorId="0" shapeId="0">
      <text>
        <t>fires when: forgotten_upgrade_chemicalweapons</t>
      </text>
    </comment>
    <comment ref="L177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9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9" authorId="0" shapeId="0">
      <text>
        <t>fires when: !forgotten_upgrade_chemicalweapons</t>
      </text>
    </comment>
    <comment ref="L180" authorId="0" shapeId="0">
      <text>
        <t>per-shot TOTAL across 2 main warhead(s).
raw warhead damages: 12000, 6, 24000, 12000,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0" authorId="0" shapeId="0">
      <text>
        <t>fires when: forgotten_upgrade_chemicalweapons</t>
      </text>
    </comment>
    <comment ref="L18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3" authorId="0" shapeId="0">
      <text>
        <t>fires when: !forgotten_upgrade_chemicalweapons</t>
      </text>
    </comment>
    <comment ref="L184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4" authorId="0" shapeId="0">
      <text>
        <t>fires when: forgotten_upgrade_chemicalweapons</t>
      </text>
    </comment>
    <comment ref="L186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6" authorId="0" shapeId="0">
      <text>
        <t>fires when: !forgotten_upgrade_chemicalweapons</t>
      </text>
    </comment>
    <comment ref="L187" authorId="0" shapeId="0">
      <text>
        <t>per-shot TOTAL across 3 main warhead(s).
raw warhead damages: 16000, 8, 16000, 8, 16000, 8000,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7" authorId="0" shapeId="0">
      <text>
        <t>fires when: forgotten_upgrade_chemicalweapons</t>
      </text>
    </comment>
    <comment ref="L189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11.xml><?xml version="1.0" encoding="utf-8"?>
<comments xmlns="http://schemas.openxmlformats.org/spreadsheetml/2006/main">
  <authors>
    <author>balance-pipeline</author>
  </authors>
  <commentList>
    <comment ref="L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!rank-elite</t>
      </text>
    </comment>
    <comment ref="L2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rank-elite</t>
      </text>
    </comment>
    <comment ref="L3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!rank-elite</t>
      </text>
    </comment>
    <comment ref="L3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rank-elite</t>
      </text>
    </comment>
    <comment ref="L3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</t>
      </text>
    </comment>
    <comment ref="L3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rank-elite</t>
      </text>
    </comment>
    <comment ref="L3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!rank-elite</t>
      </text>
    </comment>
    <comment ref="L3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rank-elite</t>
      </text>
    </comment>
    <comment ref="L4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!rank-elite</t>
      </text>
    </comment>
    <comment ref="L4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rank-elite</t>
      </text>
    </comment>
    <comment ref="L4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5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!rank-elite</t>
      </text>
    </comment>
    <comment ref="L132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rank-elite</t>
      </text>
    </comment>
    <comment ref="L135" authorId="0" shapeId="0">
      <text>
        <t>per-shot TOTAL across 2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!rank-elite</t>
      </text>
    </comment>
    <comment ref="L14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rank-elite</t>
      </text>
    </comment>
    <comment ref="L14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9" authorId="0" shapeId="0">
      <text>
        <t>fires when: !rank-elite</t>
      </text>
    </comment>
    <comment ref="L15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0" authorId="0" shapeId="0">
      <text>
        <t>fires when: rank-elite</t>
      </text>
    </comment>
    <comment ref="L15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8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(!ra2_soviets_upgrade_teslaoverload &amp;&amp; !rank-elite)</t>
      </text>
    </comment>
    <comment ref="L159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9" authorId="0" shapeId="0">
      <text>
        <t>fires when: (ra2_soviets_upgrade_teslaoverload &amp;&amp; !rank-elite) || (!ra2_soviets_upgrade_teslaoverload &amp;&amp; rank-elite)</t>
      </text>
    </comment>
    <comment ref="L160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0" authorId="0" shapeId="0">
      <text>
        <t>fires when: (ra2_soviets_upgrade_teslaoverload &amp;&amp; rank-elite)</t>
      </text>
    </comment>
    <comment ref="L162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2" authorId="0" shapeId="0">
      <text>
        <t>fires when: (!ra2_soviets_upgrade_teslaoverload &amp;&amp; !rank-elite)</t>
      </text>
    </comment>
    <comment ref="L163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3" authorId="0" shapeId="0">
      <text>
        <t>fires when: (ra2_soviets_upgrade_teslaoverload &amp;&amp; !rank-elite) || (!ra2_soviets_upgrade_teslaoverload &amp;&amp; rank-elite)</t>
      </text>
    </comment>
    <comment ref="L164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(ra2_soviets_upgrade_teslaoverload &amp;&amp; rank-elite)</t>
      </text>
    </comment>
    <comment ref="L167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7" authorId="0" shapeId="0">
      <text>
        <t>fires when: !rank-elite</t>
      </text>
    </comment>
    <comment ref="L168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8" authorId="0" shapeId="0">
      <text>
        <t>fires when: !rank-elite</t>
      </text>
    </comment>
    <comment ref="L169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9" authorId="0" shapeId="0">
      <text>
        <t>fires when: rank-elite</t>
      </text>
    </comment>
    <comment ref="L170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0" authorId="0" shapeId="0">
      <text>
        <t>fires when: rank-elite</t>
      </text>
    </comment>
    <comment ref="L175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5" authorId="0" shapeId="0">
      <text>
        <t>fires when: !rank-elite</t>
      </text>
    </comment>
    <comment ref="L176" authorId="0" shapeId="0">
      <text>
        <t>per-shot TOTAL across 2 main warhead(s).
raw warhead damages: 18000, 9,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6" authorId="0" shapeId="0">
      <text>
        <t>fires when: rank-elite</t>
      </text>
    </comment>
    <comment ref="L179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9" authorId="0" shapeId="0">
      <text>
        <t>fires when: !ra2_soviets_doctrine_nuclearmunitions &amp;&amp; !ra2_soviets_doctrine_firemunitions &amp;&amp; !ra2_soviets_doctrine_teslamunitions</t>
      </text>
    </comment>
    <comment ref="L180" authorId="0" shapeId="0">
      <text>
        <t>per-shot TOTAL across 5 main warhead(s).
raw warhead damages: 4000, 2,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0" authorId="0" shapeId="0">
      <text>
        <t>fires when: ra2_soviets_doctrine_nuclearmunitions</t>
      </text>
    </comment>
    <comment ref="L181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1" authorId="0" shapeId="0">
      <text>
        <t>fires when: ra2_soviets_doctrine_firemunitions</t>
      </text>
    </comment>
    <comment ref="L182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2" authorId="0" shapeId="0">
      <text>
        <t>fires when: ra2_soviets_doctrine_teslamunitions</t>
      </text>
    </comment>
    <comment ref="L186" authorId="0" shapeId="0">
      <text>
        <t>per-shot TOTAL across 3 main warhead(s).
raw warhead damages: 8000, 4, 4000, 8000, 4, 1000,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6" authorId="0" shapeId="0">
      <text>
        <t>fires when: !rank-elite</t>
      </text>
    </comment>
    <comment ref="L187" authorId="0" shapeId="0">
      <text>
        <t>per-shot TOTAL across 3 main warhead(s).
raw warhead damages: 8000, 4, 4000, 8000, 4, 1000,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7" authorId="0" shapeId="0">
      <text>
        <t>fires when: rank-elite</t>
      </text>
    </comment>
  </commentList>
</comments>
</file>

<file path=xl/comments/comment12.xml><?xml version="1.0" encoding="utf-8"?>
<comments xmlns="http://schemas.openxmlformats.org/spreadsheetml/2006/main">
  <authors>
    <author>balance-pipeline</author>
  </authors>
  <commentList>
    <comment ref="AB7" authorId="0" shapeId="0">
      <text>
        <t>fires when: !rank-elite</t>
      </text>
    </comment>
    <comment ref="AB8" authorId="0" shapeId="0">
      <text>
        <t>fires when: rank-elite</t>
      </text>
    </comment>
    <comment ref="AB9" authorId="0" shapeId="0">
      <text>
        <t>fires when: !rank-elite</t>
      </text>
    </comment>
    <comment ref="AB10" authorId="0" shapeId="0">
      <text>
        <t>fires when: rank-elite</t>
      </text>
    </comment>
    <comment ref="L1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!deployed &amp;&amp; !ra2_allies_upgrade_elitegi</t>
      </text>
    </comment>
    <comment ref="L1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!deployed &amp;&amp; ra2_allies_upgrade_elitegi</t>
      </text>
    </comment>
    <comment ref="L1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!deployed &amp;&amp; !rank-elite &amp;&amp; !ra2_allies_upgrade_elitegi</t>
      </text>
    </comment>
    <comment ref="L2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!deployed &amp;&amp; !rank-elite &amp;&amp; ra2_allies_upgrade_elitegi</t>
      </text>
    </comment>
    <comment ref="L2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!deployed &amp;&amp; rank-elite &amp;&amp; !ra2_allies_upgrade_elitegi</t>
      </text>
    </comment>
    <comment ref="L2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!deployed &amp;&amp; rank-elite &amp;&amp; ra2_allies_upgrade_elitegi</t>
      </text>
    </comment>
    <comment ref="AB24" authorId="0" shapeId="0">
      <text>
        <t>fires when: botmicro</t>
      </text>
    </comment>
    <comment ref="L25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!rank-elite &amp;&amp; deployed</t>
      </text>
    </comment>
    <comment ref="L26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!rank-elite</t>
      </text>
    </comment>
    <comment ref="L27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rank-elite &amp;&amp; deployed</t>
      </text>
    </comment>
    <comment ref="L28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rank-elite</t>
      </text>
    </comment>
    <comment ref="L3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3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!rank-elite</t>
      </text>
    </comment>
    <comment ref="L34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rank-elite</t>
      </text>
    </comment>
    <comment ref="L35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</t>
      </text>
    </comment>
    <comment ref="L36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rank-elite</t>
      </text>
    </comment>
    <comment ref="L39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88000, 44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rank-elite</t>
      </text>
    </comment>
    <comment ref="L41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!rank-elite</t>
      </text>
    </comment>
    <comment ref="L42" authorId="0" shapeId="0">
      <text>
        <t>per-shot TOTAL across 1 main warhead(s).
raw warhead damages: 88000, 44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rank-elite</t>
      </text>
    </comment>
    <comment ref="L44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!rank-elite</t>
      </text>
    </comment>
    <comment ref="L45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rank-elite</t>
      </text>
    </comment>
    <comment ref="L48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!rank-elite</t>
      </text>
    </comment>
    <comment ref="L49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rank-elite</t>
      </text>
    </comment>
    <comment ref="L5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0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!rank-elite</t>
      </text>
    </comment>
    <comment ref="L6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rank-elite</t>
      </text>
    </comment>
    <comment ref="L63" authorId="0" shapeId="0">
      <text>
        <t>per-shot TOTAL across 4 main warhead(s).
raw warhead damages: 8000, 4, 1000,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!rank-elite</t>
      </text>
    </comment>
    <comment ref="L64" authorId="0" shapeId="0">
      <text>
        <t>per-shot TOTAL across 4 main warhead(s).
raw warhead damages: 8000, 4, 1000,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rank-elite</t>
      </text>
    </comment>
    <comment ref="L6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ifv-mg</t>
      </text>
    </comment>
    <comment ref="L6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ifv-hmg</t>
      </text>
    </comment>
    <comment ref="L68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ifv-archer</t>
      </text>
    </comment>
    <comment ref="L6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ifv-repair</t>
      </text>
    </comment>
    <comment ref="L70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ifv-lightsniper</t>
      </text>
    </comment>
    <comment ref="L71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ifv-hero</t>
      </text>
    </comment>
    <comment ref="L72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ifv-tesla</t>
      </text>
    </comment>
    <comment ref="L73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ifv-flak</t>
      </text>
    </comment>
    <comment ref="L74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ifv-cannon</t>
      </text>
    </comment>
    <comment ref="L75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ifv-grenade</t>
      </text>
    </comment>
    <comment ref="L76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ifv-plasma</t>
      </text>
    </comment>
    <comment ref="AB77" authorId="0" shapeId="0">
      <text>
        <t>fires when: ifv-litlaser</t>
      </text>
    </comment>
    <comment ref="L78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ifv-medlaser</t>
      </text>
    </comment>
    <comment ref="L79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ifv-greelaser</t>
      </text>
    </comment>
    <comment ref="L80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ifv-misslaser</t>
      </text>
    </comment>
    <comment ref="L81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ifv-fire</t>
      </text>
    </comment>
    <comment ref="L82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ifv-chem</t>
      </text>
    </comment>
    <comment ref="L83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ifv-thrax</t>
      </text>
    </comment>
    <comment ref="L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ifv-miss &amp;&amp; !rank-elite &amp;&amp; !ra2_allies_upgrade_thunderboltmissiles</t>
      </text>
    </comment>
    <comment ref="AB85" authorId="0" shapeId="0">
      <text>
        <t>fires when: ifv-chrono</t>
      </text>
    </comment>
    <comment ref="AB86" authorId="0" shapeId="0">
      <text>
        <t>fires when: ifv-chrono</t>
      </text>
    </comment>
    <comment ref="AB87" authorId="0" shapeId="0">
      <text>
        <t>fires when: ifv-demo</t>
      </text>
    </comment>
    <comment ref="AB88" authorId="0" shapeId="0">
      <text>
        <t>fires when: ifv-fremen</t>
      </text>
    </comment>
    <comment ref="L89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ifv-sonic</t>
      </text>
    </comment>
    <comment ref="L90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ifv-healer</t>
      </text>
    </comment>
    <comment ref="L91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92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93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94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9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9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9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9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9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ifv-miss &amp;&amp; rank-elite &amp;&amp; !ra2_allies_upgrade_thunderboltmissiles</t>
      </text>
    </comment>
    <comment ref="L10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ifv-miss &amp;&amp; !rank-elite &amp;&amp; !ra2_allies_upgrade_thunderboltmissiles</t>
      </text>
    </comment>
    <comment ref="L10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ifv-miss &amp;&amp; rank-elite &amp;&amp; !ra2_allies_upgrade_thunderboltmissiles</t>
      </text>
    </comment>
    <comment ref="L10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ifv-miss &amp;&amp; !rank-elite &amp;&amp; ra2_allies_upgrade_thunderboltmissiles</t>
      </text>
    </comment>
    <comment ref="L10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ifv-miss &amp;&amp; rank-elite &amp;&amp; ra2_allies_upgrade_thunderboltmissiles</t>
      </text>
    </comment>
    <comment ref="L10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ifv-miss &amp;&amp; !rank-elite &amp;&amp; ra2_allies_upgrade_thunderboltmissiles</t>
      </text>
    </comment>
    <comment ref="L10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ifv-miss &amp;&amp; rank-elite &amp;&amp; ra2_allies_upgrade_thunderboltmissiles</t>
      </text>
    </comment>
    <comment ref="L10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ifv-healer</t>
      </text>
    </comment>
    <comment ref="L107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ifv-ra1_allies_alliedsniper</t>
      </text>
    </comment>
    <comment ref="L10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ifv-mg</t>
      </text>
    </comment>
    <comment ref="L11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ifv-hmg</t>
      </text>
    </comment>
    <comment ref="L111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ifv-archer</t>
      </text>
    </comment>
    <comment ref="L112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ifv-repair</t>
      </text>
    </comment>
    <comment ref="L113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ifv-lightsniper</t>
      </text>
    </comment>
    <comment ref="L114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ifv-hero</t>
      </text>
    </comment>
    <comment ref="L115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5" authorId="0" shapeId="0">
      <text>
        <t>fires when: ifv-tesla</t>
      </text>
    </comment>
    <comment ref="L116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ifv-flak</t>
      </text>
    </comment>
    <comment ref="L117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7" authorId="0" shapeId="0">
      <text>
        <t>fires when: ifv-cannon</t>
      </text>
    </comment>
    <comment ref="L118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ifv-grenade</t>
      </text>
    </comment>
    <comment ref="L119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ifv-plasma</t>
      </text>
    </comment>
    <comment ref="AB120" authorId="0" shapeId="0">
      <text>
        <t>fires when: ifv-litlaser</t>
      </text>
    </comment>
    <comment ref="L121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ifv-medlaser</t>
      </text>
    </comment>
    <comment ref="L122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ifv-greelaser</t>
      </text>
    </comment>
    <comment ref="L123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ifv-misslaser</t>
      </text>
    </comment>
    <comment ref="L124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ifv-fire</t>
      </text>
    </comment>
    <comment ref="L125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ifv-chem</t>
      </text>
    </comment>
    <comment ref="L126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ifv-thrax</t>
      </text>
    </comment>
    <comment ref="L12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ifv-miss &amp;&amp; !rank-elite &amp;&amp; !ra2_allies_upgrade_thunderboltmissiles</t>
      </text>
    </comment>
    <comment ref="AB128" authorId="0" shapeId="0">
      <text>
        <t>fires when: ifv-chrono</t>
      </text>
    </comment>
    <comment ref="AB129" authorId="0" shapeId="0">
      <text>
        <t>fires when: ifv-chrono</t>
      </text>
    </comment>
    <comment ref="AB130" authorId="0" shapeId="0">
      <text>
        <t>fires when: ifv-demo</t>
      </text>
    </comment>
    <comment ref="AB131" authorId="0" shapeId="0">
      <text>
        <t>fires when: ifv-fremen</t>
      </text>
    </comment>
    <comment ref="L132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ifv-sonic</t>
      </text>
    </comment>
    <comment ref="L13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ifv-healer</t>
      </text>
    </comment>
    <comment ref="L134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35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36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37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3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3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4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4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4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ifv-miss &amp;&amp; rank-elite &amp;&amp; !ra2_allies_upgrade_thunderboltmissiles</t>
      </text>
    </comment>
    <comment ref="L14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ifv-miss &amp;&amp; !rank-elite &amp;&amp; !ra2_allies_upgrade_thunderboltmissiles</t>
      </text>
    </comment>
    <comment ref="L14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ifv-miss &amp;&amp; rank-elite &amp;&amp; !ra2_allies_upgrade_thunderboltmissiles</t>
      </text>
    </comment>
    <comment ref="L14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ifv-miss &amp;&amp; !rank-elite &amp;&amp; ra2_allies_upgrade_thunderboltmissiles</t>
      </text>
    </comment>
    <comment ref="L14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6" authorId="0" shapeId="0">
      <text>
        <t>fires when: ifv-miss &amp;&amp; rank-elite &amp;&amp; ra2_allies_upgrade_thunderboltmissiles</t>
      </text>
    </comment>
    <comment ref="L14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7" authorId="0" shapeId="0">
      <text>
        <t>fires when: ifv-miss &amp;&amp; !rank-elite &amp;&amp; ra2_allies_upgrade_thunderboltmissiles</t>
      </text>
    </comment>
    <comment ref="L14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8" authorId="0" shapeId="0">
      <text>
        <t>fires when: ifv-miss &amp;&amp; rank-elite &amp;&amp; ra2_allies_upgrade_thunderboltmissiles</t>
      </text>
    </comment>
    <comment ref="L14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9" authorId="0" shapeId="0">
      <text>
        <t>fires when: ifv-healer</t>
      </text>
    </comment>
    <comment ref="L150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0" authorId="0" shapeId="0">
      <text>
        <t>fires when: ifv-ra1_allies_alliedsniper</t>
      </text>
    </comment>
    <comment ref="L15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2" authorId="0" shapeId="0">
      <text>
        <t>fires when: ifv-mg</t>
      </text>
    </comment>
    <comment ref="L15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ifv-hmg</t>
      </text>
    </comment>
    <comment ref="L154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4" authorId="0" shapeId="0">
      <text>
        <t>fires when: ifv-archer</t>
      </text>
    </comment>
    <comment ref="L155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5" authorId="0" shapeId="0">
      <text>
        <t>fires when: ifv-repair</t>
      </text>
    </comment>
    <comment ref="L156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6" authorId="0" shapeId="0">
      <text>
        <t>fires when: ifv-lightsniper</t>
      </text>
    </comment>
    <comment ref="L157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7" authorId="0" shapeId="0">
      <text>
        <t>fires when: ifv-hero</t>
      </text>
    </comment>
    <comment ref="L158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ifv-tesla</t>
      </text>
    </comment>
    <comment ref="L159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9" authorId="0" shapeId="0">
      <text>
        <t>fires when: ifv-flak</t>
      </text>
    </comment>
    <comment ref="L160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0" authorId="0" shapeId="0">
      <text>
        <t>fires when: ifv-cannon</t>
      </text>
    </comment>
    <comment ref="L16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1" authorId="0" shapeId="0">
      <text>
        <t>fires when: ifv-grenade</t>
      </text>
    </comment>
    <comment ref="L162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2" authorId="0" shapeId="0">
      <text>
        <t>fires when: ifv-plasma</t>
      </text>
    </comment>
    <comment ref="AB163" authorId="0" shapeId="0">
      <text>
        <t>fires when: ifv-litlaser</t>
      </text>
    </comment>
    <comment ref="L164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ifv-medlaser</t>
      </text>
    </comment>
    <comment ref="L165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5" authorId="0" shapeId="0">
      <text>
        <t>fires when: ifv-greelaser</t>
      </text>
    </comment>
    <comment ref="L166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6" authorId="0" shapeId="0">
      <text>
        <t>fires when: ifv-misslaser</t>
      </text>
    </comment>
    <comment ref="L167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7" authorId="0" shapeId="0">
      <text>
        <t>fires when: ifv-fire</t>
      </text>
    </comment>
    <comment ref="L168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8" authorId="0" shapeId="0">
      <text>
        <t>fires when: ifv-chem</t>
      </text>
    </comment>
    <comment ref="L169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9" authorId="0" shapeId="0">
      <text>
        <t>fires when: ifv-thrax</t>
      </text>
    </comment>
    <comment ref="L17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0" authorId="0" shapeId="0">
      <text>
        <t>fires when: ifv-miss &amp;&amp; !rank-elite &amp;&amp; !ra2_allies_upgrade_thunderboltmissiles</t>
      </text>
    </comment>
    <comment ref="AB171" authorId="0" shapeId="0">
      <text>
        <t>fires when: ifv-chrono</t>
      </text>
    </comment>
    <comment ref="AB172" authorId="0" shapeId="0">
      <text>
        <t>fires when: ifv-chrono</t>
      </text>
    </comment>
    <comment ref="AB173" authorId="0" shapeId="0">
      <text>
        <t>fires when: ifv-demo</t>
      </text>
    </comment>
    <comment ref="AB174" authorId="0" shapeId="0">
      <text>
        <t>fires when: ifv-fremen</t>
      </text>
    </comment>
    <comment ref="L175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5" authorId="0" shapeId="0">
      <text>
        <t>fires when: ifv-sonic</t>
      </text>
    </comment>
    <comment ref="L17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6" authorId="0" shapeId="0">
      <text>
        <t>fires when: ifv-healer</t>
      </text>
    </comment>
    <comment ref="L177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78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79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80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8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8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8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8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5" authorId="0" shapeId="0">
      <text>
        <t>fires when: ifv-miss &amp;&amp; rank-elite &amp;&amp; !ra2_allies_upgrade_thunderboltmissiles</t>
      </text>
    </comment>
    <comment ref="L18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6" authorId="0" shapeId="0">
      <text>
        <t>fires when: ifv-miss &amp;&amp; !rank-elite &amp;&amp; !ra2_allies_upgrade_thunderboltmissiles</t>
      </text>
    </comment>
    <comment ref="L18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7" authorId="0" shapeId="0">
      <text>
        <t>fires when: ifv-miss &amp;&amp; rank-elite &amp;&amp; !ra2_allies_upgrade_thunderboltmissiles</t>
      </text>
    </comment>
    <comment ref="L18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8" authorId="0" shapeId="0">
      <text>
        <t>fires when: ifv-miss &amp;&amp; !rank-elite &amp;&amp; ra2_allies_upgrade_thunderboltmissiles</t>
      </text>
    </comment>
    <comment ref="L18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9" authorId="0" shapeId="0">
      <text>
        <t>fires when: ifv-miss &amp;&amp; rank-elite &amp;&amp; ra2_allies_upgrade_thunderboltmissiles</t>
      </text>
    </comment>
    <comment ref="L19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0" authorId="0" shapeId="0">
      <text>
        <t>fires when: ifv-miss &amp;&amp; !rank-elite &amp;&amp; ra2_allies_upgrade_thunderboltmissiles</t>
      </text>
    </comment>
    <comment ref="L19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1" authorId="0" shapeId="0">
      <text>
        <t>fires when: ifv-miss &amp;&amp; rank-elite &amp;&amp; ra2_allies_upgrade_thunderboltmissiles</t>
      </text>
    </comment>
    <comment ref="L192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2" authorId="0" shapeId="0">
      <text>
        <t>fires when: ifv-healer</t>
      </text>
    </comment>
    <comment ref="L193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3" authorId="0" shapeId="0">
      <text>
        <t>fires when: ifv-ra1_allies_alliedsniper</t>
      </text>
    </comment>
    <comment ref="L19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5" authorId="0" shapeId="0">
      <text>
        <t>fires when: ifv-mg</t>
      </text>
    </comment>
    <comment ref="L19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6" authorId="0" shapeId="0">
      <text>
        <t>fires when: ifv-hmg</t>
      </text>
    </comment>
    <comment ref="L197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7" authorId="0" shapeId="0">
      <text>
        <t>fires when: ifv-archer</t>
      </text>
    </comment>
    <comment ref="L19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8" authorId="0" shapeId="0">
      <text>
        <t>fires when: ifv-repair</t>
      </text>
    </comment>
    <comment ref="L199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9" authorId="0" shapeId="0">
      <text>
        <t>fires when: ifv-lightsniper</t>
      </text>
    </comment>
    <comment ref="L200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0" authorId="0" shapeId="0">
      <text>
        <t>fires when: ifv-hero</t>
      </text>
    </comment>
    <comment ref="L201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1" authorId="0" shapeId="0">
      <text>
        <t>fires when: ifv-tesla</t>
      </text>
    </comment>
    <comment ref="L202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2" authorId="0" shapeId="0">
      <text>
        <t>fires when: ifv-flak</t>
      </text>
    </comment>
    <comment ref="L203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3" authorId="0" shapeId="0">
      <text>
        <t>fires when: ifv-cannon</t>
      </text>
    </comment>
    <comment ref="L20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4" authorId="0" shapeId="0">
      <text>
        <t>fires when: ifv-grenade</t>
      </text>
    </comment>
    <comment ref="L205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5" authorId="0" shapeId="0">
      <text>
        <t>fires when: ifv-plasma</t>
      </text>
    </comment>
    <comment ref="AB206" authorId="0" shapeId="0">
      <text>
        <t>fires when: ifv-litlaser</t>
      </text>
    </comment>
    <comment ref="L207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7" authorId="0" shapeId="0">
      <text>
        <t>fires when: ifv-medlaser</t>
      </text>
    </comment>
    <comment ref="L208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8" authorId="0" shapeId="0">
      <text>
        <t>fires when: ifv-greelaser</t>
      </text>
    </comment>
    <comment ref="L209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9" authorId="0" shapeId="0">
      <text>
        <t>fires when: ifv-misslaser</t>
      </text>
    </comment>
    <comment ref="L210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0" authorId="0" shapeId="0">
      <text>
        <t>fires when: ifv-fire</t>
      </text>
    </comment>
    <comment ref="L211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1" authorId="0" shapeId="0">
      <text>
        <t>fires when: ifv-chem</t>
      </text>
    </comment>
    <comment ref="L212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2" authorId="0" shapeId="0">
      <text>
        <t>fires when: ifv-thrax</t>
      </text>
    </comment>
    <comment ref="L21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3" authorId="0" shapeId="0">
      <text>
        <t>fires when: ifv-miss &amp;&amp; !rank-elite &amp;&amp; !ra2_allies_upgrade_thunderboltmissiles</t>
      </text>
    </comment>
    <comment ref="AB214" authorId="0" shapeId="0">
      <text>
        <t>fires when: ifv-chrono</t>
      </text>
    </comment>
    <comment ref="AB215" authorId="0" shapeId="0">
      <text>
        <t>fires when: ifv-chrono</t>
      </text>
    </comment>
    <comment ref="AB216" authorId="0" shapeId="0">
      <text>
        <t>fires when: ifv-demo</t>
      </text>
    </comment>
    <comment ref="AB217" authorId="0" shapeId="0">
      <text>
        <t>fires when: ifv-fremen</t>
      </text>
    </comment>
    <comment ref="L218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8" authorId="0" shapeId="0">
      <text>
        <t>fires when: ifv-sonic</t>
      </text>
    </comment>
    <comment ref="L21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9" authorId="0" shapeId="0">
      <text>
        <t>fires when: ifv-healer</t>
      </text>
    </comment>
    <comment ref="L220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21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22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23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2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2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2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2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2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8" authorId="0" shapeId="0">
      <text>
        <t>fires when: ifv-miss &amp;&amp; rank-elite &amp;&amp; !ra2_allies_upgrade_thunderboltmissiles</t>
      </text>
    </comment>
    <comment ref="L22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9" authorId="0" shapeId="0">
      <text>
        <t>fires when: ifv-miss &amp;&amp; !rank-elite &amp;&amp; !ra2_allies_upgrade_thunderboltmissiles</t>
      </text>
    </comment>
    <comment ref="L23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0" authorId="0" shapeId="0">
      <text>
        <t>fires when: ifv-miss &amp;&amp; rank-elite &amp;&amp; !ra2_allies_upgrade_thunderboltmissiles</t>
      </text>
    </comment>
    <comment ref="L23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1" authorId="0" shapeId="0">
      <text>
        <t>fires when: ifv-miss &amp;&amp; !rank-elite &amp;&amp; ra2_allies_upgrade_thunderboltmissiles</t>
      </text>
    </comment>
    <comment ref="L23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2" authorId="0" shapeId="0">
      <text>
        <t>fires when: ifv-miss &amp;&amp; rank-elite &amp;&amp; ra2_allies_upgrade_thunderboltmissiles</t>
      </text>
    </comment>
    <comment ref="L23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3" authorId="0" shapeId="0">
      <text>
        <t>fires when: ifv-miss &amp;&amp; !rank-elite &amp;&amp; ra2_allies_upgrade_thunderboltmissiles</t>
      </text>
    </comment>
    <comment ref="L23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4" authorId="0" shapeId="0">
      <text>
        <t>fires when: ifv-miss &amp;&amp; rank-elite &amp;&amp; ra2_allies_upgrade_thunderboltmissiles</t>
      </text>
    </comment>
    <comment ref="L235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5" authorId="0" shapeId="0">
      <text>
        <t>fires when: ifv-healer</t>
      </text>
    </comment>
    <comment ref="L236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6" authorId="0" shapeId="0">
      <text>
        <t>fires when: ifv-ra1_allies_alliedsniper</t>
      </text>
    </comment>
    <comment ref="L23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8" authorId="0" shapeId="0">
      <text>
        <t>fires when: ifv-mg</t>
      </text>
    </comment>
    <comment ref="L23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9" authorId="0" shapeId="0">
      <text>
        <t>fires when: ifv-hmg</t>
      </text>
    </comment>
    <comment ref="L240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0" authorId="0" shapeId="0">
      <text>
        <t>fires when: ifv-archer</t>
      </text>
    </comment>
    <comment ref="L241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1" authorId="0" shapeId="0">
      <text>
        <t>fires when: ifv-repair</t>
      </text>
    </comment>
    <comment ref="L242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2" authorId="0" shapeId="0">
      <text>
        <t>fires when: ifv-lightsniper</t>
      </text>
    </comment>
    <comment ref="L243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3" authorId="0" shapeId="0">
      <text>
        <t>fires when: ifv-hero</t>
      </text>
    </comment>
    <comment ref="L244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4" authorId="0" shapeId="0">
      <text>
        <t>fires when: ifv-tesla</t>
      </text>
    </comment>
    <comment ref="L245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5" authorId="0" shapeId="0">
      <text>
        <t>fires when: ifv-flak</t>
      </text>
    </comment>
    <comment ref="L246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6" authorId="0" shapeId="0">
      <text>
        <t>fires when: ifv-cannon</t>
      </text>
    </comment>
    <comment ref="L247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7" authorId="0" shapeId="0">
      <text>
        <t>fires when: ifv-grenade</t>
      </text>
    </comment>
    <comment ref="L248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8" authorId="0" shapeId="0">
      <text>
        <t>fires when: ifv-plasma</t>
      </text>
    </comment>
    <comment ref="AB249" authorId="0" shapeId="0">
      <text>
        <t>fires when: ifv-litlaser</t>
      </text>
    </comment>
    <comment ref="L250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0" authorId="0" shapeId="0">
      <text>
        <t>fires when: ifv-medlaser</t>
      </text>
    </comment>
    <comment ref="L251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1" authorId="0" shapeId="0">
      <text>
        <t>fires when: ifv-greelaser</t>
      </text>
    </comment>
    <comment ref="L252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2" authorId="0" shapeId="0">
      <text>
        <t>fires when: ifv-misslaser</t>
      </text>
    </comment>
    <comment ref="L253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3" authorId="0" shapeId="0">
      <text>
        <t>fires when: ifv-fire</t>
      </text>
    </comment>
    <comment ref="L254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4" authorId="0" shapeId="0">
      <text>
        <t>fires when: ifv-chem</t>
      </text>
    </comment>
    <comment ref="L255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5" authorId="0" shapeId="0">
      <text>
        <t>fires when: ifv-thrax</t>
      </text>
    </comment>
    <comment ref="L25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6" authorId="0" shapeId="0">
      <text>
        <t>fires when: ifv-miss &amp;&amp; !rank-elite &amp;&amp; !ra2_allies_upgrade_thunderboltmissiles</t>
      </text>
    </comment>
    <comment ref="AB257" authorId="0" shapeId="0">
      <text>
        <t>fires when: ifv-chrono</t>
      </text>
    </comment>
    <comment ref="AB258" authorId="0" shapeId="0">
      <text>
        <t>fires when: ifv-chrono</t>
      </text>
    </comment>
    <comment ref="AB259" authorId="0" shapeId="0">
      <text>
        <t>fires when: ifv-demo</t>
      </text>
    </comment>
    <comment ref="AB260" authorId="0" shapeId="0">
      <text>
        <t>fires when: ifv-fremen</t>
      </text>
    </comment>
    <comment ref="L261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1" authorId="0" shapeId="0">
      <text>
        <t>fires when: ifv-sonic</t>
      </text>
    </comment>
    <comment ref="L262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2" authorId="0" shapeId="0">
      <text>
        <t>fires when: ifv-healer</t>
      </text>
    </comment>
    <comment ref="L263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64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65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66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6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6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6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7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7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1" authorId="0" shapeId="0">
      <text>
        <t>fires when: ifv-miss &amp;&amp; rank-elite &amp;&amp; !ra2_allies_upgrade_thunderboltmissiles</t>
      </text>
    </comment>
    <comment ref="L27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2" authorId="0" shapeId="0">
      <text>
        <t>fires when: ifv-miss &amp;&amp; !rank-elite &amp;&amp; !ra2_allies_upgrade_thunderboltmissiles</t>
      </text>
    </comment>
    <comment ref="L27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3" authorId="0" shapeId="0">
      <text>
        <t>fires when: ifv-miss &amp;&amp; rank-elite &amp;&amp; !ra2_allies_upgrade_thunderboltmissiles</t>
      </text>
    </comment>
    <comment ref="L27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4" authorId="0" shapeId="0">
      <text>
        <t>fires when: ifv-miss &amp;&amp; !rank-elite &amp;&amp; ra2_allies_upgrade_thunderboltmissiles</t>
      </text>
    </comment>
    <comment ref="L27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5" authorId="0" shapeId="0">
      <text>
        <t>fires when: ifv-miss &amp;&amp; rank-elite &amp;&amp; ra2_allies_upgrade_thunderboltmissiles</t>
      </text>
    </comment>
    <comment ref="L27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6" authorId="0" shapeId="0">
      <text>
        <t>fires when: ifv-miss &amp;&amp; !rank-elite &amp;&amp; ra2_allies_upgrade_thunderboltmissiles</t>
      </text>
    </comment>
    <comment ref="L27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7" authorId="0" shapeId="0">
      <text>
        <t>fires when: ifv-miss &amp;&amp; rank-elite &amp;&amp; ra2_allies_upgrade_thunderboltmissiles</t>
      </text>
    </comment>
    <comment ref="L27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8" authorId="0" shapeId="0">
      <text>
        <t>fires when: ifv-healer</t>
      </text>
    </comment>
    <comment ref="L279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9" authorId="0" shapeId="0">
      <text>
        <t>fires when: ifv-ra1_allies_alliedsniper</t>
      </text>
    </comment>
    <comment ref="L28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1" authorId="0" shapeId="0">
      <text>
        <t>fires when: ifv-mg</t>
      </text>
    </comment>
    <comment ref="L28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2" authorId="0" shapeId="0">
      <text>
        <t>fires when: ifv-hmg</t>
      </text>
    </comment>
    <comment ref="L283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3" authorId="0" shapeId="0">
      <text>
        <t>fires when: ifv-archer</t>
      </text>
    </comment>
    <comment ref="L284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4" authorId="0" shapeId="0">
      <text>
        <t>fires when: ifv-repair</t>
      </text>
    </comment>
    <comment ref="L285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5" authorId="0" shapeId="0">
      <text>
        <t>fires when: ifv-lightsniper</t>
      </text>
    </comment>
    <comment ref="L286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6" authorId="0" shapeId="0">
      <text>
        <t>fires when: ifv-hero</t>
      </text>
    </comment>
    <comment ref="L287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7" authorId="0" shapeId="0">
      <text>
        <t>fires when: ifv-tesla</t>
      </text>
    </comment>
    <comment ref="L288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8" authorId="0" shapeId="0">
      <text>
        <t>fires when: ifv-flak</t>
      </text>
    </comment>
    <comment ref="L289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9" authorId="0" shapeId="0">
      <text>
        <t>fires when: ifv-cannon</t>
      </text>
    </comment>
    <comment ref="L290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0" authorId="0" shapeId="0">
      <text>
        <t>fires when: ifv-grenade</t>
      </text>
    </comment>
    <comment ref="L291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1" authorId="0" shapeId="0">
      <text>
        <t>fires when: ifv-plasma</t>
      </text>
    </comment>
    <comment ref="AB292" authorId="0" shapeId="0">
      <text>
        <t>fires when: ifv-litlaser</t>
      </text>
    </comment>
    <comment ref="L293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3" authorId="0" shapeId="0">
      <text>
        <t>fires when: ifv-medlaser</t>
      </text>
    </comment>
    <comment ref="L294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4" authorId="0" shapeId="0">
      <text>
        <t>fires when: ifv-greelaser</t>
      </text>
    </comment>
    <comment ref="L295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5" authorId="0" shapeId="0">
      <text>
        <t>fires when: ifv-misslaser</t>
      </text>
    </comment>
    <comment ref="L296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6" authorId="0" shapeId="0">
      <text>
        <t>fires when: ifv-fire</t>
      </text>
    </comment>
    <comment ref="L297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7" authorId="0" shapeId="0">
      <text>
        <t>fires when: ifv-chem</t>
      </text>
    </comment>
    <comment ref="L298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8" authorId="0" shapeId="0">
      <text>
        <t>fires when: ifv-thrax</t>
      </text>
    </comment>
    <comment ref="L29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9" authorId="0" shapeId="0">
      <text>
        <t>fires when: ifv-miss &amp;&amp; !rank-elite &amp;&amp; !ra2_allies_upgrade_thunderboltmissiles</t>
      </text>
    </comment>
    <comment ref="AB300" authorId="0" shapeId="0">
      <text>
        <t>fires when: ifv-chrono</t>
      </text>
    </comment>
    <comment ref="AB301" authorId="0" shapeId="0">
      <text>
        <t>fires when: ifv-chrono</t>
      </text>
    </comment>
    <comment ref="AB302" authorId="0" shapeId="0">
      <text>
        <t>fires when: ifv-demo</t>
      </text>
    </comment>
    <comment ref="AB303" authorId="0" shapeId="0">
      <text>
        <t>fires when: ifv-fremen</t>
      </text>
    </comment>
    <comment ref="L304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4" authorId="0" shapeId="0">
      <text>
        <t>fires when: ifv-sonic</t>
      </text>
    </comment>
    <comment ref="L305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5" authorId="0" shapeId="0">
      <text>
        <t>fires when: ifv-healer</t>
      </text>
    </comment>
    <comment ref="L306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07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08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09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1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1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1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1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1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4" authorId="0" shapeId="0">
      <text>
        <t>fires when: ifv-miss &amp;&amp; rank-elite &amp;&amp; !ra2_allies_upgrade_thunderboltmissiles</t>
      </text>
    </comment>
    <comment ref="L31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5" authorId="0" shapeId="0">
      <text>
        <t>fires when: ifv-miss &amp;&amp; !rank-elite &amp;&amp; !ra2_allies_upgrade_thunderboltmissiles</t>
      </text>
    </comment>
    <comment ref="L31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6" authorId="0" shapeId="0">
      <text>
        <t>fires when: ifv-miss &amp;&amp; rank-elite &amp;&amp; !ra2_allies_upgrade_thunderboltmissiles</t>
      </text>
    </comment>
    <comment ref="L31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7" authorId="0" shapeId="0">
      <text>
        <t>fires when: ifv-miss &amp;&amp; !rank-elite &amp;&amp; ra2_allies_upgrade_thunderboltmissiles</t>
      </text>
    </comment>
    <comment ref="L31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8" authorId="0" shapeId="0">
      <text>
        <t>fires when: ifv-miss &amp;&amp; rank-elite &amp;&amp; ra2_allies_upgrade_thunderboltmissiles</t>
      </text>
    </comment>
    <comment ref="L31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9" authorId="0" shapeId="0">
      <text>
        <t>fires when: ifv-miss &amp;&amp; !rank-elite &amp;&amp; ra2_allies_upgrade_thunderboltmissiles</t>
      </text>
    </comment>
    <comment ref="L32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0" authorId="0" shapeId="0">
      <text>
        <t>fires when: ifv-miss &amp;&amp; rank-elite &amp;&amp; ra2_allies_upgrade_thunderboltmissiles</t>
      </text>
    </comment>
    <comment ref="L321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1" authorId="0" shapeId="0">
      <text>
        <t>fires when: ifv-healer</t>
      </text>
    </comment>
    <comment ref="L322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2" authorId="0" shapeId="0">
      <text>
        <t>fires when: ifv-ra1_allies_alliedsniper</t>
      </text>
    </comment>
    <comment ref="L324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4" authorId="0" shapeId="0">
      <text>
        <t>fires when: !rank-elite</t>
      </text>
    </comment>
    <comment ref="L325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5" authorId="0" shapeId="0">
      <text>
        <t>fires when: rank-elite</t>
      </text>
    </comment>
    <comment ref="AB327" authorId="0" shapeId="0">
      <text>
        <t>fires when: !rank-elite</t>
      </text>
    </comment>
    <comment ref="AB328" authorId="0" shapeId="0">
      <text>
        <t>fires when: rank-elite</t>
      </text>
    </comment>
    <comment ref="L329" authorId="0" shapeId="0">
      <text>
        <t>per-shot TOTAL across 3 main warhead(s).
raw warhead damages: 20000, 10, 20000, 10, 20000, 10,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9" authorId="0" shapeId="0">
      <text>
        <t>fires when: !rank-elite</t>
      </text>
    </comment>
    <comment ref="L330" authorId="0" shapeId="0">
      <text>
        <t>per-shot TOTAL across 3 main warhead(s).
raw warhead damages: 20000, 10, 20000, 10, 20000, 10,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0" authorId="0" shapeId="0">
      <text>
        <t>fires when: rank-elite</t>
      </text>
    </comment>
    <comment ref="L332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2" authorId="0" shapeId="0">
      <text>
        <t>fires when: !rank-elite</t>
      </text>
    </comment>
    <comment ref="L333" authorId="0" shapeId="0">
      <text>
        <t>per-shot TOTAL across 1 main warhead(s).
raw warhead damages: 160000, 80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3" authorId="0" shapeId="0">
      <text>
        <t>fires when: rank-elite</t>
      </text>
    </comment>
    <comment ref="L336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6" authorId="0" shapeId="0">
      <text>
        <t>fires when: !rank-elite &amp;&amp; !ra2_allies_upgrade_thunderboltmissiles</t>
      </text>
    </comment>
    <comment ref="L337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7" authorId="0" shapeId="0">
      <text>
        <t>fires when: rank-elite &amp;&amp; !ra2_allies_upgrade_thunderboltmissiles</t>
      </text>
    </comment>
    <comment ref="L338" authorId="0" shapeId="0">
      <text>
        <t>per-shot TOTAL across 9 main warhead(s).
raw warhead damages: 6000, 3000, 3, 6000, 3000, 3, 6000, 3, 6000, 3,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8" authorId="0" shapeId="0">
      <text>
        <t>fires when: !rank-elite &amp;&amp; ra2_allies_upgrade_thunderboltmissiles</t>
      </text>
    </comment>
    <comment ref="L339" authorId="0" shapeId="0">
      <text>
        <t>per-shot TOTAL across 9 main warhead(s).
raw warhead damages: 6000, 3000, 3, 6000, 3000, 3, 6000, 3, 6000, 3,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9" authorId="0" shapeId="0">
      <text>
        <t>fires when: rank-elite &amp;&amp; ra2_allies_upgrade_thunderboltmissiles</t>
      </text>
    </comment>
    <comment ref="L341" authorId="0" shapeId="0">
      <text>
        <t>per-shot TOTAL across 6 main warhead(s).
raw warhead damages: 4000,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1" authorId="0" shapeId="0">
      <text>
        <t>fires when: !rank-elite</t>
      </text>
    </comment>
    <comment ref="L342" authorId="0" shapeId="0">
      <text>
        <t>per-shot TOTAL across 6 main warhead(s).
raw warhead damages: 4000,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2" authorId="0" shapeId="0">
      <text>
        <t>fires when: rank-elite</t>
      </text>
    </comment>
    <comment ref="L34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7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8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8" authorId="0" shapeId="0">
      <text>
        <t>fires when: upra2aegismissiles</t>
      </text>
    </comment>
    <comment ref="L354" authorId="0" shapeId="0">
      <text>
        <t>per-shot TOTAL across 6 main warhead(s).
raw warhead damages: 50000, 25, 50000, 25, 50000, 25, 50000, 25000,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6" authorId="0" shapeId="0">
      <text>
        <t>fires when: !ra2_allies_upgrade_thunderboltmissiles</t>
      </text>
    </comment>
    <comment ref="L35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7" authorId="0" shapeId="0">
      <text>
        <t>fires when: ra2_allies_upgrade_thunderboltmissiles</t>
      </text>
    </comment>
    <comment ref="AB360" authorId="0" shapeId="0">
      <text>
        <t>fires when: ra2_allies_upgrade_prismlinking</t>
      </text>
    </comment>
    <comment ref="L361" authorId="0" shapeId="0">
      <text>
        <t>per-shot TOTAL across 1 main warhead(s).
raw warhead damages: 32000, 16,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13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!rank-elite</t>
      </text>
    </comment>
    <comment ref="L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rank-elite</t>
      </text>
    </comment>
    <comment ref="L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!canflare</t>
      </text>
    </comment>
    <comment ref="AB9" authorId="0" shapeId="0">
      <text>
        <t>fires when: canflare</t>
      </text>
    </comment>
    <comment ref="L1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!rank-elite</t>
      </text>
    </comment>
    <comment ref="L1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rank-elite</t>
      </text>
    </comment>
    <comment ref="L13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!rank-elite</t>
      </text>
    </comment>
    <comment ref="L1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rank-elite</t>
      </text>
    </comment>
    <comment ref="L1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!rank-elite</t>
      </text>
    </comment>
    <comment ref="L21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rank-elite</t>
      </text>
    </comment>
    <comment ref="L22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1 main warhead(s).
raw warhead damages: 16000,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!rank-elite</t>
      </text>
    </comment>
    <comment ref="L28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!rank-elite</t>
      </text>
    </comment>
    <comment ref="L29" authorId="0" shapeId="0">
      <text>
        <t>per-shot TOTAL across 1 main warhead(s).
raw warhead damages: 16000,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!rank-elite</t>
      </text>
    </comment>
    <comment ref="L30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!rank-elite</t>
      </text>
    </comment>
    <comment ref="L31" authorId="0" shapeId="0">
      <text>
        <t>per-shot TOTAL across 1 main warhead(s).
raw warhead damages: 16000,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rank-elite</t>
      </text>
    </comment>
    <comment ref="L3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rank-elite</t>
      </text>
    </comment>
    <comment ref="L33" authorId="0" shapeId="0">
      <text>
        <t>per-shot TOTAL across 1 main warhead(s).
raw warhead damages: 16000,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rank-elite</t>
      </text>
    </comment>
    <comment ref="L34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rank-elite</t>
      </text>
    </comment>
    <comment ref="L36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(!ra2_soviets_upgrade_teslaoverload &amp;&amp; !rank-elite)</t>
      </text>
    </comment>
    <comment ref="L37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(ra2_soviets_upgrade_teslaoverload &amp;&amp; !rank-elite) || (!ra2_soviets_upgrade_teslaoverload &amp;&amp; rank-elite)</t>
      </text>
    </comment>
    <comment ref="L38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(ra2_soviets_upgrade_teslaoverload &amp;&amp; rank-elite)</t>
      </text>
    </comment>
    <comment ref="L40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(!ra2_soviets_upgrade_teslaoverload &amp;&amp; !rank-elite)</t>
      </text>
    </comment>
    <comment ref="L41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(ra2_soviets_upgrade_teslaoverload &amp;&amp; !rank-elite) || (!ra2_soviets_upgrade_teslaoverload &amp;&amp; rank-elite)</t>
      </text>
    </comment>
    <comment ref="L42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(ra2_soviets_upgrade_teslaoverload &amp;&amp; rank-elite)</t>
      </text>
    </comment>
    <comment ref="L45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!rank-elite &amp;&amp; !ra2_soviets_doctrine_nuclearmunitions &amp;&amp; !ra2_soviets_doctrine_firemunitions &amp;&amp; !ra2_soviets_doctrine_teslamunitions</t>
      </text>
    </comment>
    <comment ref="L46" authorId="0" shapeId="0">
      <text>
        <t>per-shot TOTAL across 7 main warhead(s).
raw warhead damages: 2000, 1, 2000, 1, 2000, 1, 4000, 2,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!rank-elite &amp;&amp; ra2_soviets_doctrine_nuclearmunitions</t>
      </text>
    </comment>
    <comment ref="L47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!rank-elite &amp;&amp; ra2_soviets_doctrine_firemunitions</t>
      </text>
    </comment>
    <comment ref="L48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!rank-elite &amp;&amp; ra2_soviets_doctrine_teslamunitions</t>
      </text>
    </comment>
    <comment ref="L49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!rank-elite</t>
      </text>
    </comment>
    <comment ref="L50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rank-elite  &amp;&amp; !ra2_soviets_doctrine_nuclearmunitions &amp;&amp; !ra2_soviets_doctrine_firemunitions &amp;&amp; !ra2_soviets_doctrine_teslamunitions</t>
      </text>
    </comment>
    <comment ref="L51" authorId="0" shapeId="0">
      <text>
        <t>per-shot TOTAL across 7 main warhead(s).
raw warhead damages: 2000, 1, 2000, 1, 2000, 1, 4000, 2,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rank-elite &amp;&amp; ra2_soviets_doctrine_nuclearmunitions</t>
      </text>
    </comment>
    <comment ref="L52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rank-elite &amp;&amp; ra2_soviets_doctrine_firemunitions</t>
      </text>
    </comment>
    <comment ref="L53" authorId="0" shapeId="0">
      <text>
        <t>per-shot TOTAL across 3 main warhead(s).
raw warhead damages: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rank-elite &amp;&amp; ra2_soviets_doctrine_teslamunitions</t>
      </text>
    </comment>
    <comment ref="L5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rank-elite</t>
      </text>
    </comment>
    <comment ref="L56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!rank-elite</t>
      </text>
    </comment>
    <comment ref="L57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!rank-elite</t>
      </text>
    </comment>
    <comment ref="L58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rank-elite</t>
      </text>
    </comment>
    <comment ref="L59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rank-elite</t>
      </text>
    </comment>
    <comment ref="L6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!rank-elite &amp;&amp; !ra2_soviets_doctrine_nuclearmunitions &amp;&amp; !ra2_soviets_doctrine_firemunitions &amp;&amp; !ra2_soviets_doctrine_teslamunitions</t>
      </text>
    </comment>
    <comment ref="L63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!rank-elite &amp;&amp; ra2_soviets_doctrine_nuclearmunitions</t>
      </text>
    </comment>
    <comment ref="L64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!rank-elite &amp;&amp; ra2_soviets_doctrine_firemunitions</t>
      </text>
    </comment>
    <comment ref="L6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!rank-elite &amp;&amp; ra2_soviets_doctrine_teslamunitions</t>
      </text>
    </comment>
    <comment ref="L6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rank-elite  &amp;&amp; !ra2_soviets_doctrine_nuclearmunitions &amp;&amp; !ra2_soviets_doctrine_firemunitions &amp;&amp; !ra2_soviets_doctrine_teslamunitions</t>
      </text>
    </comment>
    <comment ref="L67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rank-elite &amp;&amp; ra2_soviets_doctrine_nuclearmunitions</t>
      </text>
    </comment>
    <comment ref="L68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rank-elite &amp;&amp; ra2_soviets_doctrine_firemunitions</t>
      </text>
    </comment>
    <comment ref="L6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rank-elite &amp;&amp; ra2_soviets_doctrine_teslamunitions</t>
      </text>
    </comment>
    <comment ref="AB71" authorId="0" shapeId="0">
      <text>
        <t>fires when: !rank-elite</t>
      </text>
    </comment>
    <comment ref="AB72" authorId="0" shapeId="0">
      <text>
        <t>fires when: rank-elite</t>
      </text>
    </comment>
    <comment ref="L74" authorId="0" shapeId="0">
      <text>
        <t>per-shot TOTAL across 1 main warhead(s).
raw warhead damages: 12000, 6, 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(!ra2_soviets_upgrade_teslaoverload &amp;&amp; !rank-elite)</t>
      </text>
    </comment>
    <comment ref="L75" authorId="0" shapeId="0">
      <text>
        <t>per-shot TOTAL across 1 main warhead(s).
raw warhead damages: 12000, 6, 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(ra2_soviets_upgrade_teslaoverload &amp;&amp; !rank-elite) || (!ra2_soviets_upgrade_teslaoverload &amp;&amp; rank-elite)</t>
      </text>
    </comment>
    <comment ref="L76" authorId="0" shapeId="0">
      <text>
        <t>per-shot TOTAL across 1 main warhead(s).
raw warhead damages: 12000, 6, 6000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(ra2_soviets_upgrade_teslaoverload &amp;&amp; rank-elite)</t>
      </text>
    </comment>
    <comment ref="AB78" authorId="0" shapeId="0">
      <text>
        <t>fires when: !rank-elite</t>
      </text>
    </comment>
    <comment ref="AB79" authorId="0" shapeId="0">
      <text>
        <t>fires when: rank-elite</t>
      </text>
    </comment>
    <comment ref="L8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4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!rank-elite &amp;&amp; !ra2_soviets_doctrine_nuclearmunitions &amp;&amp; !ra2_soviets_doctrine_firemunitions &amp;&amp; !ra2_soviets_doctrine_teslamunitions &amp;&amp; !ra2_soviets_upgrade_kirovatomicbombs</t>
      </text>
    </comment>
    <comment ref="L85" authorId="0" shapeId="0">
      <text>
        <t>per-shot TOTAL across 2 main warhead(s).
raw warhead damages: 48000, 24,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!rank-elite &amp;&amp; ra2_soviets_doctrine_nuclearmunitions &amp;&amp; !ra2_soviets_upgrade_kirovatomicbombs</t>
      </text>
    </comment>
    <comment ref="L86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!rank-elite &amp;&amp; ra2_soviets_doctrine_firemunitions &amp;&amp; !ra2_soviets_upgrade_kirovatomicbombs</t>
      </text>
    </comment>
    <comment ref="L87" authorId="0" shapeId="0">
      <text>
        <t>per-shot TOTAL across 2 main warhead(s).
raw warhead damages: 80000, 40, 40000,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!rank-elite &amp;&amp; ra2_soviets_doctrine_teslamunitions &amp;&amp; !ra2_soviets_upgrade_kirovatomicbombs</t>
      </text>
    </comment>
    <comment ref="L88" authorId="0" shapeId="0">
      <text>
        <t>per-shot TOTAL across 2 main warhead(s).
raw warhead damages: 80000, 40,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(rank-elite &amp;&amp; !ra2_soviets_upgrade_kirovatomicbombs) || (!rank-elite &amp;&amp; ra2_soviets_upgrade_kirovatomicbombs)</t>
      </text>
    </comment>
    <comment ref="L89" authorId="0" shapeId="0">
      <text>
        <t>per-shot TOTAL across 2 main warhead(s).
raw warhead damages: 100000, 50, 100000, 50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rank-elite &amp;&amp; ra2_soviets_upgrade_kirovatomicbombs</t>
      </text>
    </comment>
    <comment ref="L91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!rank-elite &amp;&amp; !ra2_soviets_doctrine_nuclearmunitions &amp;&amp; !ra2_soviets_doctrine_firemunitions &amp;&amp; !ra2_soviets_doctrine_teslamunitions</t>
      </text>
    </comment>
    <comment ref="L92" authorId="0" shapeId="0">
      <text>
        <t>per-shot TOTAL across 5 main warhead(s).
raw warhead damages: 4000, 2,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!rank-elite &amp;&amp; ra2_soviets_doctrine_nuclearmunitions</t>
      </text>
    </comment>
    <comment ref="L93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!rank-elite &amp;&amp; ra2_soviets_doctrine_firemunitions</t>
      </text>
    </comment>
    <comment ref="L94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!rank-elite &amp;&amp; ra2_soviets_doctrine_teslamunitions</t>
      </text>
    </comment>
    <comment ref="L95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rank-elite  &amp;&amp; !ra2_soviets_doctrine_nuclearmunitions &amp;&amp; !ra2_soviets_doctrine_firemunitions &amp;&amp; !ra2_soviets_doctrine_teslamunitions</t>
      </text>
    </comment>
    <comment ref="L96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rank-elite &amp;&amp; ra2_soviets_doctrine_teslamunitions</t>
      </text>
    </comment>
    <comment ref="L97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!rank-elite</t>
      </text>
    </comment>
    <comment ref="L98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rank-elite</t>
      </text>
    </comment>
    <comment ref="L10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undeployed</t>
      </text>
    </comment>
    <comment ref="AB101" authorId="0" shapeId="0">
      <text>
        <t>fires when: botmicro</t>
      </text>
    </comment>
    <comment ref="L102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!rank-elite &amp;&amp; !ra2_soviets_doctrine_nuclearmunitions &amp;&amp; !ra2_soviets_doctrine_firemunitions &amp;&amp; !ra2_soviets_doctrine_teslamunitions &amp;&amp; deployed</t>
      </text>
    </comment>
    <comment ref="L103" authorId="0" shapeId="0">
      <text>
        <t>per-shot TOTAL across 3 main warhead(s).
raw warhead damages: 36000, 18, 36000, 18, 36000, 18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!rank-elite &amp;&amp; ra2_soviets_doctrine_nuclearmunitions &amp;&amp; deployed</t>
      </text>
    </comment>
    <comment ref="L104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!rank-elite &amp;&amp; ra2_soviets_doctrine_firemunitions &amp;&amp; deployed</t>
      </text>
    </comment>
    <comment ref="L105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!rank-elite &amp;&amp; ra2_soviets_doctrine_teslamunitions &amp;&amp; deployed</t>
      </text>
    </comment>
    <comment ref="L106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rank-elite &amp;&amp; !ra2_soviets_doctrine_nuclearmunitions &amp;&amp; !ra2_soviets_doctrine_firemunitions &amp;&amp; !ra2_soviets_doctrine_teslamunitions &amp;&amp; deployed</t>
      </text>
    </comment>
    <comment ref="L107" authorId="0" shapeId="0">
      <text>
        <t>per-shot TOTAL across 4 main warhead(s).
raw warhead damages: 36000, 18, 36000, 18, 36000, 18, 36000, 18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rank-elite &amp;&amp; ra2_soviets_doctrine_nuclearmunitions &amp;&amp; deployed</t>
      </text>
    </comment>
    <comment ref="L108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rank-elite &amp;&amp; ra2_soviets_doctrine_firemunitions &amp;&amp; deployed</t>
      </text>
    </comment>
    <comment ref="L109" authorId="0" shapeId="0">
      <text>
        <t>per-shot TOTAL across 2 main warhead(s).
raw warhead damages: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rank-elite &amp;&amp; ra2_soviets_doctrine_teslamunitions &amp;&amp; deployed</t>
      </text>
    </comment>
    <comment ref="L11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4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5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4" authorId="0" shapeId="0">
      <text>
        <t>per-shot TOTAL across 2 main warhead(s).
raw warhead damages: 2000, 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6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((!TeslaCoilCharge &amp;&amp; !unpowered) || (TeslaCoilCharge == 1 &amp;&amp; unpowered)) &amp;&amp; (!ra2_soviets_upgrade_teslaoverload &amp;&amp; !rank-elite)</t>
      </text>
    </comment>
    <comment ref="L127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((!TeslaCoilCharge &amp;&amp; !unpowered) || (TeslaCoilCharge == 1 &amp;&amp; unpowered)) &amp;&amp; (ra2_soviets_upgrade_teslaoverload &amp;&amp; !rank-elite) || (!ra2_soviets_upgrade_teslaoverload &amp;&amp; rank-elite)</t>
      </text>
    </comment>
    <comment ref="L128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8" authorId="0" shapeId="0">
      <text>
        <t>fires when: ((!TeslaCoilCharge &amp;&amp; !unpowered) || (TeslaCoilCharge == 1 &amp;&amp; unpowered)) &amp;&amp; (ra2_soviets_upgrade_teslaoverload &amp;&amp; rank-elite)</t>
      </text>
    </comment>
    <comment ref="L129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((TeslaCoilCharge &amp;&amp; !unpowered) || (TeslaCoilCharge &gt; 1 &amp;&amp; unpowered)) &amp;&amp; (!ra2_soviets_upgrade_teslaoverload &amp;&amp; !rank-elite)</t>
      </text>
    </comment>
    <comment ref="L130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0" authorId="0" shapeId="0">
      <text>
        <t>fires when: ((TeslaCoilCharge &amp;&amp; !unpowered) || (TeslaCoilCharge &gt; 1 &amp;&amp; unpowered)) &amp;&amp; (ra2_soviets_upgrade_teslaoverload &amp;&amp; !rank-elite) || (!ra2_soviets_upgrade_teslaoverload &amp;&amp; rank-elite)</t>
      </text>
    </comment>
    <comment ref="L131" authorId="0" shapeId="0">
      <text>
        <t>per-shot TOTAL across 1 main warhead(s).
raw warhead damages: 64000, 32, 32000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((TeslaCoilCharge &amp;&amp; !unpowered) || (TeslaCoilCharge &gt; 1 &amp;&amp; unpowered)) &amp;&amp; (ra2_soviets_upgrade_teslaoverload &amp;&amp; rank-elite)</t>
      </text>
    </comment>
  </commentList>
</comments>
</file>

<file path=xl/comments/comment1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!rank-elite &amp;&amp; !yuri_upgrade_corrosiveammo</t>
      </text>
    </comment>
    <comment ref="L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!rank-elite &amp;&amp; yuri_upgrade_corrosiveammo</t>
      </text>
    </comment>
    <comment ref="L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rank-elite</t>
      </text>
    </comment>
    <comment ref="L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!rank-elite &amp;&amp; !yuri_upgrade_corrosiveammo</t>
      </text>
    </comment>
    <comment ref="L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!rank-elite &amp;&amp; yuri_upgrade_corrosiveammo</t>
      </text>
    </comment>
    <comment ref="L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rank-elite</t>
      </text>
    </comment>
    <comment ref="L1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!rank-elite</t>
      </text>
    </comment>
    <comment ref="L12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rank-elite</t>
      </text>
    </comment>
    <comment ref="L16" authorId="0" shapeId="0">
      <text>
        <t>per-shot TOTAL across 6 main warhead(s).
raw warhead damages: 2000, 1, 1000, 2000, 1, 600,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2 main warhead(s).
raw warhead damages: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!rank-elite</t>
      </text>
    </comment>
    <comment ref="L25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!rank-elite</t>
      </text>
    </comment>
    <comment ref="L2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rank-elite</t>
      </text>
    </comment>
    <comment ref="L27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rank-elite</t>
      </text>
    </comment>
    <comment ref="L29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!rank-elite &amp;&amp; !yuri_upgrade_meltingvirus</t>
      </text>
    </comment>
    <comment ref="L30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!rank-elite &amp;&amp; yuri_upgrade_meltingvirus &amp;&amp; !yuri_upgrade_corrosiveammo</t>
      </text>
    </comment>
    <comment ref="L31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!rank-elite &amp;&amp; yuri_upgrade_corrosiveammo</t>
      </text>
    </comment>
    <comment ref="L32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rank-elite</t>
      </text>
    </comment>
    <comment ref="L33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!rank-elite &amp;&amp; !yuri_upgrade_meltingvirus</t>
      </text>
    </comment>
    <comment ref="L34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!rank-elite &amp;&amp; yuri_upgrade_meltingvirus &amp;&amp; !yuri_upgrade_corrosiveammo</t>
      </text>
    </comment>
    <comment ref="L35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 &amp;&amp; yuri_upgrade_corrosiveammo</t>
      </text>
    </comment>
    <comment ref="L36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rank-elite</t>
      </text>
    </comment>
    <comment ref="AB39" authorId="0" shapeId="0">
      <text>
        <t>fires when: !yuri_upgrade_domination</t>
      </text>
    </comment>
    <comment ref="AB40" authorId="0" shapeId="0">
      <text>
        <t>fires when: yuri_upgrade_domination</t>
      </text>
    </comment>
    <comment ref="L4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!gatling</t>
      </text>
    </comment>
    <comment ref="L4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gatling == 1</t>
      </text>
    </comment>
    <comment ref="L4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gatling &gt; 1</t>
      </text>
    </comment>
    <comment ref="L4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!gatling</t>
      </text>
    </comment>
    <comment ref="L5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gatling == 1</t>
      </text>
    </comment>
    <comment ref="L5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gatling &gt; 1</t>
      </text>
    </comment>
    <comment ref="L53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!yuri_doctrine_lashertoxicgasshells &amp;&amp; !yuri_doctrine_lasherlasercannon &amp;&amp; !rank-elite</t>
      </text>
    </comment>
    <comment ref="L54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!yuri_doctrine_lashertoxicgasshells &amp;&amp; !yuri_doctrine_lasherlasercannon &amp;&amp; rank-elite</t>
      </text>
    </comment>
    <comment ref="L55" authorId="0" shapeId="0">
      <text>
        <t>per-shot TOTAL across 9 main warhead(s).
raw warhead damages: 2000, 1000, 1, 2000, 1000,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yuri_doctrine_lashertoxicgasshells &amp;&amp; !rank-elite</t>
      </text>
    </comment>
    <comment ref="L56" authorId="0" shapeId="0">
      <text>
        <t>per-shot TOTAL across 12 main warhead(s).
raw warhead damages: 4000, 2000, 2, 4000, 2000, 2, 4000, 2, 4000, 2, 4000, 2, 4000, 2, 2000, 1, 2000, 1, 2000, 1,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yuri_doctrine_lashertoxicgasshells &amp;&amp; rank-elite</t>
      </text>
    </comment>
    <comment ref="L57" authorId="0" shapeId="0">
      <text>
        <t>per-shot TOTAL across 2 main warhead(s).
raw warhead damages: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yuri_doctrine_lasherlasercannon &amp;&amp; !rank-elite</t>
      </text>
    </comment>
    <comment ref="L58" authorId="0" shapeId="0">
      <text>
        <t>per-shot TOTAL across 3 main warhead(s).
raw warhead damages: 16000, 8, 8000, 4, 1000,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yuri_doctrine_lasherlasercannon &amp;&amp; rank-elite</t>
      </text>
    </comment>
    <comment ref="L60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!rank-elite &amp;&amp; !yuri_upgrade_supermagnets</t>
      </text>
    </comment>
    <comment ref="L61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!rank-elite &amp;&amp; yuri_upgrade_supermagnets</t>
      </text>
    </comment>
    <comment ref="L62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rank-elite &amp;&amp; !yuri_upgrade_supermagnets</t>
      </text>
    </comment>
    <comment ref="L63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rank-elite &amp;&amp; yuri_upgrade_supermagnets</t>
      </text>
    </comment>
    <comment ref="L6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1 main warhead(s).
raw warhead damages: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!rank-elite</t>
      </text>
    </comment>
    <comment ref="L72" authorId="0" shapeId="0">
      <text>
        <t>per-shot TOTAL across 1 main warhead(s).
raw warhead damages: 48000, 24,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rank-elite</t>
      </text>
    </comment>
    <comment ref="L73" authorId="0" shapeId="0">
      <text>
        <t>per-shot TOTAL across 2 main warhead(s).
raw warhead damages: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yuri_upgrade_disksiphonattack</t>
      </text>
    </comment>
    <comment ref="L79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15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!rank-elite</t>
      </text>
    </comment>
    <comment ref="L5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rank-elite</t>
      </text>
    </comment>
    <comment ref="L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!asianalliance_doctrine_modernizedinfantryequipment</t>
      </text>
    </comment>
    <comment ref="L8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asianalliance_doctrine_modernizedinfantryequipment</t>
      </text>
    </comment>
    <comment ref="AB9" authorId="0" shapeId="0">
      <text>
        <t>fires when: canflare</t>
      </text>
    </comment>
    <comment ref="L1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!asianalliance_doctrine_modernizedinfantryequipment</t>
      </text>
    </comment>
    <comment ref="L11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asianalliance_doctrine_modernizedinfantryequipment</t>
      </text>
    </comment>
    <comment ref="L13" authorId="0" shapeId="0">
      <text>
        <t>per-shot TOTAL across 8 main warhead(s).
raw warhead damages: 32000, 16, 16000, 32000, 16, 32000, 16, 6000, 3, 32000, 16, 6000, 3,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!asianalliance_doctrine_modernizedinfantryequipment</t>
      </text>
    </comment>
    <comment ref="L15" authorId="0" shapeId="0">
      <text>
        <t>per-shot TOTAL across 7 main warhead(s).
raw warhead damages: 16000, 8, 16000, 8, 6000, 3, 16000, 8, 6000, 3,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asianalliance_doctrine_modernizedinfantryequipment</t>
      </text>
    </comment>
    <comment ref="L16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!asianalliance_doctrine_modernizedinfantryequipment</t>
      </text>
    </comment>
    <comment ref="L17" authorId="0" shapeId="0">
      <text>
        <t>per-shot TOTAL across 7 main warhead(s).
raw warhead damages: 16000, 8, 16000, 8, 6000, 3, 16000, 8, 6000, 3,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asianalliance_doctrine_modernizedinfantryequipment</t>
      </text>
    </comment>
    <comment ref="L19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!rank-elite &amp;&amp; !asianalliance_doctrine_modernizedinfantryequipment</t>
      </text>
    </comment>
    <comment ref="L20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(rank-elite &amp;&amp; !asianalliance_doctrine_modernizedinfantryequipment) || (!rank-elite &amp;&amp; asianalliance_doctrine_modernizedinfantryequipment)</t>
      </text>
    </comment>
    <comment ref="L2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rank-elite &amp;&amp; asianalliance_doctrine_modernizedinfantryequipment</t>
      </text>
    </comment>
    <comment ref="L2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!rank-elite &amp;&amp; !asianalliance_doctrine_modernizedinfantryequipment</t>
      </text>
    </comment>
    <comment ref="L2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(rank-elite &amp;&amp; !asianalliance_doctrine_modernizedinfantryequipment) || (!rank-elite &amp;&amp; asianalliance_doctrine_modernizedinfantryequipment)</t>
      </text>
    </comment>
    <comment ref="L2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rank-elite &amp;&amp; asianalliance_doctrine_modernizedinfantryequipment</t>
      </text>
    </comment>
    <comment ref="L26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!rank-elite</t>
      </text>
    </comment>
    <comment ref="L27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rank-elite</t>
      </text>
    </comment>
    <comment ref="L2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asianalliance_doctrine_modernizedinfantryequipment &amp;&amp; !rank-elite</t>
      </text>
    </comment>
    <comment ref="L2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asianalliance_doctrine_modernizedinfantryequipment &amp;&amp; rank-elite</t>
      </text>
    </comment>
    <comment ref="L30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!rank-elite</t>
      </text>
    </comment>
    <comment ref="L3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rank-elite</t>
      </text>
    </comment>
    <comment ref="L3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asianalliance_doctrine_modernizedinfantryequipment &amp;&amp; !rank-elite</t>
      </text>
    </comment>
    <comment ref="L3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asianalliance_doctrine_modernizedinfantryequipment &amp;&amp; rank-elite</t>
      </text>
    </comment>
    <comment ref="L35" authorId="0" shapeId="0">
      <text>
        <t>per-shot TOTAL across 1 main warhead(s).
raw warhead damages: 34000, 17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 &amp;&amp; !asianalliance_doctrine_modernizedinfantryequipment</t>
      </text>
    </comment>
    <comment ref="L36" authorId="0" shapeId="0">
      <text>
        <t>per-shot TOTAL across 1 main warhead(s).
raw warhead damages: 34000, 17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!rank-elite &amp;&amp; asianalliance_doctrine_modernizedinfantryequipment</t>
      </text>
    </comment>
    <comment ref="L37" authorId="0" shapeId="0">
      <text>
        <t>per-shot TOTAL across 1 main warhead(s).
raw warhead damages: 68000, 34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rank-elite &amp;&amp; !asianalliance_doctrine_modernizedinfantryequipment</t>
      </text>
    </comment>
    <comment ref="L38" authorId="0" shapeId="0">
      <text>
        <t>per-shot TOTAL across 1 main warhead(s).
raw warhead damages: 68000, 34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rank-elite &amp;&amp; asianalliance_doctrine_modernizedinfantryequipment</t>
      </text>
    </comment>
    <comment ref="L39" authorId="0" shapeId="0">
      <text>
        <t>per-shot TOTAL across 1 main warhead(s).
raw warhead damages: 34000, 17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!rank-elite &amp;&amp; !asianalliance_doctrine_modernizedinfantryequipment</t>
      </text>
    </comment>
    <comment ref="L40" authorId="0" shapeId="0">
      <text>
        <t>per-shot TOTAL across 1 main warhead(s).
raw warhead damages: 34000, 17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!rank-elite &amp;&amp; asianalliance_doctrine_modernizedinfantryequipment</t>
      </text>
    </comment>
    <comment ref="L41" authorId="0" shapeId="0">
      <text>
        <t>per-shot TOTAL across 1 main warhead(s).
raw warhead damages: 68000, 34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rank-elite &amp;&amp; !asianalliance_doctrine_modernizedinfantryequipment</t>
      </text>
    </comment>
    <comment ref="L42" authorId="0" shapeId="0">
      <text>
        <t>per-shot TOTAL across 1 main warhead(s).
raw warhead damages: 68000, 34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rank-elite &amp;&amp; asianalliance_doctrine_modernizedinfantryequipment</t>
      </text>
    </comment>
    <comment ref="L4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!rank-elite &amp;&amp; !asianalliance_doctrine_modernizedinfantryequipment</t>
      </text>
    </comment>
    <comment ref="L4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(rank-elite &amp;&amp; !asianalliance_doctrine_modernizedinfantryequipment) || (!rank-elite &amp;&amp; asianalliance_doctrine_modernizedinfantryequipment)</t>
      </text>
    </comment>
    <comment ref="L4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rank-elite &amp;&amp; asianalliance_doctrine_modernizedinfantryequipment</t>
      </text>
    </comment>
    <comment ref="L5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!rank-elite &amp;&amp; !asianalliance_doctrine_modernizedinfantryequipment</t>
      </text>
    </comment>
    <comment ref="L5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(rank-elite &amp;&amp; !asianalliance_doctrine_modernizedinfantryequipment) || (!rank-elite &amp;&amp; asianalliance_doctrine_modernizedinfantryequipment)</t>
      </text>
    </comment>
    <comment ref="L5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rank-elite &amp;&amp; asianalliance_doctrine_modernizedinfantryequipment</t>
      </text>
    </comment>
    <comment ref="L5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!rank-elite &amp;&amp; !asianalliance_doctrine_modernizedinfantryequipment</t>
      </text>
    </comment>
    <comment ref="L55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(rank-elite &amp;&amp; !asianalliance_doctrine_modernizedinfantryequipment) || (!rank-elite &amp;&amp; asianalliance_doctrine_modernizedinfantryequipment)</t>
      </text>
    </comment>
    <comment ref="L5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rank-elite &amp;&amp; asianalliance_doctrine_modernizedinfantryequipment</t>
      </text>
    </comment>
    <comment ref="L58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!rank-elite</t>
      </text>
    </comment>
    <comment ref="L59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rank-elite</t>
      </text>
    </comment>
    <comment ref="L60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!rank-elite</t>
      </text>
    </comment>
    <comment ref="L61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rank-elite</t>
      </text>
    </comment>
    <comment ref="L63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!rank-elite</t>
      </text>
    </comment>
    <comment ref="L6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rank-elite</t>
      </text>
    </comment>
    <comment ref="L65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!rank-elite</t>
      </text>
    </comment>
    <comment ref="L6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rank-elite</t>
      </text>
    </comment>
    <comment ref="L68" authorId="0" shapeId="0">
      <text>
        <t>per-shot TOTAL across 6 main warhead(s).
raw warhead damages: 2000, 1, 2000, 1, 2000, 1000, 1, 2000, 1, 888,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!rank-elite</t>
      </text>
    </comment>
    <comment ref="L69" authorId="0" shapeId="0">
      <text>
        <t>per-shot TOTAL across 6 main warhead(s).
raw warhead damages: 2000, 1, 2000, 1, 2000, 1000, 1, 2000, 1, 888,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rank-elite</t>
      </text>
    </comment>
    <comment ref="L70" authorId="0" shapeId="0">
      <text>
        <t>per-shot TOTAL across 6 main warhead(s).
raw warhead damages: 2000, 1, 2000, 1, 2000, 1000, 1, 2000, 1, 888,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!rank-elite</t>
      </text>
    </comment>
    <comment ref="L71" authorId="0" shapeId="0">
      <text>
        <t>per-shot TOTAL across 6 main warhead(s).
raw warhead damages: 2000, 1, 2000, 1, 2000, 1000, 1, 2000, 1, 888,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rank-elite</t>
      </text>
    </comment>
    <comment ref="L7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!rank-elite</t>
      </text>
    </comment>
    <comment ref="L7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rank-elite</t>
      </text>
    </comment>
    <comment ref="L80" authorId="0" shapeId="0">
      <text>
        <t>per-shot TOTAL across 1 main warhead(s).
raw warhead damages: 36000, 18,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!rank-elite</t>
      </text>
    </comment>
    <comment ref="L81" authorId="0" shapeId="0">
      <text>
        <t>per-shot TOTAL across 1 main warhead(s).
raw warhead damages: 48000, 24,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rank-elite</t>
      </text>
    </comment>
    <comment ref="L83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!rank-elite</t>
      </text>
    </comment>
    <comment ref="L84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rank-elite</t>
      </text>
    </comment>
    <comment ref="L86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!rank-elite</t>
      </text>
    </comment>
    <comment ref="L87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rank-elite</t>
      </text>
    </comment>
    <comment ref="L8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asianalliance_doctrine_asianphalanx &amp;&amp; !rank-elite</t>
      </text>
    </comment>
    <comment ref="L8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asianalliance_doctrine_asianphalanx &amp;&amp; rank-elite</t>
      </text>
    </comment>
    <comment ref="L9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asianalliance_doctrine_heavypulverizerweapons</t>
      </text>
    </comment>
    <comment ref="L96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7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asianalliance_doctrine_heavypulverizerweapons</t>
      </text>
    </comment>
    <comment ref="L99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!asianalliance_upgrade_celestialpower</t>
      </text>
    </comment>
    <comment ref="L100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asianalliance_upgrade_celestialpower</t>
      </text>
    </comment>
    <comment ref="L101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!asianalliance_upgrade_celestialpower</t>
      </text>
    </comment>
    <comment ref="L102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asianalliance_upgrade_celestialpower</t>
      </text>
    </comment>
    <comment ref="L104" authorId="0" shapeId="0">
      <text>
        <t>per-shot TOTAL across 1 main warhead(s).
raw warhead damages: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!rank-elite</t>
      </text>
    </comment>
    <comment ref="L105" authorId="0" shapeId="0">
      <text>
        <t>per-shot TOTAL across 1 main warhead(s).
raw warhead damages: 36000, 18,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rank-elite</t>
      </text>
    </comment>
    <comment ref="L107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9" authorId="0" shapeId="0">
      <text>
        <t>per-shot TOTAL across 6 main warhead(s).
raw warhead damages: 4000, 2, 4000, 2,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!rank-elite</t>
      </text>
    </comment>
    <comment ref="L110" authorId="0" shapeId="0">
      <text>
        <t>per-shot TOTAL across 6 main warhead(s).
raw warhead damages: 4000, 2, 4000, 2,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rank-elite</t>
      </text>
    </comment>
    <comment ref="L112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4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!rank-elite</t>
      </text>
    </comment>
    <comment ref="L115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5" authorId="0" shapeId="0">
      <text>
        <t>fires when: rank-elite</t>
      </text>
    </comment>
    <comment ref="L118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0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!rank-elite</t>
      </text>
    </comment>
    <comment ref="L121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rank-elite</t>
      </text>
    </comment>
    <comment ref="L12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asianalliance_doctrine_asianphalanx &amp;&amp; !rank-elite</t>
      </text>
    </comment>
    <comment ref="L12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asianalliance_doctrine_asianphalanx &amp;&amp; rank-elite</t>
      </text>
    </comment>
    <comment ref="L125" authorId="0" shapeId="0">
      <text>
        <t>per-shot TOTAL across 3 main warhead(s).
raw warhead damages: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!rank-elite</t>
      </text>
    </comment>
    <comment ref="L126" authorId="0" shapeId="0">
      <text>
        <t>per-shot TOTAL across 3 main warhead(s).
raw warhead damages: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rank-elite</t>
      </text>
    </comment>
    <comment ref="L13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0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!rank-elite</t>
      </text>
    </comment>
    <comment ref="L14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rank-elite</t>
      </text>
    </comment>
    <comment ref="L142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!rank-elite</t>
      </text>
    </comment>
    <comment ref="L143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rank-elite</t>
      </text>
    </comment>
    <comment ref="L144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5" authorId="0" shapeId="0">
      <text>
        <t>per-shot TOTAL across 1 main warhead(s).
raw warhead damages: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rank-elite</t>
      </text>
    </comment>
    <comment ref="L151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3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!rank-elite</t>
      </text>
    </comment>
    <comment ref="L154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4" authorId="0" shapeId="0">
      <text>
        <t>fires when: rank-elite</t>
      </text>
    </comment>
    <comment ref="L156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6" authorId="0" shapeId="0">
      <text>
        <t>fires when: !asianalliance_upgrade_celestialpower</t>
      </text>
    </comment>
    <comment ref="L157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7" authorId="0" shapeId="0">
      <text>
        <t>fires when: asianalliance_upgrade_celestialpower</t>
      </text>
    </comment>
    <comment ref="L158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!asianalliance_upgrade_celestialpower</t>
      </text>
    </comment>
    <comment ref="L159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9" authorId="0" shapeId="0">
      <text>
        <t>fires when: asianalliance_upgrade_celestialpower</t>
      </text>
    </comment>
    <comment ref="L17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0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3" authorId="0" shapeId="0">
      <text>
        <t>per-shot TOTAL across 8 main warhead(s).
raw warhead damages: 2000, 1, 2000, 1, 2000, 1,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5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5" authorId="0" shapeId="0">
      <text>
        <t>fires when: !asianalliance_upgrade_celestialpower</t>
      </text>
    </comment>
    <comment ref="L186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6" authorId="0" shapeId="0">
      <text>
        <t>fires when: asianalliance_upgrade_celestialpower</t>
      </text>
    </comment>
    <comment ref="L188" authorId="0" shapeId="0">
      <text>
        <t>per-shot TOTAL across 1 main warhead(s).
raw warhead damages: 30000, 15,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0" authorId="0" shapeId="0">
      <text>
        <t>per-shot TOTAL across 4 main warhead(s).
raw warhead damages: 4000, 1, 4000, 1, 4000, 1,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3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3" authorId="0" shapeId="0">
      <text>
        <t>fires when: !asianalliance_upgrade_celestialpower</t>
      </text>
    </comment>
    <comment ref="L194" authorId="0" shapeId="0">
      <text>
        <t>per-shot TOTAL across 4 main warhead(s).
raw warhead damages: 2000, 1, 2000, 1, 2000, 1000, 1, 2000, 1, 888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4" authorId="0" shapeId="0">
      <text>
        <t>fires when: asianalliance_upgrade_celestialpower</t>
      </text>
    </comment>
  </commentList>
</comments>
</file>

<file path=xl/comments/comment1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!rank-elite</t>
      </text>
    </comment>
    <comment ref="L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rank-elite</t>
      </text>
    </comment>
    <comment ref="L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!rank-elite</t>
      </text>
    </comment>
    <comment ref="L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rank-elite</t>
      </text>
    </comment>
    <comment ref="L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!rank-elite &amp;&amp; steelconsortium_upgrade_resonanceammo</t>
      </text>
    </comment>
    <comment ref="L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rank-elite &amp;&amp; steelconsortium_upgrade_resonanceammo</t>
      </text>
    </comment>
    <comment ref="L1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!rank-elite &amp;&amp; steelconsortium_upgrade_resonanceammo</t>
      </text>
    </comment>
    <comment ref="L1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rank-elite &amp;&amp; steelconsortium_upgrade_resonanceammo</t>
      </text>
    </comment>
    <comment ref="L16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!rank-elite &amp;&amp; !steelconsortium_upgrade_quantumweaponpower</t>
      </text>
    </comment>
    <comment ref="L17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rank-elite &amp;&amp; !steelconsortium_upgrade_quantumweaponpower</t>
      </text>
    </comment>
    <comment ref="L18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!rank-elite &amp;&amp; !steelconsortium_upgrade_quantumweaponpower</t>
      </text>
    </comment>
    <comment ref="L19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rank-elite &amp;&amp; !steelconsortium_upgrade_quantumweaponpower</t>
      </text>
    </comment>
    <comment ref="L20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!rank-elite &amp;&amp; steelconsortium_upgrade_quantumweaponpower</t>
      </text>
    </comment>
    <comment ref="L21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rank-elite &amp;&amp; steelconsortium_upgrade_quantumweaponpower</t>
      </text>
    </comment>
    <comment ref="L22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!rank-elite &amp;&amp; steelconsortium_upgrade_quantumweaponpower</t>
      </text>
    </comment>
    <comment ref="L23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rank-elite &amp;&amp; steelconsortium_upgrade_quantumweaponpower</t>
      </text>
    </comment>
    <comment ref="L25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!deployed &amp;&amp; !rank-elite &amp;&amp; !steelconsortium_upgrade_quantumweaponpower</t>
      </text>
    </comment>
    <comment ref="L26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!deployed &amp;&amp; rank-elite &amp;&amp; !steelconsortium_upgrade_quantumweaponpower</t>
      </text>
    </comment>
    <comment ref="L27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!deployed &amp;&amp; !rank-elite &amp;&amp; steelconsortium_upgrade_quantumweaponpower</t>
      </text>
    </comment>
    <comment ref="L28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!deployed &amp;&amp; rank-elite &amp;&amp; steelconsortium_upgrade_quantumweaponpower</t>
      </text>
    </comment>
    <comment ref="AB29" authorId="0" shapeId="0">
      <text>
        <t>fires when: botmicro</t>
      </text>
    </comment>
    <comment ref="L30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deployed &amp;&amp; !rank-elite &amp;&amp; !steelconsortium_upgrade_quantumweaponpower</t>
      </text>
    </comment>
    <comment ref="L31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deployed &amp;&amp; rank-elite &amp;&amp; !steelconsortium_upgrade_quantumweaponpower</t>
      </text>
    </comment>
    <comment ref="L32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deployed &amp;&amp; !rank-elite &amp;&amp; steelconsortium_upgrade_quantumweaponpower</t>
      </text>
    </comment>
    <comment ref="L33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deployed &amp;&amp; rank-elite &amp;&amp; steelconsortium_upgrade_quantumweaponpower</t>
      </text>
    </comment>
    <comment ref="L34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!rank-elite &amp;&amp; !steelconsortium_upgrade_quantumweaponpower</t>
      </text>
    </comment>
    <comment ref="L35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rank-elite &amp;&amp; !steelconsortium_upgrade_quantumweaponpower</t>
      </text>
    </comment>
    <comment ref="L36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!rank-elite &amp;&amp; steelconsortium_upgrade_quantumweaponpower</t>
      </text>
    </comment>
    <comment ref="L37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rank-elite &amp;&amp; steelconsortium_upgrade_quantumweaponpower</t>
      </text>
    </comment>
    <comment ref="L39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!rank-elite</t>
      </text>
    </comment>
    <comment ref="L40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rank-elite</t>
      </text>
    </comment>
    <comment ref="L41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!rank-elite</t>
      </text>
    </comment>
    <comment ref="L42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rank-elite</t>
      </text>
    </comment>
    <comment ref="L43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!rank-elite &amp;&amp; steelconsortium_upgrade_resonanceammo</t>
      </text>
    </comment>
    <comment ref="L44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rank-elite &amp;&amp; steelconsortium_upgrade_resonanceammo</t>
      </text>
    </comment>
    <comment ref="L45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!rank-elite &amp;&amp; steelconsortium_upgrade_resonanceammo</t>
      </text>
    </comment>
    <comment ref="L46" authorId="0" shapeId="0">
      <text>
        <t>per-shot TOTAL across 3 main warhead(s).
raw warhead damages: 4000, 2000, 2, 4000, 2, 600, 4000,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rank-elite &amp;&amp; steelconsortium_upgrade_resonanceammo</t>
      </text>
    </comment>
    <comment ref="L49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!rank-elite</t>
      </text>
    </comment>
    <comment ref="L55" authorId="0" shapeId="0">
      <text>
        <t>per-shot TOTAL across 2 main warhead(s).
raw warhead damages: 8000, 2, 8000,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rank-elite</t>
      </text>
    </comment>
    <comment ref="L57" authorId="0" shapeId="0">
      <text>
        <t>per-shot TOTAL across 5 main warhead(s).
raw warhead damages: 12000, 6, 6000, 12000, 6, 1000, 12000, 6, 1000,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steelconsortium_upgrade_resonanceammo</t>
      </text>
    </comment>
    <comment ref="L6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steelconsortium_upgrade_resonanceammo</t>
      </text>
    </comment>
    <comment ref="L6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steelconsortium_upgrade_resonanceammo</t>
      </text>
    </comment>
    <comment ref="L6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steelconsortium_upgrade_resonanceammo</t>
      </text>
    </comment>
    <comment ref="L70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!rank-elite</t>
      </text>
    </comment>
    <comment ref="L71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rank-elite</t>
      </text>
    </comment>
    <comment ref="L73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!rank-elite &amp;&amp; !steelconsortium_upgrade_quantumweaponpower</t>
      </text>
    </comment>
    <comment ref="L74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rank-elite &amp;&amp; !steelconsortium_upgrade_quantumweaponpower</t>
      </text>
    </comment>
    <comment ref="L75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!rank-elite &amp;&amp; steelconsortium_upgrade_quantumweaponpower</t>
      </text>
    </comment>
    <comment ref="L76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rank-elite &amp;&amp; steelconsortium_upgrade_quantumweaponpower</t>
      </text>
    </comment>
    <comment ref="L78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undeployed</t>
      </text>
    </comment>
    <comment ref="L79" authorId="0" shapeId="0">
      <text>
        <t>per-shot TOTAL across 3 main warhead(s).
raw warhead damages: 11111, 11, 11111, 11, 11111, 11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deployed</t>
      </text>
    </comment>
    <comment ref="AB80" authorId="0" shapeId="0">
      <text>
        <t>fires when: botmicro</t>
      </text>
    </comment>
    <comment ref="L82" authorId="0" shapeId="0">
      <text>
        <t>per-shot TOTAL across 2 main warhead(s).
raw warhead damages: 10000, 5,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!rank-elite &amp;&amp; !steelconsortium_upgrade_quantumweaponpower</t>
      </text>
    </comment>
    <comment ref="L83" authorId="0" shapeId="0">
      <text>
        <t>per-shot TOTAL across 2 main warhead(s).
raw warhead damages: 10000, 5,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rank-elite &amp;&amp; !steelconsortium_upgrade_quantumweaponpower</t>
      </text>
    </comment>
    <comment ref="L84" authorId="0" shapeId="0">
      <text>
        <t>per-shot TOTAL across 6 main warhead(s).
raw warhead damages: 10000, 5, 10000, 5000, 5, 10000, 5, 20000, 10,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!rank-elite &amp;&amp; steelconsortium_upgrade_quantumweaponpower</t>
      </text>
    </comment>
    <comment ref="L85" authorId="0" shapeId="0">
      <text>
        <t>per-shot TOTAL across 6 main warhead(s).
raw warhead damages: 10000, 5, 10000, 5000, 5, 10000, 5, 20000, 10,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rank-elite &amp;&amp; steelconsortium_upgrade_quantumweaponpower</t>
      </text>
    </comment>
    <comment ref="L87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!rank-elite &amp;&amp; !steelconsortium_upgrade_quantumweaponpower</t>
      </text>
    </comment>
    <comment ref="L88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rank-elite &amp;&amp; !steelconsortium_upgrade_quantumweaponpower</t>
      </text>
    </comment>
    <comment ref="L89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!rank-elite &amp;&amp; steelconsortium_upgrade_quantumweaponpower</t>
      </text>
    </comment>
    <comment ref="L90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rank-elite &amp;&amp; steelconsortium_upgrade_quantumweaponpower</t>
      </text>
    </comment>
    <comment ref="L92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5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steelconsortium_upgrade_resonanceammo</t>
      </text>
    </comment>
    <comment ref="L97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steelconsortium_upgrade_resonanceammo</t>
      </text>
    </comment>
    <comment ref="L98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steelconsortium_upgrade_resonanceammo</t>
      </text>
    </comment>
    <comment ref="L99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steelconsortium_upgrade_resonanceammo</t>
      </text>
    </comment>
    <comment ref="L101" authorId="0" shapeId="0">
      <text>
        <t>per-shot TOTAL across 3 main warhead(s).
raw warhead damages: 20000, 10, 20000, 10, 600,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!rank-elite</t>
      </text>
    </comment>
    <comment ref="L102" authorId="0" shapeId="0">
      <text>
        <t>per-shot TOTAL across 3 main warhead(s).
raw warhead damages: 30000, 15, 30000, 15, 600, 30000, 15000,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!rank-elite &amp;&amp; steelconsortium_upgrade_quantumweaponpower</t>
      </text>
    </comment>
    <comment ref="L103" authorId="0" shapeId="0">
      <text>
        <t>per-shot TOTAL across 4 main warhead(s).
raw warhead damages: 30000, 15, 1000, 30000, 15, 30000, 15, 600, 30000, 15000,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rank-elite</t>
      </text>
    </comment>
    <comment ref="L105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7" authorId="0" shapeId="0">
      <text>
        <t>per-shot TOTAL across 2 main warhead(s).
raw warhead damages: 12000, 6, 1000, 12000, 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!rank-elite &amp;&amp; !steelconsortium_upgrade_quantumweaponpower</t>
      </text>
    </comment>
    <comment ref="L108" authorId="0" shapeId="0">
      <text>
        <t>per-shot TOTAL across 5 main warhead(s).
raw warhead damages: 8000, 4, 4000, 12000, 6, 1000, 12000, 6,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!rank-elite &amp;&amp; steelconsortium_upgrade_quantumweaponpower</t>
      </text>
    </comment>
    <comment ref="L109" authorId="0" shapeId="0">
      <text>
        <t>per-shot TOTAL across 5 main warhead(s).
raw warhead damages: 12000, 6, 6000, 12000, 6, 1000, 12000, 6, 1000,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rank-elite</t>
      </text>
    </comment>
    <comment ref="L111" authorId="0" shapeId="0">
      <text>
        <t>per-shot TOTAL across 2 main warhead(s).
raw warhead damages: 60000, 30, 600,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!rank-elite &amp;&amp; !steelconsortium_upgrade_quantumweaponpower</t>
      </text>
    </comment>
    <comment ref="L112" authorId="0" shapeId="0">
      <text>
        <t>per-shot TOTAL across 3 main warhead(s).
raw warhead damages: 40000, 20, 20000, 40000, 20, 600, 40000, 20,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!rank-elite &amp;&amp; steelconsortium_upgrade_quantumweaponpower</t>
      </text>
    </comment>
    <comment ref="L113" authorId="0" shapeId="0">
      <text>
        <t>per-shot TOTAL across 3 main warhead(s).
raw warhead damages: 60000, 30, 30000, 60000, 30, 600,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rank-elite</t>
      </text>
    </comment>
    <comment ref="L117" authorId="0" shapeId="0">
      <text>
        <t>per-shot TOTAL across 5 main warhead(s).
raw warhead damages: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0" authorId="0" shapeId="0">
      <text>
        <t>per-shot TOTAL across 5 main warhead(s).
raw warhead damages: 2000, 1, 600,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1" authorId="0" shapeId="0">
      <text>
        <t>per-shot TOTAL across 6 main warhead(s).
raw warhead damages: 2000, 1, 2000, 1000, 1,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steelconsortium_upgrade_quantumweaponpower</t>
      </text>
    </comment>
    <comment ref="L123" authorId="0" shapeId="0">
      <text>
        <t>per-shot TOTAL across 4 main warhead(s).
raw warhead damages: 4000, 2, 1000,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!steelconsortium_upgrade_quantumweaponpower</t>
      </text>
    </comment>
    <comment ref="L124" authorId="0" shapeId="0">
      <text>
        <t>per-shot TOTAL across 10 main warhead(s).
raw warhead damages: 2000, 1000, 1, 2000, 1, 2000, 1, 2000, 1000, 1, 2000, 1, 2000, 1000, 1, 2000, 1, 1000,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steelconsortium_upgrade_quantumweaponpower</t>
      </text>
    </comment>
    <comment ref="L12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8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8" authorId="0" shapeId="0">
      <text>
        <t>fires when: !steelconsortium_upgrade_quantumweaponpower</t>
      </text>
    </comment>
    <comment ref="L129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steelconsortium_upgrade_quantumweaponpower</t>
      </text>
    </comment>
    <comment ref="L13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!rank-elite</t>
      </text>
    </comment>
    <comment ref="L13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rank-elite</t>
      </text>
    </comment>
    <comment ref="L135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steelconsortium_upgrade_quantumweaponpower &amp;&amp; !rank-elite</t>
      </text>
    </comment>
    <comment ref="L136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steelconsortium_upgrade_quantumweaponpower &amp;&amp; rank-elite</t>
      </text>
    </comment>
    <comment ref="L138" authorId="0" shapeId="0">
      <text>
        <t>per-shot TOTAL across 3 main warhead(s).
raw warhead damages: 100000, 50, 50000, 100000, 50, 50000,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0" authorId="0" shapeId="0">
      <text>
        <t>per-shot TOTAL across 2 main warhead(s).
raw warhead damages: 24000, 12, 600,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!rank-elite</t>
      </text>
    </comment>
    <comment ref="L141" authorId="0" shapeId="0">
      <text>
        <t>per-shot TOTAL across 3 main warhead(s).
raw warhead damages: 16000, 8, 8000, 16000, 8, 600, 16000, 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!rank-elite &amp;&amp; steelconsortium_upgrade_quantumweaponpower</t>
      </text>
    </comment>
    <comment ref="L142" authorId="0" shapeId="0">
      <text>
        <t>per-shot TOTAL across 3 main warhead(s).
raw warhead damages: 24000, 12, 12000, 24000, 12, 600, 24000, 12,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rank-elite</t>
      </text>
    </comment>
    <comment ref="L144" authorId="0" shapeId="0">
      <text>
        <t>per-shot TOTAL across 5 main warhead(s).
raw warhead damages: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!rank-elite</t>
      </text>
    </comment>
    <comment ref="L145" authorId="0" shapeId="0">
      <text>
        <t>per-shot TOTAL across 5 main warhead(s).
raw warhead damages: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rank-elite</t>
      </text>
    </comment>
    <comment ref="AB148" authorId="0" shapeId="0">
      <text>
        <t>fires when: steelconsortium_upgrade_scalpeldefenders</t>
      </text>
    </comment>
    <comment ref="L149" authorId="0" shapeId="0">
      <text>
        <t>per-shot TOTAL across 4 main warhead(s).
raw warhead damages: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9" authorId="0" shapeId="0">
      <text>
        <t>fires when: !steelconsortium_upgrade_quantumweaponpower</t>
      </text>
    </comment>
    <comment ref="L150" authorId="0" shapeId="0">
      <text>
        <t>per-shot TOTAL across 4 main warhead(s).
raw warhead damages: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0" authorId="0" shapeId="0">
      <text>
        <t>fires when: steelconsortium_upgrade_quantumweaponpower</t>
      </text>
    </comment>
    <comment ref="L153" authorId="0" shapeId="0">
      <text>
        <t>per-shot TOTAL across 4 main warhead(s).
raw warhead damages: 250000, 125000, 125, 250000, 125, 888, 250000, 125, 600, 250000, 125,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5" authorId="0" shapeId="0">
      <text>
        <t>per-shot TOTAL across 4 main warhead(s).
raw warhead damages: 250000, 125000, 125, 250000, 125, 888, 250000, 125, 600, 250000, 125,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steelconsortium_upgrade_scalpeldefenders</t>
      </text>
    </comment>
    <comment ref="L16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6" authorId="0" shapeId="0">
      <text>
        <t>fires when: steelconsortium_upgrade_resonanceammo</t>
      </text>
    </comment>
    <comment ref="AB171" authorId="0" shapeId="0">
      <text>
        <t>fires when: steelconsortium_upgrade_scalpeldefenders</t>
      </text>
    </comment>
    <comment ref="L172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2" authorId="0" shapeId="0">
      <text>
        <t>fires when: !steelconsortium_upgrade_quantumweaponpower</t>
      </text>
    </comment>
    <comment ref="L173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3" authorId="0" shapeId="0">
      <text>
        <t>fires when: !steelconsortium_upgrade_quantumweaponpower</t>
      </text>
    </comment>
    <comment ref="L174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4" authorId="0" shapeId="0">
      <text>
        <t>fires when: steelconsortium_upgrade_quantumweaponpower</t>
      </text>
    </comment>
    <comment ref="L175" authorId="0" shapeId="0">
      <text>
        <t>per-shot TOTAL across 6 main warhead(s).
raw warhead damages: 2000, 1000, 1, 2000, 1, 2000, 1, 2000, 1, 600,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5" authorId="0" shapeId="0">
      <text>
        <t>fires when: steelconsortium_upgrade_quantumweaponpower</t>
      </text>
    </comment>
  </commentList>
</comments>
</file>

<file path=xl/comments/comment17.xml><?xml version="1.0" encoding="utf-8"?>
<comments xmlns="http://schemas.openxmlformats.org/spreadsheetml/2006/main">
  <authors>
    <author>balance-pipeline</author>
  </authors>
  <commentList>
    <comment ref="L7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!rank-elite</t>
      </text>
    </comment>
    <comment ref="L8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rank-elite</t>
      </text>
    </comment>
    <comment ref="L9" authorId="0" shapeId="0">
      <text>
        <t>per-shot TOTAL across 3 main warhead(s).
raw warhead damages: 60000, 30, 60000, 30000,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!rank-elite</t>
      </text>
    </comment>
    <comment ref="L10" authorId="0" shapeId="0">
      <text>
        <t>per-shot TOTAL across 3 main warhead(s).
raw warhead damages: 120000, 60, 120000, 60000, 60, 120000, 60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rank-elite</t>
      </text>
    </comment>
    <comment ref="L11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!rank-elite</t>
      </text>
    </comment>
    <comment ref="L12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rank-elite</t>
      </text>
    </comment>
    <comment ref="L13" authorId="0" shapeId="0">
      <text>
        <t>per-shot TOTAL across 3 main warhead(s).
raw warhead damages: 60000, 30, 60000, 30000,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!rank-elite</t>
      </text>
    </comment>
    <comment ref="L14" authorId="0" shapeId="0">
      <text>
        <t>per-shot TOTAL across 3 main warhead(s).
raw warhead damages: 120000, 60, 120000, 60000, 60, 120000, 60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rank-elite</t>
      </text>
    </comment>
    <comment ref="L16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(!latinsyndicate_upgrade_asianalliancestolentechhotfire &amp;&amp; !rank-elite)</t>
      </text>
    </comment>
    <comment ref="L17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(latinsyndicate_upgrade_asianalliancestolentechhotfire &amp;&amp; !rank-elite) || (!latinsyndicate_upgrade_asianalliancestolentechhotfire &amp;&amp; rank-elite)</t>
      </text>
    </comment>
    <comment ref="L18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(latinsyndicate_upgrade_asianalliancestolentechhotfire &amp;&amp; rank-elite)</t>
      </text>
    </comment>
    <comment ref="L19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(!latinsyndicate_upgrade_asianalliancestolentechhotfire &amp;&amp; !rank-elite)</t>
      </text>
    </comment>
    <comment ref="L20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(latinsyndicate_upgrade_asianalliancestolentechhotfire &amp;&amp; !rank-elite) || (!latinsyndicate_upgrade_asianalliancestolentechhotfire &amp;&amp; rank-elite)</t>
      </text>
    </comment>
    <comment ref="L21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(latinsyndicate_upgrade_asianalliancestolentechhotfire &amp;&amp; rank-elite)</t>
      </text>
    </comment>
    <comment ref="L2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!rank-elite</t>
      </text>
    </comment>
    <comment ref="L2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rank-elite</t>
      </text>
    </comment>
    <comment ref="L2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!rank-elite</t>
      </text>
    </comment>
    <comment ref="L2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rank-elite</t>
      </text>
    </comment>
    <comment ref="L2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!rank-elite</t>
      </text>
    </comment>
    <comment ref="L2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rank-elite</t>
      </text>
    </comment>
    <comment ref="L30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latinsyndicate_doctrine_eliteguerillas &amp;&amp; !rank-elite</t>
      </text>
    </comment>
    <comment ref="L31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latinsyndicate_doctrine_eliteguerillas &amp;&amp; rank-elite</t>
      </text>
    </comment>
    <comment ref="L3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!rank-elite</t>
      </text>
    </comment>
    <comment ref="L33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rank-elite</t>
      </text>
    </comment>
    <comment ref="L34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latinsyndicate_doctrine_eliteguerillas &amp;&amp; !rank-elite</t>
      </text>
    </comment>
    <comment ref="L35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latinsyndicate_doctrine_eliteguerillas &amp;&amp; rank-elite</t>
      </text>
    </comment>
    <comment ref="L37" authorId="0" shapeId="0">
      <text>
        <t>per-shot TOTAL across 1 main warhead(s).
raw warhead damages: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!rank-elite</t>
      </text>
    </comment>
    <comment ref="L38" authorId="0" shapeId="0">
      <text>
        <t>per-shot TOTAL across 1 main warhead(s).
raw warhead damages: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rank-elite</t>
      </text>
    </comment>
    <comment ref="L3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rank-elite</t>
      </text>
    </comment>
    <comment ref="L41" authorId="0" shapeId="0">
      <text>
        <t>per-shot TOTAL across 1 main warhead(s).
raw warhead damages: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!rank-elite</t>
      </text>
    </comment>
    <comment ref="L42" authorId="0" shapeId="0">
      <text>
        <t>per-shot TOTAL across 1 main warhead(s).
raw warhead damages: 70000, 35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rank-elite</t>
      </text>
    </comment>
    <comment ref="L43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!rank-elite</t>
      </text>
    </comment>
    <comment ref="L4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rank-elite</t>
      </text>
    </comment>
    <comment ref="L46" authorId="0" shapeId="0">
      <text>
        <t>per-shot TOTAL across 1 main warhead(s).
raw warhead damages: 26000, 13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!rank-elite</t>
      </text>
    </comment>
    <comment ref="L47" authorId="0" shapeId="0">
      <text>
        <t>per-shot TOTAL across 1 main warhead(s).
raw warhead damages: 26000, 13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!rank-elite</t>
      </text>
    </comment>
    <comment ref="L48" authorId="0" shapeId="0">
      <text>
        <t>per-shot TOTAL across 1 main warhead(s).
raw warhead damages: 52000, 26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rank-elite</t>
      </text>
    </comment>
    <comment ref="L49" authorId="0" shapeId="0">
      <text>
        <t>per-shot TOTAL across 1 main warhead(s).
raw warhead damages: 52000, 26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rank-elite</t>
      </text>
    </comment>
    <comment ref="L54" authorId="0" shapeId="0">
      <text>
        <t>per-shot TOTAL across 5 main warhead(s).
raw warhead damages: 4000,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5 main warhead(s).
raw warhead damages: 4000, 2,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rank-elite</t>
      </text>
    </comment>
    <comment ref="L57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!rank-elite</t>
      </text>
    </comment>
    <comment ref="L58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rank-elite</t>
      </text>
    </comment>
    <comment ref="L6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!rank-elite</t>
      </text>
    </comment>
    <comment ref="L6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rank-elite</t>
      </text>
    </comment>
    <comment ref="L65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!rank-elite</t>
      </text>
    </comment>
    <comment ref="L6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rank-elite</t>
      </text>
    </comment>
    <comment ref="L68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rank-elite</t>
      </text>
    </comment>
    <comment ref="L7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!rank-elite</t>
      </text>
    </comment>
    <comment ref="L72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rank-elite</t>
      </text>
    </comment>
    <comment ref="L7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!rank-elite</t>
      </text>
    </comment>
    <comment ref="L7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rank-elite</t>
      </text>
    </comment>
    <comment ref="L75" authorId="0" shapeId="0">
      <text>
        <t>per-shot TOTAL across 2 main warhead(s).
raw warhead damages: 2000,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latinsyndicate_upgrade_yuristolentechchainguns &amp;&amp; !rank-elite</t>
      </text>
    </comment>
    <comment ref="L76" authorId="0" shapeId="0">
      <text>
        <t>per-shot TOTAL across 2 main warhead(s).
raw warhead damages: 2000,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latinsyndicate_upgrade_yuristolentechchainguns &amp;&amp; rank-elite</t>
      </text>
    </comment>
    <comment ref="L77" authorId="0" shapeId="0">
      <text>
        <t>per-shot TOTAL across 2 main warhead(s).
raw warhead damages: 2000,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latinsyndicate_upgrade_yuristolentechchainguns &amp;&amp; !rank-elite</t>
      </text>
    </comment>
    <comment ref="L78" authorId="0" shapeId="0">
      <text>
        <t>per-shot TOTAL across 2 main warhead(s).
raw warhead damages: 2000,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latinsyndicate_upgrade_yuristolentechchainguns &amp;&amp; rank-elite</t>
      </text>
    </comment>
    <comment ref="L79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latinsyndicate_doctrine_cartelrockets &amp;&amp; !rank-elite</t>
      </text>
    </comment>
    <comment ref="L80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latinsyndicate_doctrine_cartelrockets &amp;&amp; rank-elite</t>
      </text>
    </comment>
    <comment ref="L8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latinsyndicate_doctrine_cartelrockets &amp;&amp; !rank-elite</t>
      </text>
    </comment>
    <comment ref="L82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latinsyndicate_doctrine_cartelrockets &amp;&amp; rank-elite</t>
      </text>
    </comment>
    <comment ref="L84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rank-elite</t>
      </text>
    </comment>
    <comment ref="L87" authorId="0" shapeId="0">
      <text>
        <t>per-shot TOTAL across 6 main warhead(s).
raw warhead damages: 6000, 3, 6000, 3000,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!rank-elite</t>
      </text>
    </comment>
    <comment ref="L88" authorId="0" shapeId="0">
      <text>
        <t>per-shot TOTAL across 6 main warhead(s).
raw warhead damages: 6000, 3, 6000, 3000,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rank-elite</t>
      </text>
    </comment>
    <comment ref="L9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!rank-elite</t>
      </text>
    </comment>
    <comment ref="L9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rank-elite</t>
      </text>
    </comment>
    <comment ref="L9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!rank-elite &amp;&amp; !latinsyndicate_upgrade_yuristolentechchainguns</t>
      </text>
    </comment>
    <comment ref="L9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rank-elite &amp;&amp; !latinsyndicate_upgrade_yuristolentechchainguns</t>
      </text>
    </comment>
    <comment ref="L97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!rank-elite &amp;&amp; latinsyndicate_upgrade_yuristolentechchainguns</t>
      </text>
    </comment>
    <comment ref="L98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rank-elite &amp;&amp; latinsyndicate_upgrade_yuristolentechchainguns</t>
      </text>
    </comment>
    <comment ref="L99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!rank-elite</t>
      </text>
    </comment>
    <comment ref="L100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rank-elite</t>
      </text>
    </comment>
    <comment ref="L10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!rank-elite</t>
      </text>
    </comment>
    <comment ref="L10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rank-elite</t>
      </text>
    </comment>
    <comment ref="L10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latinsyndicate_doctrine_cartelrockets &amp;&amp; !rank-elite</t>
      </text>
    </comment>
    <comment ref="L105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latinsyndicate_doctrine_cartelrockets &amp;&amp; rank-elite</t>
      </text>
    </comment>
    <comment ref="L107" authorId="0" shapeId="0">
      <text>
        <t>per-shot TOTAL across 6 main warhead(s).
raw warhead damages: 2000, 1, 1000,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7" authorId="0" shapeId="0">
      <text>
        <t>fires when: !rank-elite</t>
      </text>
    </comment>
    <comment ref="L108" authorId="0" shapeId="0">
      <text>
        <t>per-shot TOTAL across 6 main warhead(s).
raw warhead damages: 2000, 1, 1000, 2000, 1,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rank-elite</t>
      </text>
    </comment>
    <comment ref="L10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9" authorId="0" shapeId="0">
      <text>
        <t>fires when: !rank-elite</t>
      </text>
    </comment>
    <comment ref="L11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rank-elite</t>
      </text>
    </comment>
    <comment ref="L111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latinsyndicate_doctrine_cartelrockets &amp;&amp; !rank-elite</t>
      </text>
    </comment>
    <comment ref="L112" authorId="0" shapeId="0">
      <text>
        <t>per-shot TOTAL across 1 main warhead(s).
raw warhead damages: 48000, 24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latinsyndicate_doctrine_cartelrockets &amp;&amp; rank-elite</t>
      </text>
    </comment>
    <comment ref="L116" authorId="0" shapeId="0">
      <text>
        <t>per-shot TOTAL across 6 main warhead(s).
raw warhead damages: 20000, 10, 20000, 10, 20000, 10, 20000, 10000, 10, 20000, 10,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8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!rank-elite &amp;&amp; !latinsyndicate_upgrade_yuristolentechchainguns</t>
      </text>
    </comment>
    <comment ref="L11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rank-elite &amp;&amp; !latinsyndicate_upgrade_yuristolentechchainguns</t>
      </text>
    </comment>
    <comment ref="L120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!rank-elite &amp;&amp; latinsyndicate_upgrade_yuristolentechchainguns</t>
      </text>
    </comment>
    <comment ref="L12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rank-elite &amp;&amp; latinsyndicate_upgrade_yuristolentechchainguns</t>
      </text>
    </comment>
    <comment ref="L12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6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!rank-elite</t>
      </text>
    </comment>
    <comment ref="L137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7" authorId="0" shapeId="0">
      <text>
        <t>fires when: rank-elite</t>
      </text>
    </comment>
    <comment ref="L138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8" authorId="0" shapeId="0">
      <text>
        <t>fires when: !rank-elite</t>
      </text>
    </comment>
    <comment ref="L139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9" authorId="0" shapeId="0">
      <text>
        <t>fires when: rank-elite</t>
      </text>
    </comment>
    <comment ref="L141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1" authorId="0" shapeId="0">
      <text>
        <t>fires when: !rank-elite &amp;&amp; !latinsyndicate_upgrade_yuristolentechchainguns</t>
      </text>
    </comment>
    <comment ref="L142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2" authorId="0" shapeId="0">
      <text>
        <t>fires when: rank-elite</t>
      </text>
    </comment>
    <comment ref="L143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latinsyndicate_upgrade_yuristolentechchainguns</t>
      </text>
    </comment>
    <comment ref="L146" authorId="0" shapeId="0">
      <text>
        <t>per-shot TOTAL across 3 main warhead(s).
raw warhead damages: 2000, 5, 10000, 5, 600,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6" authorId="0" shapeId="0">
      <text>
        <t>fires when: !rank-elite</t>
      </text>
    </comment>
    <comment ref="L147" authorId="0" shapeId="0">
      <text>
        <t>per-shot TOTAL across 3 main warhead(s).
raw warhead damages: 2000, 5, 10000, 5, 600,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7" authorId="0" shapeId="0">
      <text>
        <t>fires when: rank-elite</t>
      </text>
    </comment>
    <comment ref="L149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1" authorId="0" shapeId="0">
      <text>
        <t>fires when: !rank-elite</t>
      </text>
    </comment>
    <comment ref="L15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2" authorId="0" shapeId="0">
      <text>
        <t>fires when: rank-elite</t>
      </text>
    </comment>
    <comment ref="L16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!rank-elite</t>
      </text>
    </comment>
    <comment ref="L16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5" authorId="0" shapeId="0">
      <text>
        <t>fires when: rank-elite</t>
      </text>
    </comment>
  </commentList>
</comments>
</file>

<file path=xl/comments/comment18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8000, 4, 8000,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!rank-elite</t>
      </text>
    </comment>
    <comment ref="L5" authorId="0" shapeId="0">
      <text>
        <t>per-shot TOTAL across 3 main warhead(s).
raw warhead damages: 8000, 4, 8000,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rank-elite</t>
      </text>
    </comment>
    <comment ref="L6" authorId="0" shapeId="0">
      <text>
        <t>per-shot TOTAL across 3 main warhead(s).
raw warhead damages: 8000, 4, 8000,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!rank-elite</t>
      </text>
    </comment>
    <comment ref="L7" authorId="0" shapeId="0">
      <text>
        <t>per-shot TOTAL across 3 main warhead(s).
raw warhead damages: 8000, 4, 8000, 8000,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rank-elite</t>
      </text>
    </comment>
    <comment ref="L9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!rank-elite</t>
      </text>
    </comment>
    <comment ref="L10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rank-elite</t>
      </text>
    </comment>
    <comment ref="L11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!rank-elite</t>
      </text>
    </comment>
    <comment ref="L12" authorId="0" shapeId="0">
      <text>
        <t>per-shot TOTAL across 1 main warhead(s).
raw warhead damages: 24000, 12, 12000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rank-elite</t>
      </text>
    </comment>
    <comment ref="L1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!rank-elite</t>
      </text>
    </comment>
    <comment ref="L15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rank-elite</t>
      </text>
    </comment>
    <comment ref="L1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2 main warhead(s).
raw warhead damages: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!rank-elite</t>
      </text>
    </comment>
    <comment ref="L19" authorId="0" shapeId="0">
      <text>
        <t>per-shot TOTAL across 2 main warhead(s).
raw warhead damages: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rank-elite</t>
      </text>
    </comment>
    <comment ref="L2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!rank-elite</t>
      </text>
    </comment>
    <comment ref="L26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rank-elite</t>
      </text>
    </comment>
    <comment ref="L2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!rank-elite</t>
      </text>
    </comment>
    <comment ref="L29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rank-elite</t>
      </text>
    </comment>
    <comment ref="L30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!rank-elite</t>
      </text>
    </comment>
    <comment ref="L3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rank-elite</t>
      </text>
    </comment>
    <comment ref="AB33" authorId="0" shapeId="0">
      <text>
        <t>fires when: !deployed</t>
      </text>
    </comment>
    <comment ref="L3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(deployed || undeployed) &amp;&amp; !rank-elite</t>
      </text>
    </comment>
    <comment ref="L35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(deployed || undeployed) &amp;&amp; rank-elite</t>
      </text>
    </comment>
    <comment ref="L36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!rank-elite</t>
      </text>
    </comment>
    <comment ref="L37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rank-elite</t>
      </text>
    </comment>
    <comment ref="L39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!rank-elite</t>
      </text>
    </comment>
    <comment ref="L40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rank-elite</t>
      </text>
    </comment>
    <comment ref="L41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!rank-elite</t>
      </text>
    </comment>
    <comment ref="L42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rank-elite</t>
      </text>
    </comment>
    <comment ref="L44" authorId="0" shapeId="0">
      <text>
        <t>per-shot TOTAL across 1 main warhead(s).
raw warhead damages: 8000,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!rank-elite</t>
      </text>
    </comment>
    <comment ref="L45" authorId="0" shapeId="0">
      <text>
        <t>per-shot TOTAL across 1 main warhead(s).
raw warhead damages: 8000,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rank-elite</t>
      </text>
    </comment>
    <comment ref="L46" authorId="0" shapeId="0">
      <text>
        <t>per-shot TOTAL across 1 main warhead(s).
raw warhead damages: 8000,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!rank-elite</t>
      </text>
    </comment>
    <comment ref="L47" authorId="0" shapeId="0">
      <text>
        <t>per-shot TOTAL across 1 main warhead(s).
raw warhead damages: 8000,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rank-elite</t>
      </text>
    </comment>
    <comment ref="L49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!rank-elite</t>
      </text>
    </comment>
    <comment ref="L50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rank-elite</t>
      </text>
    </comment>
    <comment ref="L5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!rank-elite</t>
      </text>
    </comment>
    <comment ref="L5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rank-elite</t>
      </text>
    </comment>
    <comment ref="L54" authorId="0" shapeId="0">
      <text>
        <t>per-shot TOTAL across 6 main warhead(s).
raw warhead damages: 6000, 3, 6000,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!rank-elite</t>
      </text>
    </comment>
    <comment ref="L55" authorId="0" shapeId="0">
      <text>
        <t>per-shot TOTAL across 6 main warhead(s).
raw warhead damages: 6000, 3, 6000,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5" authorId="0" shapeId="0">
      <text>
        <t>fires when: rank-elite</t>
      </text>
    </comment>
    <comment ref="L56" authorId="0" shapeId="0">
      <text>
        <t>per-shot TOTAL across 6 main warhead(s).
raw warhead damages: 6000, 3, 6000,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!rank-elite</t>
      </text>
    </comment>
    <comment ref="L57" authorId="0" shapeId="0">
      <text>
        <t>per-shot TOTAL across 6 main warhead(s).
raw warhead damages: 6000, 3, 6000, 3,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rank-elite</t>
      </text>
    </comment>
    <comment ref="L59" authorId="0" shapeId="0">
      <text>
        <t>per-shot TOTAL across 6 main warhead(s).
raw warhead damages: 8000, 4, 8000,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!rank-elite</t>
      </text>
    </comment>
    <comment ref="L60" authorId="0" shapeId="0">
      <text>
        <t>per-shot TOTAL across 6 main warhead(s).
raw warhead damages: 8000, 4, 8000,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rank-elite</t>
      </text>
    </comment>
    <comment ref="L61" authorId="0" shapeId="0">
      <text>
        <t>per-shot TOTAL across 6 main warhead(s).
raw warhead damages: 8000, 4, 8000,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!rank-elite</t>
      </text>
    </comment>
    <comment ref="L62" authorId="0" shapeId="0">
      <text>
        <t>per-shot TOTAL across 6 main warhead(s).
raw warhead damages: 8000, 4, 8000, 4,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rank-elite</t>
      </text>
    </comment>
    <comment ref="AB64" authorId="0" shapeId="0">
      <text>
        <t>fires when: !deployed</t>
      </text>
    </comment>
    <comment ref="L65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(deployed || undeployed) &amp;&amp; !rank-elite</t>
      </text>
    </comment>
    <comment ref="L66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(deployed || undeployed) &amp;&amp; rank-elite</t>
      </text>
    </comment>
    <comment ref="L67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!rank-elite</t>
      </text>
    </comment>
    <comment ref="L68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rank-elite</t>
      </text>
    </comment>
    <comment ref="L70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!rank-elite</t>
      </text>
    </comment>
    <comment ref="L71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rank-elite</t>
      </text>
    </comment>
    <comment ref="L72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!rank-elite</t>
      </text>
    </comment>
    <comment ref="L73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rank-elite</t>
      </text>
    </comment>
    <comment ref="L7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!rank-elite</t>
      </text>
    </comment>
    <comment ref="L80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rank-elite</t>
      </text>
    </comment>
    <comment ref="L8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!rank-elite</t>
      </text>
    </comment>
    <comment ref="L8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rank-elite</t>
      </text>
    </comment>
    <comment ref="L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!rank-elite</t>
      </text>
    </comment>
    <comment ref="L8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rank-elite</t>
      </text>
    </comment>
    <comment ref="L8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!rank-elite</t>
      </text>
    </comment>
    <comment ref="L8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rank-elite</t>
      </text>
    </comment>
    <comment ref="L89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!rank-elite</t>
      </text>
    </comment>
    <comment ref="L90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rank-elite</t>
      </text>
    </comment>
    <comment ref="L91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!rank-elite</t>
      </text>
    </comment>
    <comment ref="L92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rank-elite</t>
      </text>
    </comment>
    <comment ref="L9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!rank-elite</t>
      </text>
    </comment>
    <comment ref="L9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rank-elite</t>
      </text>
    </comment>
    <comment ref="L9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9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!rank-elite</t>
      </text>
    </comment>
    <comment ref="L100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!rank-elite</t>
      </text>
    </comment>
    <comment ref="L102" authorId="0" shapeId="0">
      <text>
        <t>per-shot TOTAL across 3 main warhead(s).
raw warhead damages: 14000, 7,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!rank-elite</t>
      </text>
    </comment>
    <comment ref="L103" authorId="0" shapeId="0">
      <text>
        <t>per-shot TOTAL across 3 main warhead(s).
raw warhead damages: 14000, 7,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rank-elite</t>
      </text>
    </comment>
    <comment ref="AB105" authorId="0" shapeId="0">
      <text>
        <t>fires when: athena-charged == 1</t>
      </text>
    </comment>
    <comment ref="L10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!rank-elite</t>
      </text>
    </comment>
    <comment ref="L111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rank-elite</t>
      </text>
    </comment>
    <comment ref="L113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4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6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!rank-elite</t>
      </text>
    </comment>
    <comment ref="L117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7" authorId="0" shapeId="0">
      <text>
        <t>fires when: rank-elite</t>
      </text>
    </comment>
    <comment ref="L119" authorId="0" shapeId="0">
      <text>
        <t>per-shot TOTAL across 3 main warhead(s).
raw warhead damages: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!rank-elite</t>
      </text>
    </comment>
    <comment ref="L12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rank-elite</t>
      </text>
    </comment>
    <comment ref="L123" authorId="0" shapeId="0">
      <text>
        <t>per-shot TOTAL across 3 main warhead(s).
raw warhead damages: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!rank-elite</t>
      </text>
    </comment>
    <comment ref="L124" authorId="0" shapeId="0">
      <text>
        <t>per-shot TOTAL across 3 main warhead(s).
raw warhead damages: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rank-elite</t>
      </text>
    </comment>
    <comment ref="L126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!rank-elite</t>
      </text>
    </comment>
    <comment ref="L127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rank-elite</t>
      </text>
    </comment>
    <comment ref="L12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1" authorId="0" shapeId="0">
      <text>
        <t>per-shot TOTAL across 6 main warhead(s).
raw warhead damages: 10000, 5, 10000, 5,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!rank-elite</t>
      </text>
    </comment>
    <comment ref="L132" authorId="0" shapeId="0">
      <text>
        <t>per-shot TOTAL across 6 main warhead(s).
raw warhead damages: 10000, 5, 10000, 5,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rank-elite</t>
      </text>
    </comment>
    <comment ref="L135" authorId="0" shapeId="0">
      <text>
        <t>per-shot TOTAL across 6 main warhead(s).
raw warhead damages: 10000, 5, 10000, 5,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6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7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1" authorId="0" shapeId="0">
      <text>
        <t>per-shot TOTAL across 2 main warhead(s).
raw warhead damages: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3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3" authorId="0" shapeId="0">
      <text>
        <t>fires when: !rank-elite</t>
      </text>
    </comment>
    <comment ref="L144" authorId="0" shapeId="0">
      <text>
        <t>per-shot TOTAL across 3 main warhead(s).
raw warhead damages: 50000, 25,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4" authorId="0" shapeId="0">
      <text>
        <t>fires when: rank-elite</t>
      </text>
    </comment>
    <comment ref="L145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6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8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8" authorId="0" shapeId="0">
      <text>
        <t>fires when: !rank-elite</t>
      </text>
    </comment>
    <comment ref="L14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9" authorId="0" shapeId="0">
      <text>
        <t>fires when: rank-elite</t>
      </text>
    </comment>
    <comment ref="L150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1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3" authorId="0" shapeId="0">
      <text>
        <t>per-shot TOTAL across 3 main warhead(s).
raw warhead damages: 30000, 14, 30000, 14, 20000, 14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5" authorId="0" shapeId="0">
      <text>
        <t>fires when: !rank-elite</t>
      </text>
    </comment>
    <comment ref="L156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6" authorId="0" shapeId="0">
      <text>
        <t>fires when: rank-elite</t>
      </text>
    </comment>
    <comment ref="L158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8" authorId="0" shapeId="0">
      <text>
        <t>fires when: !rank-elite</t>
      </text>
    </comment>
    <comment ref="L15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9" authorId="0" shapeId="0">
      <text>
        <t>fires when: rank-elite</t>
      </text>
    </comment>
    <comment ref="L161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1" authorId="0" shapeId="0">
      <text>
        <t>fires when: !rank-elite</t>
      </text>
    </comment>
    <comment ref="L162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2" authorId="0" shapeId="0">
      <text>
        <t>fires when: rank-elite</t>
      </text>
    </comment>
    <comment ref="L163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3" authorId="0" shapeId="0">
      <text>
        <t>fires when: !rank-elite</t>
      </text>
    </comment>
    <comment ref="L164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4" authorId="0" shapeId="0">
      <text>
        <t>fires when: rank-elite</t>
      </text>
    </comment>
    <comment ref="L168" authorId="0" shapeId="0">
      <text>
        <t>per-shot TOTAL across 5 main warhead(s).
raw warhead damages: 10000, 5000, 5, 10000, 5000,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1" authorId="0" shapeId="0">
      <text>
        <t>fires when: rank-elite</t>
      </text>
    </comment>
    <comment ref="L173" authorId="0" shapeId="0">
      <text>
        <t>per-shot TOTAL across 4 main warhead(s).
raw warhead damages: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4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6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7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7" authorId="0" shapeId="0">
      <text>
        <t>fires when: rank-elite</t>
      </text>
    </comment>
    <comment ref="L17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9" authorId="0" shapeId="0">
      <text>
        <t>fires when: rank-elite</t>
      </text>
    </comment>
    <comment ref="L181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1" authorId="0" shapeId="0">
      <text>
        <t>fires when: !rank-elite</t>
      </text>
    </comment>
    <comment ref="L182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2" authorId="0" shapeId="0">
      <text>
        <t>fires when: rank-elite</t>
      </text>
    </comment>
    <comment ref="L183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3" authorId="0" shapeId="0">
      <text>
        <t>fires when: !rank-elite</t>
      </text>
    </comment>
    <comment ref="L184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4" authorId="0" shapeId="0">
      <text>
        <t>fires when: rank-elite</t>
      </text>
    </comment>
    <comment ref="L187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9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0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1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2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4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4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5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0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0" authorId="0" shapeId="0">
      <text>
        <t>fires when: mortar</t>
      </text>
    </comment>
    <comment ref="L21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1" authorId="0" shapeId="0">
      <text>
        <t>fires when: mg</t>
      </text>
    </comment>
    <comment ref="L212" authorId="0" shapeId="0">
      <text>
        <t>per-shot TOTAL across 4 main warhead(s).
raw warhead damages: 1000,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2" authorId="0" shapeId="0">
      <text>
        <t>fires when: aa</t>
      </text>
    </comment>
    <comment ref="L218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19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5 main warhead(s).
raw warhead damages: 2000, 1, 2000, 1,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!rank-elite</t>
      </text>
    </comment>
    <comment ref="L11" authorId="0" shapeId="0">
      <text>
        <t>per-shot TOTAL across 5 main warhead(s).
raw warhead damages: 2000, 1, 2000, 1,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rank-elite</t>
      </text>
    </comment>
    <comment ref="L12" authorId="0" shapeId="0">
      <text>
        <t>per-shot TOTAL across 5 main warhead(s).
raw warhead damages: 2000, 1, 2000, 1,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!rank-elite</t>
      </text>
    </comment>
    <comment ref="L13" authorId="0" shapeId="0">
      <text>
        <t>per-shot TOTAL across 5 main warhead(s).
raw warhead damages: 2000, 1, 2000, 1,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rank-elite</t>
      </text>
    </comment>
    <comment ref="L15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" authorId="0" shapeId="0">
      <text>
        <t>fires when: !rank-elite &amp;&amp; !schwarzermond_upgrade_crystallens &amp;&amp; !schwarzermond_upgrade_amplifiedlens</t>
      </text>
    </comment>
    <comment ref="L16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rank-elite &amp;&amp; !schwarzermond_upgrade_crystallens &amp;&amp; !schwarzermond_upgrade_amplifiedlens</t>
      </text>
    </comment>
    <comment ref="L17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!rank-elite &amp;&amp; schwarzermond_upgrade_crystallens &amp;&amp; !schwarzermond_upgrade_amplifiedlens</t>
      </text>
    </comment>
    <comment ref="L18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rank-elite &amp;&amp; schwarzermond_upgrade_crystallens &amp;&amp; !schwarzermond_upgrade_amplifiedlens</t>
      </text>
    </comment>
    <comment ref="L19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!rank-elite &amp;&amp; schwarzermond_upgrade_amplifiedlens</t>
      </text>
    </comment>
    <comment ref="L20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rank-elite &amp;&amp; schwarzermond_upgrade_amplifiedlens</t>
      </text>
    </comment>
    <comment ref="L21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!rank-elite &amp;&amp; !schwarzermond_upgrade_crystallens &amp;&amp; !schwarzermond_upgrade_amplifiedlens</t>
      </text>
    </comment>
    <comment ref="L22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rank-elite &amp;&amp; !schwarzermond_upgrade_crystallens &amp;&amp; !schwarzermond_upgrade_amplifiedlens</t>
      </text>
    </comment>
    <comment ref="L23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!rank-elite &amp;&amp; schwarzermond_upgrade_crystallens &amp;&amp; !schwarzermond_upgrade_amplifiedlens</t>
      </text>
    </comment>
    <comment ref="L24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4" authorId="0" shapeId="0">
      <text>
        <t>fires when: rank-elite &amp;&amp; schwarzermond_upgrade_crystallens &amp;&amp; !schwarzermond_upgrade_amplifiedlens</t>
      </text>
    </comment>
    <comment ref="L25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!rank-elite &amp;&amp; schwarzermond_upgrade_amplifiedlens</t>
      </text>
    </comment>
    <comment ref="L26" authorId="0" shapeId="0">
      <text>
        <t>per-shot TOTAL across 3 main warhead(s).
raw warhead damages: 8000, 2, 8000, 2, 8000, 2,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rank-elite &amp;&amp; schwarzermond_upgrade_amplifiedlens</t>
      </text>
    </comment>
    <comment ref="L28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!rank-elite</t>
      </text>
    </comment>
    <comment ref="L29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rank-elite</t>
      </text>
    </comment>
    <comment ref="L31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!rank-elite &amp;&amp; !schwarzermond_upgrade_crystallens &amp;&amp; !schwarzermond_upgrade_amplifiedlens</t>
      </text>
    </comment>
    <comment ref="L32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rank-elite &amp;&amp; !schwarzermond_upgrade_crystallens &amp;&amp; !schwarzermond_upgrade_amplifiedlens</t>
      </text>
    </comment>
    <comment ref="L33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!rank-elite &amp;&amp; schwarzermond_upgrade_crystallens &amp;&amp; !schwarzermond_upgrade_amplifiedlens</t>
      </text>
    </comment>
    <comment ref="L34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rank-elite &amp;&amp; schwarzermond_upgrade_crystallens &amp;&amp; !schwarzermond_upgrade_amplifiedlens</t>
      </text>
    </comment>
    <comment ref="L35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 &amp;&amp; schwarzermond_upgrade_amplifiedlens</t>
      </text>
    </comment>
    <comment ref="L36" authorId="0" shapeId="0">
      <text>
        <t>per-shot TOTAL across 6 main warhead(s).
raw warhead damages: 2000, 1, 2000, 1, 2000, 1, 2000, 1, 2000, 1, 1000, 2000, 1000,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rank-elite &amp;&amp; schwarzermond_upgrade_amplifiedlens</t>
      </text>
    </comment>
    <comment ref="L38" authorId="0" shapeId="0">
      <text>
        <t>per-shot TOTAL across 1 main warhead(s).
raw warhead damages: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!rank-elite</t>
      </text>
    </comment>
    <comment ref="L39" authorId="0" shapeId="0">
      <text>
        <t>per-shot TOTAL across 1 main warhead(s).
raw warhead damages: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rank-elite</t>
      </text>
    </comment>
    <comment ref="L40" authorId="0" shapeId="0">
      <text>
        <t>per-shot TOTAL across 1 main warhead(s).
raw warhead damages: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!rank-elite</t>
      </text>
    </comment>
    <comment ref="L41" authorId="0" shapeId="0">
      <text>
        <t>per-shot TOTAL across 1 main warhead(s).
raw warhead damages: 60000, 30,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rank-elite</t>
      </text>
    </comment>
    <comment ref="L43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!rank-elite &amp;&amp; !schwarzermond_upgrade_crystallens &amp;&amp; !schwarzermond_upgrade_amplifiedlens</t>
      </text>
    </comment>
    <comment ref="L44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rank-elite &amp;&amp; !schwarzermond_upgrade_crystallens &amp;&amp; !schwarzermond_upgrade_amplifiedlens</t>
      </text>
    </comment>
    <comment ref="L45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!rank-elite &amp;&amp; !schwarzermond_upgrade_crystallens &amp;&amp; !schwarzermond_upgrade_amplifiedlens</t>
      </text>
    </comment>
    <comment ref="L46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rank-elite &amp;&amp; !schwarzermond_upgrade_crystallens &amp;&amp; !schwarzermond_upgrade_amplifiedlens</t>
      </text>
    </comment>
    <comment ref="L47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!rank-elite &amp;&amp; schwarzermond_upgrade_crystallens &amp;&amp; !schwarzermond_upgrade_amplifiedlens</t>
      </text>
    </comment>
    <comment ref="L48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8" authorId="0" shapeId="0">
      <text>
        <t>fires when: rank-elite &amp;&amp; schwarzermond_upgrade_crystallens &amp;&amp; !schwarzermond_upgrade_amplifiedlens</t>
      </text>
    </comment>
    <comment ref="L49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9" authorId="0" shapeId="0">
      <text>
        <t>fires when: !rank-elite &amp;&amp; schwarzermond_upgrade_crystallens &amp;&amp; !schwarzermond_upgrade_amplifiedlens</t>
      </text>
    </comment>
    <comment ref="L50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rank-elite &amp;&amp; schwarzermond_upgrade_crystallens &amp;&amp; !schwarzermond_upgrade_amplifiedlens</t>
      </text>
    </comment>
    <comment ref="L51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!rank-elite &amp;&amp; schwarzermond_upgrade_amplifiedlens</t>
      </text>
    </comment>
    <comment ref="L52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rank-elite &amp;&amp; schwarzermond_upgrade_amplifiedlens</t>
      </text>
    </comment>
    <comment ref="L53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!rank-elite &amp;&amp; schwarzermond_upgrade_amplifiedlens</t>
      </text>
    </comment>
    <comment ref="L54" authorId="0" shapeId="0">
      <text>
        <t>per-shot TOTAL across 3 main warhead(s).
raw warhead damages: 8000, 4, 2000,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4" authorId="0" shapeId="0">
      <text>
        <t>fires when: rank-elite &amp;&amp; schwarzermond_upgrade_amplifiedlens</t>
      </text>
    </comment>
    <comment ref="L57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!rank-elite</t>
      </text>
    </comment>
    <comment ref="L58" authorId="0" shapeId="0">
      <text>
        <t>per-shot TOTAL across 1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rank-elite</t>
      </text>
    </comment>
    <comment ref="L60" authorId="0" shapeId="0">
      <text>
        <t>per-shot TOTAL across 3 main warhead(s).
raw warhead damages: 100000, 50, 50000, 100000, 50, 1000, 100000, 50,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!rank-elite</t>
      </text>
    </comment>
    <comment ref="L61" authorId="0" shapeId="0">
      <text>
        <t>per-shot TOTAL across 3 main warhead(s).
raw warhead damages: 200000, 100, 100000, 200000, 100, 1000, 200000, 100,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rank-elite</t>
      </text>
    </comment>
    <comment ref="L65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6" authorId="0" shapeId="0">
      <text>
        <t>per-shot TOTAL across 4 main warhead(s).
raw warhead damages: 8000, 4, 8000, 4000,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!rank-elite</t>
      </text>
    </comment>
    <comment ref="L6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rank-elite</t>
      </text>
    </comment>
    <comment ref="L71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!schwarzermond_upgrade_crystallens &amp;&amp; !schwarzermond_upgrade_amplifiedlens</t>
      </text>
    </comment>
    <comment ref="L72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!schwarzermond_upgrade_crystallens &amp;&amp; !schwarzermond_upgrade_amplifiedlens</t>
      </text>
    </comment>
    <comment ref="L73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schwarzermond_upgrade_crystallens &amp;&amp; !schwarzermond_upgrade_amplifiedlens</t>
      </text>
    </comment>
    <comment ref="L74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schwarzermond_upgrade_crystallens &amp;&amp; !schwarzermond_upgrade_amplifiedlens</t>
      </text>
    </comment>
    <comment ref="L75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schwarzermond_upgrade_amplifiedlens</t>
      </text>
    </comment>
    <comment ref="L76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schwarzermond_upgrade_amplifiedlens</t>
      </text>
    </comment>
    <comment ref="L78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!schwarzermond_upgrade_crystallens &amp;&amp; !schwarzermond_upgrade_amplifiedlens</t>
      </text>
    </comment>
    <comment ref="L79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9" authorId="0" shapeId="0">
      <text>
        <t>fires when: !schwarzermond_upgrade_crystallens &amp;&amp; !schwarzermond_upgrade_amplifiedlens</t>
      </text>
    </comment>
    <comment ref="L80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0" authorId="0" shapeId="0">
      <text>
        <t>fires when: schwarzermond_upgrade_crystallens &amp;&amp; !schwarzermond_upgrade_amplifiedlens</t>
      </text>
    </comment>
    <comment ref="L81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schwarzermond_upgrade_crystallens &amp;&amp; !schwarzermond_upgrade_amplifiedlens</t>
      </text>
    </comment>
    <comment ref="L82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schwarzermond_upgrade_amplifiedlens</t>
      </text>
    </comment>
    <comment ref="L83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3" authorId="0" shapeId="0">
      <text>
        <t>fires when: schwarzermond_upgrade_amplifiedlens</t>
      </text>
    </comment>
    <comment ref="L85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!rank-elite &amp;&amp; !schwarzermond_upgrade_vrilpoweredweapons</t>
      </text>
    </comment>
    <comment ref="L86" authorId="0" shapeId="0">
      <text>
        <t>per-shot TOTAL across 3 main warhead(s).
raw warhead damages: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6" authorId="0" shapeId="0">
      <text>
        <t>fires when: rank-elite &amp;&amp; !schwarzermond_upgrade_vrilpoweredweapons</t>
      </text>
    </comment>
    <comment ref="L87" authorId="0" shapeId="0">
      <text>
        <t>per-shot TOTAL across 4 main warhead(s).
raw warhead damages: 16000, 8, 8000,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!rank-elite &amp;&amp; schwarzermond_upgrade_vrilpoweredweapons</t>
      </text>
    </comment>
    <comment ref="L88" authorId="0" shapeId="0">
      <text>
        <t>per-shot TOTAL across 4 main warhead(s).
raw warhead damages: 16000, 8, 8000, 16000,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rank-elite &amp;&amp; schwarzermond_upgrade_vrilpoweredweapons</t>
      </text>
    </comment>
    <comment ref="L9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!rank-elite &amp;&amp; !schwarzermond_upgrade_vrilpoweredweapons</t>
      </text>
    </comment>
    <comment ref="L9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rank-elite &amp;&amp; !schwarzermond_upgrade_vrilpoweredweapons</t>
      </text>
    </comment>
    <comment ref="L92" authorId="0" shapeId="0">
      <text>
        <t>per-shot TOTAL across 2 main warhead(s).
raw warhead damages: 8000, 4, 4000,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!rank-elite &amp;&amp; schwarzermond_upgrade_vrilpoweredweapons</t>
      </text>
    </comment>
    <comment ref="L93" authorId="0" shapeId="0">
      <text>
        <t>per-shot TOTAL across 2 main warhead(s).
raw warhead damages: 8000, 4, 4000,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rank-elite &amp;&amp; schwarzermond_upgrade_vrilpoweredweapons</t>
      </text>
    </comment>
    <comment ref="L95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!rank-elite &amp;&amp; !schwarzermond_upgrade_vrilpoweredweapons</t>
      </text>
    </comment>
    <comment ref="L96" authorId="0" shapeId="0">
      <text>
        <t>per-shot TOTAL across 4 main warhead(s).
raw warhead damages: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rank-elite &amp;&amp; !schwarzermond_upgrade_vrilpoweredweapons</t>
      </text>
    </comment>
    <comment ref="L97" authorId="0" shapeId="0">
      <text>
        <t>per-shot TOTAL across 5 main warhead(s).
raw warhead damages: 4000, 2, 2000,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!rank-elite &amp;&amp; schwarzermond_upgrade_vrilpoweredweapons</t>
      </text>
    </comment>
    <comment ref="L98" authorId="0" shapeId="0">
      <text>
        <t>per-shot TOTAL across 5 main warhead(s).
raw warhead damages: 4000, 2, 2000,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rank-elite &amp;&amp; schwarzermond_upgrade_vrilpoweredweapons</t>
      </text>
    </comment>
    <comment ref="L103" authorId="0" shapeId="0">
      <text>
        <t>per-shot TOTAL across 3 main warhead(s).
raw warhead damages: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!rank-elite &amp;&amp; !schwarzermond_upgrade_vrilpoweredweapons</t>
      </text>
    </comment>
    <comment ref="L104" authorId="0" shapeId="0">
      <text>
        <t>per-shot TOTAL across 3 main warhead(s).
raw warhead damages: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rank-elite &amp;&amp; !schwarzermond_upgrade_vrilpoweredweapons</t>
      </text>
    </comment>
    <comment ref="L105" authorId="0" shapeId="0">
      <text>
        <t>per-shot TOTAL across 4 main warhead(s).
raw warhead damages: 30000, 15, 15000,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!rank-elite &amp;&amp; schwarzermond_upgrade_vrilpoweredweapons</t>
      </text>
    </comment>
    <comment ref="L106" authorId="0" shapeId="0">
      <text>
        <t>per-shot TOTAL across 4 main warhead(s).
raw warhead damages: 30000, 15, 15000,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6" authorId="0" shapeId="0">
      <text>
        <t>fires when: rank-elite &amp;&amp; schwarzermond_upgrade_vrilpoweredweapons</t>
      </text>
    </comment>
    <comment ref="L11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3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5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6" authorId="0" shapeId="0">
      <text>
        <t>per-shot TOTAL across 6 main warhead(s).
raw warhead damages: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!rank-elite</t>
      </text>
    </comment>
    <comment ref="L11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rank-elite</t>
      </text>
    </comment>
    <comment ref="L12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!rank-elite</t>
      </text>
    </comment>
    <comment ref="L12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rank-elite</t>
      </text>
    </comment>
    <comment ref="L123" authorId="0" shapeId="0">
      <text>
        <t>per-shot TOTAL across 1 main warhead(s).
raw warhead damages: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5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!rank-elite &amp;&amp; !schwarzermond_upgrade_crystallens &amp;&amp; !schwarzermond_upgrade_amplifiedlens</t>
      </text>
    </comment>
    <comment ref="L126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rank-elite &amp;&amp; !schwarzermond_upgrade_crystallens &amp;&amp; !schwarzermond_upgrade_amplifiedlens</t>
      </text>
    </comment>
    <comment ref="L127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!rank-elite &amp;&amp; !schwarzermond_upgrade_crystallens &amp;&amp; !schwarzermond_upgrade_amplifiedlens</t>
      </text>
    </comment>
    <comment ref="L128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8" authorId="0" shapeId="0">
      <text>
        <t>fires when: rank-elite &amp;&amp; !schwarzermond_upgrade_crystallens &amp;&amp; !schwarzermond_upgrade_amplifiedlens</t>
      </text>
    </comment>
    <comment ref="L129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9" authorId="0" shapeId="0">
      <text>
        <t>fires when: !rank-elite &amp;&amp; schwarzermond_upgrade_crystallens &amp;&amp; !schwarzermond_upgrade_amplifiedlens</t>
      </text>
    </comment>
    <comment ref="L130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0" authorId="0" shapeId="0">
      <text>
        <t>fires when: rank-elite &amp;&amp; schwarzermond_upgrade_crystallens &amp;&amp; !schwarzermond_upgrade_amplifiedlens</t>
      </text>
    </comment>
    <comment ref="L131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1" authorId="0" shapeId="0">
      <text>
        <t>fires when: !rank-elite &amp;&amp; schwarzermond_upgrade_crystallens &amp;&amp; !schwarzermond_upgrade_amplifiedlens</t>
      </text>
    </comment>
    <comment ref="L132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rank-elite &amp;&amp; schwarzermond_upgrade_crystallens &amp;&amp; !schwarzermond_upgrade_amplifiedlens</t>
      </text>
    </comment>
    <comment ref="L133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!rank-elite &amp;&amp; schwarzermond_upgrade_amplifiedlens</t>
      </text>
    </comment>
    <comment ref="L134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rank-elite &amp;&amp; schwarzermond_upgrade_amplifiedlens</t>
      </text>
    </comment>
    <comment ref="L135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!rank-elite &amp;&amp; schwarzermond_upgrade_amplifiedlens</t>
      </text>
    </comment>
    <comment ref="L136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rank-elite &amp;&amp; schwarzermond_upgrade_amplifiedlens</t>
      </text>
    </comment>
    <comment ref="L145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5" authorId="0" shapeId="0">
      <text>
        <t>fires when: !schwarzermond_upgrade_crystallens &amp;&amp; !schwarzermond_upgrade_amplifiedlens</t>
      </text>
    </comment>
    <comment ref="L146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6" authorId="0" shapeId="0">
      <text>
        <t>fires when: schwarzermond_upgrade_crystallens &amp;&amp; !schwarzermond_upgrade_amplifiedlens</t>
      </text>
    </comment>
    <comment ref="L147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7" authorId="0" shapeId="0">
      <text>
        <t>fires when: schwarzermond_upgrade_amplifiedlens</t>
      </text>
    </comment>
    <comment ref="L153" authorId="0" shapeId="0">
      <text>
        <t>per-shot TOTAL across 3 main warhead(s).
raw warhead damages: 30000, 14, 30000, 14, 20000, 14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!schwarzermond_upgrade_vrilpoweredweapons</t>
      </text>
    </comment>
    <comment ref="L154" authorId="0" shapeId="0">
      <text>
        <t>per-shot TOTAL across 4 main warhead(s).
raw warhead damages: 2000, 1, 1000, 30000, 14, 30000, 14, 20000, 14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4" authorId="0" shapeId="0">
      <text>
        <t>fires when: schwarzermond_upgrade_vrilpoweredweapons</t>
      </text>
    </comment>
  </commentList>
</comments>
</file>

<file path=xl/comments/comment20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!rank-elite</t>
      </text>
    </comment>
    <comment ref="L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rank-elite</t>
      </text>
    </comment>
    <comment ref="L6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!rank-elite</t>
      </text>
    </comment>
    <comment ref="L7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rank-elite</t>
      </text>
    </comment>
    <comment ref="L10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!rank-elite</t>
      </text>
    </comment>
    <comment ref="L11" authorId="0" shapeId="0">
      <text>
        <t>per-shot TOTAL across 4 main warhead(s).
raw warhead damages: 2000, 1, 2000, 1, 2000, 1, 1000,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rank-elite</t>
      </text>
    </comment>
    <comment ref="L13" authorId="0" shapeId="0">
      <text>
        <t>per-shot TOTAL across 6 main warhead(s).
raw warhead damages: 2000,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6 main warhead(s).
raw warhead damages: 2000,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!deployed &amp;&amp; !rank-elite</t>
      </text>
    </comment>
    <comment ref="L17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deployed &amp;&amp; !rank-elite</t>
      </text>
    </comment>
    <comment ref="L18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!rank-elite</t>
      </text>
    </comment>
    <comment ref="L19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!deployed &amp;&amp; rank-elite</t>
      </text>
    </comment>
    <comment ref="L20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deployed &amp;&amp; rank-elite</t>
      </text>
    </comment>
    <comment ref="L21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rank-elite</t>
      </text>
    </comment>
    <comment ref="AB22" authorId="0" shapeId="0">
      <text>
        <t>fires when: botmicro</t>
      </text>
    </comment>
    <comment ref="L27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!deployed &amp;&amp; !rank-elite</t>
      </text>
    </comment>
    <comment ref="L28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deployed &amp;&amp; !rank-elite</t>
      </text>
    </comment>
    <comment ref="L29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!rank-elite</t>
      </text>
    </comment>
    <comment ref="L30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!deployed &amp;&amp; rank-elite</t>
      </text>
    </comment>
    <comment ref="L31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deployed &amp;&amp; rank-elite</t>
      </text>
    </comment>
    <comment ref="L32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rank-elite</t>
      </text>
    </comment>
    <comment ref="AB33" authorId="0" shapeId="0">
      <text>
        <t>fires when: botmicro</t>
      </text>
    </comment>
    <comment ref="L35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5" authorId="0" shapeId="0">
      <text>
        <t>fires when: !rank-elite</t>
      </text>
    </comment>
    <comment ref="L36" authorId="0" shapeId="0">
      <text>
        <t>per-shot TOTAL across 2 main warhead(s).
raw warhead damages: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rank-elite</t>
      </text>
    </comment>
    <comment ref="L3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0" authorId="0" shapeId="0">
      <text>
        <t>fires when: !rank-elite</t>
      </text>
    </comment>
    <comment ref="L4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rank-elite</t>
      </text>
    </comment>
    <comment ref="L43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3" authorId="0" shapeId="0">
      <text>
        <t>fires when: !rank-elite</t>
      </text>
    </comment>
    <comment ref="L44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4" authorId="0" shapeId="0">
      <text>
        <t>fires when: rank-elite</t>
      </text>
    </comment>
    <comment ref="L45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5" authorId="0" shapeId="0">
      <text>
        <t>fires when: !rank-elite</t>
      </text>
    </comment>
    <comment ref="L46" authorId="0" shapeId="0">
      <text>
        <t>per-shot TOTAL across 6 main warhead(s).
raw warhead damages: 2000, 1, 2000, 1000,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rank-elite</t>
      </text>
    </comment>
    <comment ref="L50" authorId="0" shapeId="0">
      <text>
        <t>per-shot TOTAL across 6 main warhead(s).
raw warhead damages: 32000, 16, 32000, 16, 32000, 16, 32000, 16, 32000, 1000, 16, 32000, 16,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athena-charged == 1</t>
      </text>
    </comment>
    <comment ref="L55" authorId="0" shapeId="0">
      <text>
        <t>per-shot TOTAL across 1 main warhead(s).
raw warhead damages: 50000, 25, 25000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6 main warhead(s).
raw warhead damages: 100000, 50, 100000, 50, 100000, 50000, 50, 100000, 50000, 50, 100000, 50, 888, 100000, 50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!rank-elite</t>
      </text>
    </comment>
    <comment ref="L59" authorId="0" shapeId="0">
      <text>
        <t>per-shot TOTAL across 6 main warhead(s).
raw warhead damages: 100000, 50, 100000, 50, 100000, 50000, 50, 100000, 50000, 50, 100000, 50, 888, 100000, 50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rank-elite</t>
      </text>
    </comment>
    <comment ref="L61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!deployed &amp;&amp; !rank-elite</t>
      </text>
    </comment>
    <comment ref="L62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!deployed &amp;&amp; rank-elite</t>
      </text>
    </comment>
    <comment ref="AB63" authorId="0" shapeId="0">
      <text>
        <t>fires when: deployed &amp;&amp; !rank-elite</t>
      </text>
    </comment>
    <comment ref="AB64" authorId="0" shapeId="0">
      <text>
        <t>fires when: deployed &amp;&amp; rank-elite</t>
      </text>
    </comment>
    <comment ref="L6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9" authorId="0" shapeId="0">
      <text>
        <t>per-shot TOTAL across 2 main warhead(s).
raw warhead damages: 30000, 15, 1000,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!rank-elite</t>
      </text>
    </comment>
    <comment ref="L70" authorId="0" shapeId="0">
      <text>
        <t>per-shot TOTAL across 3 main warhead(s).
raw warhead damages: 30000, 15, 1000, 60000, 30, 60000, 30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rank-elite</t>
      </text>
    </comment>
    <comment ref="L7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3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rank-elite</t>
      </text>
    </comment>
    <comment ref="L74" authorId="0" shapeId="0">
      <text>
        <t>per-shot TOTAL across 2 main warhead(s).
raw warhead damages: 6000, 6, 6000,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6" authorId="0" shapeId="0">
      <text>
        <t>per-shot TOTAL across 3 main warhead(s).
raw warhead damages: 10000, 5000,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!rank-elite</t>
      </text>
    </comment>
    <comment ref="L77" authorId="0" shapeId="0">
      <text>
        <t>per-shot TOTAL across 3 main warhead(s).
raw warhead damages: 10000, 5000,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rank-elite</t>
      </text>
    </comment>
    <comment ref="L8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2" authorId="0" shapeId="0">
      <text>
        <t>per-shot TOTAL across 2 main warhead(s).
raw warhead damages: 6000, 6, 6000,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inwater</t>
      </text>
    </comment>
    <comment ref="L84" authorId="0" shapeId="0">
      <text>
        <t>per-shot TOTAL across 3 main warhead(s).
raw warhead damages: 8000, 4, 4000, 8000, 4, 1000,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!rank-elite</t>
      </text>
    </comment>
    <comment ref="L85" authorId="0" shapeId="0">
      <text>
        <t>per-shot TOTAL across 3 main warhead(s).
raw warhead damages: 8000, 4, 4000, 8000, 4, 1000,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rank-elite</t>
      </text>
    </comment>
    <comment ref="L8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ifv-mg</t>
      </text>
    </comment>
    <comment ref="L8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ifv-hmg</t>
      </text>
    </comment>
    <comment ref="L89" authorId="0" shapeId="0">
      <text>
        <t>per-shot TOTAL across 1 main warhead(s).
raw warhead damages: 2500,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ifv-archer</t>
      </text>
    </comment>
    <comment ref="L90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0" authorId="0" shapeId="0">
      <text>
        <t>fires when: ifv-repair</t>
      </text>
    </comment>
    <comment ref="L91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1" authorId="0" shapeId="0">
      <text>
        <t>fires when: ifv-lightsniper</t>
      </text>
    </comment>
    <comment ref="L92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2" authorId="0" shapeId="0">
      <text>
        <t>fires when: ifv-hero</t>
      </text>
    </comment>
    <comment ref="L93" authorId="0" shapeId="0">
      <text>
        <t>per-shot TOTAL across 1 main warhead(s).
raw warhead damages: 40000, 20, 20000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ifv-tesla</t>
      </text>
    </comment>
    <comment ref="L94" authorId="0" shapeId="0">
      <text>
        <t>per-shot TOTAL across 5 main warhead(s).
raw warhead damages: 80000, 4, 80000, 4, 1000, 80000, 4, 80000, 4, 80000,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ifv-flak</t>
      </text>
    </comment>
    <comment ref="L95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ifv-cannon</t>
      </text>
    </comment>
    <comment ref="L96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ifv-grenade</t>
      </text>
    </comment>
    <comment ref="L97" authorId="0" shapeId="0">
      <text>
        <t>per-shot TOTAL across 2 main warhead(s).
raw warhead damages: 3750,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ifv-plasma</t>
      </text>
    </comment>
    <comment ref="AB98" authorId="0" shapeId="0">
      <text>
        <t>fires when: ifv-litlaser</t>
      </text>
    </comment>
    <comment ref="L99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ifv-medlaser</t>
      </text>
    </comment>
    <comment ref="L100" authorId="0" shapeId="0">
      <text>
        <t>per-shot TOTAL across 1 main warhead(s).
raw warhead damages: 5000,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0" authorId="0" shapeId="0">
      <text>
        <t>fires when: ifv-greelaser</t>
      </text>
    </comment>
    <comment ref="L101" authorId="0" shapeId="0">
      <text>
        <t>per-shot TOTAL across 1 main warhead(s).
raw warhead damages: 4000,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1" authorId="0" shapeId="0">
      <text>
        <t>fires when: ifv-misslaser</t>
      </text>
    </comment>
    <comment ref="L102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2" authorId="0" shapeId="0">
      <text>
        <t>fires when: ifv-fire</t>
      </text>
    </comment>
    <comment ref="L103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ifv-chem</t>
      </text>
    </comment>
    <comment ref="L104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ifv-thrax</t>
      </text>
    </comment>
    <comment ref="L10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5" authorId="0" shapeId="0">
      <text>
        <t>fires when: ifv-miss &amp;&amp; !rank-elite &amp;&amp; !ra2_allies_upgrade_thunderboltmissiles</t>
      </text>
    </comment>
    <comment ref="AB106" authorId="0" shapeId="0">
      <text>
        <t>fires when: ifv-chrono</t>
      </text>
    </comment>
    <comment ref="AB107" authorId="0" shapeId="0">
      <text>
        <t>fires when: ifv-chrono</t>
      </text>
    </comment>
    <comment ref="AB108" authorId="0" shapeId="0">
      <text>
        <t>fires when: ifv-demo</t>
      </text>
    </comment>
    <comment ref="AB109" authorId="0" shapeId="0">
      <text>
        <t>fires when: ifv-fremen</t>
      </text>
    </comment>
    <comment ref="L110" authorId="0" shapeId="0">
      <text>
        <t>per-shot TOTAL across 2 main warhead(s).
raw warhead damages: 4000,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0" authorId="0" shapeId="0">
      <text>
        <t>fires when: ifv-sonic</t>
      </text>
    </comment>
    <comment ref="L111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1" authorId="0" shapeId="0">
      <text>
        <t>fires when: ifv-healer</t>
      </text>
    </comment>
    <comment ref="L112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13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14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15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1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1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1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1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2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ifv-miss &amp;&amp; rank-elite &amp;&amp; !ra2_allies_upgrade_thunderboltmissiles</t>
      </text>
    </comment>
    <comment ref="L12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ifv-miss &amp;&amp; !rank-elite &amp;&amp; !ra2_allies_upgrade_thunderboltmissiles</t>
      </text>
    </comment>
    <comment ref="L12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ifv-miss &amp;&amp; rank-elite &amp;&amp; !ra2_allies_upgrade_thunderboltmissiles</t>
      </text>
    </comment>
    <comment ref="L12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3" authorId="0" shapeId="0">
      <text>
        <t>fires when: ifv-miss &amp;&amp; !rank-elite &amp;&amp; ra2_allies_upgrade_thunderboltmissiles</t>
      </text>
    </comment>
    <comment ref="L12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4" authorId="0" shapeId="0">
      <text>
        <t>fires when: ifv-miss &amp;&amp; rank-elite &amp;&amp; ra2_allies_upgrade_thunderboltmissiles</t>
      </text>
    </comment>
    <comment ref="L12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5" authorId="0" shapeId="0">
      <text>
        <t>fires when: ifv-miss &amp;&amp; !rank-elite &amp;&amp; ra2_allies_upgrade_thunderboltmissiles</t>
      </text>
    </comment>
    <comment ref="L12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6" authorId="0" shapeId="0">
      <text>
        <t>fires when: ifv-miss &amp;&amp; rank-elite &amp;&amp; ra2_allies_upgrade_thunderboltmissiles</t>
      </text>
    </comment>
    <comment ref="L127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7" authorId="0" shapeId="0">
      <text>
        <t>fires when: ifv-healer</t>
      </text>
    </comment>
    <comment ref="L128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8" authorId="0" shapeId="0">
      <text>
        <t>fires when: ifv-ra1_allies_alliedsniper</t>
      </text>
    </comment>
    <comment ref="L131" authorId="0" shapeId="0">
      <text>
        <t>per-shot TOTAL across 3 main warhead(s).
raw warhead damages: 16000, 8000, 8,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2" authorId="0" shapeId="0">
      <text>
        <t>per-shot TOTAL across 6 main warhead(s).
raw warhead damages: 1000,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4" authorId="0" shapeId="0">
      <text>
        <t>per-shot TOTAL across 10 main warhead(s).
raw warhead damages: 4000, 2, 4000, 2, 4000, 2, 4000, 2, 4000, 2000, 2, 4000, 2000, 2, 4000, 2, 888, 4000, 2, 600, 4000, 2,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!rank-elite</t>
      </text>
    </comment>
    <comment ref="L135" authorId="0" shapeId="0">
      <text>
        <t>per-shot TOTAL across 10 main warhead(s).
raw warhead damages: 4000, 2, 4000, 2, 4000, 2, 4000, 2, 4000, 2000, 2, 4000, 2000, 2, 4000, 2, 888, 4000, 2, 600, 4000, 2,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rank-elite</t>
      </text>
    </comment>
    <comment ref="L136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6" authorId="0" shapeId="0">
      <text>
        <t>fires when: !rank-elite</t>
      </text>
    </comment>
    <comment ref="L137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7" authorId="0" shapeId="0">
      <text>
        <t>fires when: rank-elite</t>
      </text>
    </comment>
    <comment ref="L139" authorId="0" shapeId="0">
      <text>
        <t>per-shot TOTAL across 5 main warhead(s).
raw warhead damages: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9" authorId="0" shapeId="0">
      <text>
        <t>fires when: !rank-elite</t>
      </text>
    </comment>
    <comment ref="L140" authorId="0" shapeId="0">
      <text>
        <t>per-shot TOTAL across 5 main warhead(s).
raw warhead damages: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rank-elite</t>
      </text>
    </comment>
    <comment ref="L14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7" authorId="0" shapeId="0">
      <text>
        <t>per-shot TOTAL across 6 main warhead(s).
raw warhead damages: 1000,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1" authorId="0" shapeId="0">
      <text>
        <t>per-shot TOTAL across 2 main warhead(s).
raw warhead damages: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!ifv-healer &amp;&amp; !ifv-chrono &amp;&amp; !ifv-spy &amp;&amp; !ifv-thief</t>
      </text>
    </comment>
    <comment ref="L152" authorId="0" shapeId="0">
      <text>
        <t>per-shot TOTAL across 5 main warhead(s).
raw warhead damages: 2000, 1, 2000, 1, 2000,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2" authorId="0" shapeId="0">
      <text>
        <t>fires when: ifv-miss</t>
      </text>
    </comment>
    <comment ref="L153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3" authorId="0" shapeId="0">
      <text>
        <t>fires when: ifv-mg || ifv-hmg || ifv-repair || ifv-ra1_allies_alliedsniper || ifv-flak || ifv-tesla || ifv-chem || ifv-fire || ifv-cannon || ifv-deso || ifv-demo || ifv-healer || ifv-chrono || ifv-spy || ifv-thief</t>
      </text>
    </comment>
    <comment ref="L154" authorId="0" shapeId="0">
      <text>
        <t>per-shot TOTAL across 5 main warhead(s).
raw warhead damages: 10000, 5000, 5, 10000, 5, 888, 10000, 5, 10000, 5000,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54" authorId="0" shapeId="0">
      <text>
        <t>fires when: ifv-hero</t>
      </text>
    </comment>
  </commentList>
</comments>
</file>

<file path=xl/comments/comment21.xml><?xml version="1.0" encoding="utf-8"?>
<comments xmlns="http://schemas.openxmlformats.org/spreadsheetml/2006/main">
  <authors>
    <author>balance-pipeline</author>
  </authors>
  <commentList>
    <comment ref="L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tkm_upgrade_titanarsenalupgrade</t>
      </text>
    </comment>
    <comment ref="L7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tkm_upgrade_titanarsenalupgrade</t>
      </text>
    </comment>
    <comment ref="L8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tkm_upgrade_titanarsenalupgrade</t>
      </text>
    </comment>
    <comment ref="L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tkm_upgrade_titanarsenalupgrade</t>
      </text>
    </comment>
    <comment ref="L11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!tkm_upgrade_titanarmorpiercingbulletsupgrade</t>
      </text>
    </comment>
    <comment ref="L12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tkm_upgrade_titanarmorpiercingbulletsupgrade</t>
      </text>
    </comment>
    <comment ref="L1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!tkm_upgrade_titanarmorpiercingbulletsupgrade</t>
      </text>
    </comment>
    <comment ref="L14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" authorId="0" shapeId="0">
      <text>
        <t>fires when: tkm_upgrade_titanarmorpiercingbulletsupgrade</t>
      </text>
    </comment>
    <comment ref="L1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6" authorId="0" shapeId="0">
      <text>
        <t>fires when: !tkm_upgrade_titanarmorpiercingbulletsupgrade</t>
      </text>
    </comment>
    <comment ref="L1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7" authorId="0" shapeId="0">
      <text>
        <t>fires when: tkm_upgrade_titanarmorpiercingbulletsupgrade</t>
      </text>
    </comment>
    <comment ref="L1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!tkm_upgrade_titanarmorpiercingbulletsupgrade</t>
      </text>
    </comment>
    <comment ref="L1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9" authorId="0" shapeId="0">
      <text>
        <t>fires when: tkm_upgrade_titanarmorpiercingbulletsupgrade</t>
      </text>
    </comment>
    <comment ref="L21" authorId="0" shapeId="0">
      <text>
        <t>per-shot TOTAL across 1 main warhead(s).
raw warhead damages: 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!tkm_upgrade_semiautoriflesupgrade</t>
      </text>
    </comment>
    <comment ref="L2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tkm_upgrade_semiautoriflesupgrade</t>
      </text>
    </comment>
    <comment ref="L23" authorId="0" shapeId="0">
      <text>
        <t>per-shot TOTAL across 1 main warhead(s).
raw warhead damages: 6000,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5" authorId="0" shapeId="0">
      <text>
        <t>fires when: !tkm_upgrade_cryorocketsupgrade &amp;&amp; !tkm_upgrade_twinrocketsupgrade &amp;&amp; !tkm_upgrade_incendiaryrocketsupgrade</t>
      </text>
    </comment>
    <comment ref="L26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6" authorId="0" shapeId="0">
      <text>
        <t>fires when: tkm_upgrade_cryorocketsupgrade</t>
      </text>
    </comment>
    <comment ref="L27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tkm_upgrade_twinrocketsupgrade</t>
      </text>
    </comment>
    <comment ref="L28" authorId="0" shapeId="0">
      <text>
        <t>per-shot TOTAL across 2 main warhead(s).
raw warhead damages: 18000, 9,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8" authorId="0" shapeId="0">
      <text>
        <t>fires when: tkm_upgrade_incendiaryrocketsupgrade</t>
      </text>
    </comment>
    <comment ref="L29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9" authorId="0" shapeId="0">
      <text>
        <t>fires when: !tkm_upgrade_cryorocketsupgrade &amp;&amp; !tkm_upgrade_twinrocketsupgrade &amp;&amp; !tkm_upgrade_incendiaryrocketsupgrade</t>
      </text>
    </comment>
    <comment ref="L30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0" authorId="0" shapeId="0">
      <text>
        <t>fires when: tkm_upgrade_cryorocketsupgrade</t>
      </text>
    </comment>
    <comment ref="L31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1" authorId="0" shapeId="0">
      <text>
        <t>fires when: tkm_upgrade_twinrocketsupgrade</t>
      </text>
    </comment>
    <comment ref="L32" authorId="0" shapeId="0">
      <text>
        <t>per-shot TOTAL across 2 main warhead(s).
raw warhead damages: 18000, 9,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2" authorId="0" shapeId="0">
      <text>
        <t>fires when: tkm_upgrade_incendiaryrocketsupgrade</t>
      </text>
    </comment>
    <comment ref="L34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1 main warhead(s).
raw warhead damages: 44000, 22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6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tkm_upgrade_gp25upgrade</t>
      </text>
    </comment>
    <comment ref="L47" authorId="0" shapeId="0">
      <text>
        <t>per-shot TOTAL across 2 main warhead(s).
raw warhead damages: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tkm_upgrade_gp25upgrade</t>
      </text>
    </comment>
    <comment ref="L49" authorId="0" shapeId="0">
      <text>
        <t>per-shot TOTAL across 8 main warhead(s).
raw warhead damages: 32000, 16, 16000, 32000, 16, 32000, 16, 6000, 3, 32000, 16, 6000, 3, 32000, 16,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0" authorId="0" shapeId="0">
      <text>
        <t>fires when: !tkm_upgrade_titanarmorpiercingbulletsupgrade</t>
      </text>
    </comment>
    <comment ref="L51" authorId="0" shapeId="0">
      <text>
        <t>per-shot TOTAL across 7 main warhead(s).
raw warhead damages: 16000, 8, 16000, 8, 6000, 3, 16000, 8, 6000, 3,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1" authorId="0" shapeId="0">
      <text>
        <t>fires when: tkm_upgrade_titanarmorpiercingbulletsupgrade</t>
      </text>
    </comment>
    <comment ref="L52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!tkm_upgrade_titanarmorpiercingbulletsupgrade</t>
      </text>
    </comment>
    <comment ref="L53" authorId="0" shapeId="0">
      <text>
        <t>per-shot TOTAL across 7 main warhead(s).
raw warhead damages: 16000, 8, 16000, 8, 6000, 3, 16000, 8, 6000, 3,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tkm_upgrade_titanarmorpiercingbulletsupgrade</t>
      </text>
    </comment>
    <comment ref="L55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4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!tkm_upgrade_cryorocketsupgrade &amp;&amp; !tkm_upgrade_twinrocketsupgrade &amp;&amp; !tkm_upgrade_incendiaryrocketsupgrade</t>
      </text>
    </comment>
    <comment ref="L65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tkm_upgrade_cryorocketsupgrade</t>
      </text>
    </comment>
    <comment ref="L66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tkm_upgrade_twinrocketsupgrade</t>
      </text>
    </comment>
    <comment ref="L67" authorId="0" shapeId="0">
      <text>
        <t>per-shot TOTAL across 2 main warhead(s).
raw warhead damages: 18000, 9,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tkm_upgrade_incendiaryrocketsupgrade</t>
      </text>
    </comment>
    <comment ref="L6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!tkm_upgrade_cryorocketsupgrade &amp;&amp; !tkm_upgrade_twinrocketsupgrade &amp;&amp; !uptitanarsenalupgrade</t>
      </text>
    </comment>
    <comment ref="L72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tkm_upgrade_cryorocketsupgrade</t>
      </text>
    </comment>
    <comment ref="L73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tkm_upgrade_cryorocketsupgrade</t>
      </text>
    </comment>
    <comment ref="L74" authorId="0" shapeId="0">
      <text>
        <t>per-shot TOTAL across 6 main warhead(s).
raw warhead damages: 4000, 2, 40000, 20,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tkm_upgrade_twinrocketsupgrade</t>
      </text>
    </comment>
    <comment ref="L75" authorId="0" shapeId="0">
      <text>
        <t>per-shot TOTAL across 6 main warhead(s).
raw warhead damages: 4000, 2, 40000, 20,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tkm_upgrade_twinrocketsupgrade</t>
      </text>
    </comment>
    <comment ref="L76" authorId="0" shapeId="0">
      <text>
        <t>per-shot TOTAL across 4 main warhead(s).
raw warhead damages: 2000, 1, 6000, 2,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tkm_upgrade_incendiaryrocketsupgrade</t>
      </text>
    </comment>
    <comment ref="L77" authorId="0" shapeId="0">
      <text>
        <t>per-shot TOTAL across 4 main warhead(s).
raw warhead damages: 2000, 1, 6000, 2,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tkm_upgrade_incendiaryrocketsupgrade</t>
      </text>
    </comment>
    <comment ref="L78" authorId="0" shapeId="0">
      <text>
        <t>per-shot TOTAL across 2 main warhead(s).
raw warhead damages: 80000, 40,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1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3" authorId="0" shapeId="0">
      <text>
        <t>fires when: !tkm_upgrade_cryorocketsupgrade &amp;&amp; !tkm_upgrade_twinrocketsupgrade &amp;&amp; !tkm_upgrade_incendiaryrocketsupgrade</t>
      </text>
    </comment>
    <comment ref="L94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tkm_upgrade_cryorocketsupgrade</t>
      </text>
    </comment>
    <comment ref="L95" authorId="0" shapeId="0">
      <text>
        <t>per-shot TOTAL across 2 main warhead(s).
raw warhead damages: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tkm_upgrade_cryorocketsupgrade</t>
      </text>
    </comment>
    <comment ref="L96" authorId="0" shapeId="0">
      <text>
        <t>per-shot TOTAL across 6 main warhead(s).
raw warhead damages: 4000, 2, 40000, 20,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6" authorId="0" shapeId="0">
      <text>
        <t>fires when: tkm_upgrade_twinrocketsupgrade</t>
      </text>
    </comment>
    <comment ref="L97" authorId="0" shapeId="0">
      <text>
        <t>per-shot TOTAL across 6 main warhead(s).
raw warhead damages: 4000, 2, 40000, 20,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7" authorId="0" shapeId="0">
      <text>
        <t>fires when: tkm_upgrade_twinrocketsupgrade</t>
      </text>
    </comment>
    <comment ref="L98" authorId="0" shapeId="0">
      <text>
        <t>per-shot TOTAL across 4 main warhead(s).
raw warhead damages: 2000, 1, 6000, 2,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8" authorId="0" shapeId="0">
      <text>
        <t>fires when: tkm_upgrade_incendiaryrocketsupgrade</t>
      </text>
    </comment>
    <comment ref="L99" authorId="0" shapeId="0">
      <text>
        <t>per-shot TOTAL across 4 main warhead(s).
raw warhead damages: 2000, 1, 6000, 2, 40000, 20,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9" authorId="0" shapeId="0">
      <text>
        <t>fires when: tkm_upgrade_incendiaryrocketsupgrade</t>
      </text>
    </comment>
    <comment ref="L100" authorId="0" shapeId="0">
      <text>
        <t>per-shot TOTAL across 2 main warhead(s).
raw warhead damages: 120000, 60, 120000, 60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2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3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3" authorId="0" shapeId="0">
      <text>
        <t>fires when: !tkm_upgrade_incendiaryrocketsupgrade</t>
      </text>
    </comment>
    <comment ref="L104" authorId="0" shapeId="0">
      <text>
        <t>per-shot TOTAL across 2 main warhead(s).
raw warhead damages: 24000, 12,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4" authorId="0" shapeId="0">
      <text>
        <t>fires when: tkm_upgrade_incendiaryrocketsupgrade</t>
      </text>
    </comment>
    <comment ref="L106" authorId="0" shapeId="0">
      <text>
        <t>per-shot TOTAL across 2 main warhead(s).
raw warhead damages: 40000, 2, 40000, 10,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8" authorId="0" shapeId="0">
      <text>
        <t>fires when: tkm_upgrade_pointdefensesystem</t>
      </text>
    </comment>
    <comment ref="L109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2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!tkm_upgrade_titanarmorpiercingbulletsupgrade</t>
      </text>
    </comment>
    <comment ref="L113" authorId="0" shapeId="0">
      <text>
        <t>per-shot TOTAL across 2 main warhead(s).
raw warhead damages: 6000, 3,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3" authorId="0" shapeId="0">
      <text>
        <t>fires when: tkm_upgrade_titanarmorpiercingbulletsupgrade</t>
      </text>
    </comment>
    <comment ref="L115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6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6" authorId="0" shapeId="0">
      <text>
        <t>fires when: tkm_upgrade_twinrocketsupgrade</t>
      </text>
    </comment>
    <comment ref="L119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9" authorId="0" shapeId="0">
      <text>
        <t>fires when: !tkm_upgrade_cryorocketsupgrade &amp;&amp; !tkm_upgrade_twinrocketsupgrade &amp;&amp; !tkm_upgrade_incendiaryrocketsupgrade</t>
      </text>
    </comment>
    <comment ref="L120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0" authorId="0" shapeId="0">
      <text>
        <t>fires when: tkm_upgrade_cryorocketsupgrade</t>
      </text>
    </comment>
    <comment ref="L121" authorId="0" shapeId="0">
      <text>
        <t>per-shot TOTAL across 1 main warhead(s).
raw warhead damages: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1" authorId="0" shapeId="0">
      <text>
        <t>fires when: tkm_upgrade_twinrocketsupgrade</t>
      </text>
    </comment>
    <comment ref="L122" authorId="0" shapeId="0">
      <text>
        <t>per-shot TOTAL across 3 main warhead(s).
raw warhead damages: 2000, 1, 6000, 2,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2" authorId="0" shapeId="0">
      <text>
        <t>fires when: tkm_upgrade_incendiaryrocketsupgrade</t>
      </text>
    </comment>
    <comment ref="L124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2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2" authorId="0" shapeId="0">
      <text>
        <t>fires when: !tkm_upgrade_cryorocketsupgrade &amp;&amp; !tkm_upgrade_twinrocketsupgrade &amp;&amp; !tkm_upgrade_incendiaryrocketsupgrade</t>
      </text>
    </comment>
    <comment ref="L13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3" authorId="0" shapeId="0">
      <text>
        <t>fires when: tkm_upgrade_cryorocketsupgrade</t>
      </text>
    </comment>
    <comment ref="L13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4" authorId="0" shapeId="0">
      <text>
        <t>fires when: tkm_upgrade_twinrocketsupgrade</t>
      </text>
    </comment>
    <comment ref="L13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5" authorId="0" shapeId="0">
      <text>
        <t>fires when: tkm_upgrade_incendiaryrocketsupgrade</t>
      </text>
    </comment>
    <comment ref="L137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7" authorId="0" shapeId="0">
      <text>
        <t>fires when: !tkm_upgrade_cryorocketsupgrade &amp;&amp; !tkm_upgrade_twinrocketsupgrade &amp;&amp; !uptitanarsenalupgrade</t>
      </text>
    </comment>
    <comment ref="L138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8" authorId="0" shapeId="0">
      <text>
        <t>fires when: tkm_upgrade_cryorocketsupgrade</t>
      </text>
    </comment>
    <comment ref="L139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9" authorId="0" shapeId="0">
      <text>
        <t>fires when: tkm_upgrade_twinrocketsupgrade</t>
      </text>
    </comment>
    <comment ref="L140" authorId="0" shapeId="0">
      <text>
        <t>per-shot TOTAL across 4 main warhead(s).
raw warhead damages: 2000, 1, 6000, 2,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0" authorId="0" shapeId="0">
      <text>
        <t>fires when: tkm_upgrade_incendiaryrocketsupgrade</t>
      </text>
    </comment>
    <comment ref="L143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6" authorId="0" shapeId="0">
      <text>
        <t>fires when: !td_gdi_upgrade_armorpiercingbullets</t>
      </text>
    </comment>
    <comment ref="L14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47" authorId="0" shapeId="0">
      <text>
        <t>fires when: td_gdi_upgrade_armorpiercingbullets</t>
      </text>
    </comment>
    <comment ref="L149" authorId="0" shapeId="0">
      <text>
        <t>per-shot TOTAL across 2 main warhead(s).
raw warhead damages: 2000, 2,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1" authorId="0" shapeId="0">
      <text>
        <t>per-shot TOTAL across 2 main warhead(s).
raw warhead damages: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3" authorId="0" shapeId="0">
      <text>
        <t>per-shot TOTAL across 2 main warhead(s).
raw warhead damages: 16000, 8,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5" authorId="0" shapeId="0">
      <text>
        <t>per-shot TOTAL across 2 main warhead(s).
raw warhead damages: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2.xml><?xml version="1.0" encoding="utf-8"?>
<comments xmlns="http://schemas.openxmlformats.org/spreadsheetml/2006/main">
  <authors>
    <author>balance-pipeline</author>
  </authors>
  <commentList>
    <comment ref="L7" authorId="0" shapeId="0">
      <text>
        <t>per-shot TOTAL across 3 main warhead(s).
raw warhead damages: 2000, 1, 2000, 1, 2000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" authorId="0" shapeId="0">
      <text>
        <t>per-shot TOTAL across 2 main warhead(s).
raw warhead damages: 2000, 1, 3200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!ixian_upgrade_tungstenneedleguns</t>
      </text>
    </comment>
    <comment ref="L11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ixian_upgrade_tungstenneedleguns</t>
      </text>
    </comment>
    <comment ref="L1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!ixian_upgrade_tungstenneedleguns</t>
      </text>
    </comment>
    <comment ref="L13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3" authorId="0" shapeId="0">
      <text>
        <t>fires when: ixian_upgrade_tungstenneedleguns</t>
      </text>
    </comment>
    <comment ref="L15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3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3 main warhead(s).
raw warhead damages: 10000, 5, 10000, 5, 1000,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3 main warhead(s).
raw warhead damages: 10000, 5, 10000, 5, 1000,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9 main warhead(s).
raw warhead damages: 20000, 10, 20000, 10, 20000, 10, 20000, 10, 20000, 10000, 10, 20000, 10000, 10,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9 main warhead(s).
raw warhead damages: 20000, 10, 20000, 10, 20000, 10, 20000, 10, 20000, 10000, 10, 20000, 10000, 10, 20000, 10, 20000,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0" authorId="0" shapeId="0">
      <text>
        <t>fires when: !ordos_upgrade_lasercartridges</t>
      </text>
    </comment>
    <comment ref="L21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1" authorId="0" shapeId="0">
      <text>
        <t>fires when: ordos_upgrade_lasercartridges</t>
      </text>
    </comment>
    <comment ref="L2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2" authorId="0" shapeId="0">
      <text>
        <t>fires when: !ordos_upgrade_lasercartridges</t>
      </text>
    </comment>
    <comment ref="L23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ordos_upgrade_lasercartridges</t>
      </text>
    </comment>
    <comment ref="L25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4 main warhead(s).
raw warhead damages: 30000, 15,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6" authorId="0" shapeId="0">
      <text>
        <t>fires when: undeployed</t>
      </text>
    </comment>
    <comment ref="L37" authorId="0" shapeId="0">
      <text>
        <t>per-shot TOTAL across 4 main warhead(s).
raw warhead damages: 30000, 15,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deployed</t>
      </text>
    </comment>
    <comment ref="L39" authorId="0" shapeId="0">
      <text>
        <t>per-shot TOTAL across 6 main warhead(s).
raw warhead damages: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6 main warhead(s).
raw warhead damages: 10000, 5000, 5, 10000,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7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9" authorId="0" shapeId="0">
      <text>
        <t>per-shot TOTAL across 6 main warhead(s).
raw warhead damages: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2" authorId="0" shapeId="0">
      <text>
        <t>fires when: ordos_upgrade_heavycombattankrockets</t>
      </text>
    </comment>
    <comment ref="L54" authorId="0" shapeId="0">
      <text>
        <t>per-shot TOTAL across 5 main warhead(s).
raw warhead damages: 10000, 5, 10000, 6, 10000, 6, 10000, 5, 10000,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4 main warhead(s).
raw warhead damages: 10000, 5, 10000, 5, 10000, 5, 1000, 10000, 5,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4 main warhead(s).
raw warhead damages: 30000, 15,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undeployed</t>
      </text>
    </comment>
    <comment ref="L62" authorId="0" shapeId="0">
      <text>
        <t>per-shot TOTAL across 4 main warhead(s).
raw warhead damages: 30000, 15,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deployed</t>
      </text>
    </comment>
    <comment ref="L6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!ordos_upgrade_lasercartridges</t>
      </text>
    </comment>
    <comment ref="L65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5" authorId="0" shapeId="0">
      <text>
        <t>fires when: ordos_upgrade_lasercartridges</t>
      </text>
    </comment>
    <comment ref="L6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8" authorId="0" shapeId="0">
      <text>
        <t>fires when: !ordos_upgrade_lasercartridges</t>
      </text>
    </comment>
    <comment ref="L69" authorId="0" shapeId="0">
      <text>
        <t>per-shot TOTAL across 3 main warhead(s).
raw warhead damages: 2000, 1, 1000,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ordos_upgrade_lasercartridges</t>
      </text>
    </comment>
    <comment ref="L71" authorId="0" shapeId="0">
      <text>
        <t>per-shot TOTAL across 4 main warhead(s).
raw warhead damages: 14000, 7, 14000, 7,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4" authorId="0" shapeId="0">
      <text>
        <t>fires when: !ordos_upgrade_lasercartridges</t>
      </text>
    </comment>
    <comment ref="L75" authorId="0" shapeId="0">
      <text>
        <t>per-shot TOTAL across 2 main warhead(s).
raw warhead damages: 2000, 1,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5" authorId="0" shapeId="0">
      <text>
        <t>fires when: ordos_upgrade_lasercartridges</t>
      </text>
    </comment>
    <comment ref="L7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7" authorId="0" shapeId="0">
      <text>
        <t>fires when: !ordos_upgrade_lasercartridges</t>
      </text>
    </comment>
    <comment ref="L78" authorId="0" shapeId="0">
      <text>
        <t>per-shot TOTAL across 2 main warhead(s).
raw warhead damages: 2000, 1,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8" authorId="0" shapeId="0">
      <text>
        <t>fires when: ordos_upgrade_lasercartridges</t>
      </text>
    </comment>
    <comment ref="L80" authorId="0" shapeId="0">
      <text>
        <t>per-shot TOTAL across 7 main warhead(s).
raw warhead damages: 2000, 1, 2000, 1, 2000, 1, 2000, 1, 2000, 1, 2000, 1, 10000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2" authorId="0" shapeId="0">
      <text>
        <t>per-shot TOTAL across 5 main warhead(s).
raw warhead damages: 10000, 5, 10000, 6, 10000, 6, 10000, 5, 10000,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3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4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5 main warhead(s).
raw warhead damages: 20000, 10000, 10, 20000, 10, 20000, 10, 20000, 10000, 10, 20000,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!ordos_upgrade_lasercartridges</t>
      </text>
    </comment>
    <comment ref="L89" authorId="0" shapeId="0">
      <text>
        <t>per-shot TOTAL across 2 main warhead(s).
raw warhead damages: 4000, 2, 1000,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9" authorId="0" shapeId="0">
      <text>
        <t>fires when: ordos_upgrade_lasercartridges</t>
      </text>
    </comment>
    <comment ref="L91" authorId="0" shapeId="0">
      <text>
        <t>per-shot TOTAL across 6 main warhead(s).
raw warhead damages: 10000, 5000, 5, 10000,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4 main warhead(s).
raw warhead damages: 12000, 6,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!ixian_upgrade_tungstenneedleguns</t>
      </text>
    </comment>
    <comment ref="L5" authorId="0" shapeId="0">
      <text>
        <t>per-shot TOTAL across 8 main warhead(s).
raw warhead damages: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" authorId="0" shapeId="0">
      <text>
        <t>fires when: ixian_upgrade_tungstenneedleguns</t>
      </text>
    </comment>
    <comment ref="L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!ixian_upgrade_tungstenneedleguns</t>
      </text>
    </comment>
    <comment ref="L7" authorId="0" shapeId="0">
      <text>
        <t>per-shot TOTAL across 8 main warhead(s).
raw warhead damages: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ixian_upgrade_tungstenneedleguns</t>
      </text>
    </comment>
    <comment ref="L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" authorId="0" shapeId="0">
      <text>
        <t>fires when: !ixian_upgrade_tungstenneedleguns</t>
      </text>
    </comment>
    <comment ref="L1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0" authorId="0" shapeId="0">
      <text>
        <t>fires when: ixian_upgrade_tungstenneedleguns</t>
      </text>
    </comment>
    <comment ref="L1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" authorId="0" shapeId="0">
      <text>
        <t>fires when: !ixian_upgrade_tungstenneedleguns</t>
      </text>
    </comment>
    <comment ref="L1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2" authorId="0" shapeId="0">
      <text>
        <t>fires when: ixian_upgrade_tungstenneedleguns</t>
      </text>
    </comment>
    <comment ref="L14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3 main warhead(s).
raw warhead damages: 8000, 4, 8000, 4, 1000,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3 main warhead(s).
raw warhead damages: 8000, 4, 8000, 4, 1000,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0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6 main warhead(s).
raw warhead damages: 14000, 7, 14000, 7, 14000, 7000, 7, 14000, 7, 14000, 7,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3" authorId="0" shapeId="0">
      <text>
        <t>per-shot TOTAL across 6 main warhead(s).
raw warhead damages: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3" authorId="0" shapeId="0">
      <text>
        <t>fires when: !ixian_upgrade_tungstenneedleguns</t>
      </text>
    </comment>
    <comment ref="L34" authorId="0" shapeId="0">
      <text>
        <t>per-shot TOTAL across 9 main warhead(s).
raw warhead damages: 2000, 1, 2000, 1, 600, 2000, 1, 2000,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ixian_upgrade_tungstenneedleguns</t>
      </text>
    </comment>
    <comment ref="L36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!ixian_upgrade_tungstenneedleguns</t>
      </text>
    </comment>
    <comment ref="L38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ixian_upgrade_tungstenneedleguns</t>
      </text>
    </comment>
    <comment ref="L40" authorId="0" shapeId="0">
      <text>
        <t>per-shot TOTAL across 3 main warhead(s).
raw warhead damages: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2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3 main warhead(s).
raw warhead damages: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end_disable == 0</t>
      </text>
    </comment>
    <comment ref="L47" authorId="0" shapeId="0">
      <text>
        <t>per-shot TOTAL across 0 main warhead(s).
raw warhead damages: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end_disable &gt;= 1</t>
      </text>
    </comment>
    <comment ref="L49" authorId="0" shapeId="0">
      <text>
        <t>per-shot TOTAL across 4 main warhead(s).
raw warhead damages: 12000, 6000, 6, 12000, 6, 12000, 6000,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4" authorId="0" shapeId="0">
      <text>
        <t>per-shot TOTAL across 8 main warhead(s).
raw warhead damages: 4000, 2000, 2, 4000, 2000, 2, 4000, 2, 4000, 2, 4000, 2, 4000, 2, 1000,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7" authorId="0" shapeId="0">
      <text>
        <t>per-shot TOTAL across 4 main warhead(s).
raw warhead damages: 6000, 3000,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1 main warhead(s).
raw warhead damages: 80000, 40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5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6 main warhead(s).
raw warhead damages: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1" authorId="0" shapeId="0">
      <text>
        <t>fires when: !ixian_upgrade_tungstenneedleguns</t>
      </text>
    </comment>
    <comment ref="L72" authorId="0" shapeId="0">
      <text>
        <t>per-shot TOTAL across 4 main warhead(s).
raw warhead damages: 2000, 1, 4000, 2,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ixian_upgrade_tungstenneedleguns</t>
      </text>
    </comment>
    <comment ref="L74" authorId="0" shapeId="0">
      <text>
        <t>per-shot TOTAL across 3 main warhead(s).
raw warhead damages: 30000, 15, 30000, 15, 30000, 15000,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8" authorId="0" shapeId="0">
      <text>
        <t>per-shot TOTAL across 3 main warhead(s).
raw warhead damages: 2000, 1000, 1,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3 main warhead(s).
raw warhead damages: 2000, 1000, 1, 2000, 1, 2000, 1,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4 main warhead(s).
raw warhead damages: 6000, 3, 6000, 3, 6000, 3, 1000,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9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4" authorId="0" shapeId="0">
      <text>
        <t>fires when: !ixian_upgrade_tungstenneedleguns</t>
      </text>
    </comment>
    <comment ref="L9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95" authorId="0" shapeId="0">
      <text>
        <t>fires when: ixian_upgrade_tungstenneedleguns</t>
      </text>
    </comment>
    <comment ref="L101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5" authorId="0" shapeId="0">
      <text>
        <t>per-shot TOTAL across 1 main warhead(s).
raw warhead damages: 300000, 150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5.xml><?xml version="1.0" encoding="utf-8"?>
<comments xmlns="http://schemas.openxmlformats.org/spreadsheetml/2006/main">
  <authors>
    <author>balance-pipeline</author>
  </authors>
  <commentList>
    <comment ref="L5" authorId="0" shapeId="0">
      <text>
        <t>per-shot TOTAL across 1 main warhead(s).
raw warhead damages: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6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1 main warhead(s).
raw warhead damages: 80000,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" authorId="0" shapeId="0">
      <text>
        <t>per-shot TOTAL across 2 main warhead(s).
raw warhead damages: 2000, 1, 15000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1 main warhead(s).
raw warhead damages: 25135,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7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2 main warhead(s).
raw warhead damages: 8000, 4, 8000, 4,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" authorId="0" shapeId="0">
      <text>
        <t>per-shot TOTAL across 1 main warhead(s).
raw warhead damages: 20000,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2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7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1 main warhead(s).
raw warhead damages: 32000, 16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1 main warhead(s).
raw warhead damages: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1 main warhead(s).
raw warhead damages: 64000, 32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1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1 main warhead(s).
raw warhead damages: 30000, 15, 15000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5 main warhead(s).
raw warhead damages: 2000, 1, 2000, 1000,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0" authorId="0" shapeId="0">
      <text>
        <t>per-shot TOTAL across 2 main warhead(s).
raw warhead damages: 10000, 5, 10000, 5,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2 main warhead(s).
raw warhead damages: 10000, 5000,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2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4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8" authorId="0" shapeId="0">
      <text>
        <t>per-shot TOTAL across 5 main warhead(s).
raw warhead damages: 8000, 1, 8000, 1, 8000, 1, 8000, 4000, 1, 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4 main warhead(s).
raw warhead damages: 50000, 25, 50000, 25, 50000, 25000,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3" authorId="0" shapeId="0">
      <text>
        <t>fires when: !protoss_upgrade_reavercapacity</t>
      </text>
    </comment>
    <comment ref="L56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1" authorId="0" shapeId="0">
      <text>
        <t>per-shot TOTAL across 1 main warhead(s).
raw warhead damages: 5000, 5, 2500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5" authorId="0" shapeId="0">
      <text>
        <t>per-shot TOTAL across 10 main warhead(s).
raw warhead damages: 2000, 1, 2000, 1000, 1,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6" authorId="0" shapeId="0">
      <text>
        <t>per-shot TOTAL across 10 main warhead(s).
raw warhead damages: 2000, 1, 2000, 1000, 1,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11 main warhead(s).
raw warhead damages: 10000, 5, 10000, 5, 10000, 5, 10000, 5000, 5, 10000, 5, 10000, 5, 10000,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3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4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7" authorId="0" shapeId="0">
      <text>
        <t>per-shot TOTAL across 6 main warhead(s).
raw warhead damages: 2000,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9" authorId="0" shapeId="0">
      <text>
        <t>per-shot TOTAL across 6 main warhead(s).
raw warhead damages: 2000, 1, 2000, 1, 2000, 1, 2000, 1, 2000, 1000,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2" authorId="0" shapeId="0">
      <text>
        <t>per-shot TOTAL across 4 main warhead(s).
raw warhead damages: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7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</commentList>
</comments>
</file>

<file path=xl/comments/comment28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4 main warhead(s).
raw warhead damages: 18000, 1, 18000, 1, 18000, 1, 18000,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4 main warhead(s).
raw warhead damages: 18000, 1, 18000, 1, 18000, 1, 18000,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8 main warhead(s).
raw warhead damages: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0" authorId="0" shapeId="0">
      <text>
        <t>per-shot TOTAL across 1 main warhead(s).
raw warhead damages: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1 main warhead(s).
raw warhead damages: 40000, 20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6 main warhead(s).
raw warhead damages: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!deployed</t>
      </text>
    </comment>
    <comment ref="AB35" authorId="0" shapeId="0">
      <text>
        <t>fires when: deployed || undeployed</t>
      </text>
    </comment>
    <comment ref="L37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6 main warhead(s).
raw warhead damages: 2000, 1, 2000, 1, 2000, 1, 2000, 1000, 1, 2000, 1000,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5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7" authorId="0" shapeId="0">
      <text>
        <t>per-shot TOTAL across 4 main warhead(s).
raw warhead damages: 8000, 4000, 4, 20000, 10,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9" authorId="0" shapeId="0">
      <text>
        <t>per-shot TOTAL across 6 main warhead(s).
raw warhead damages: 2000, 1, 2000, 1, 2000, 1000, 1, 1000,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1 main warhead(s).
raw warhead damages: 14000, 7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3" authorId="0" shapeId="0">
      <text>
        <t>per-shot TOTAL across 3 main warhead(s).
raw warhead damages: 8000, 4000, 4, 8000, 4000,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4 main warhead(s).
raw warhead damages: 8000, 4000,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8" authorId="0" shapeId="0">
      <text>
        <t>per-shot TOTAL across 2 main warhead(s).
raw warhead damages: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0" authorId="0" shapeId="0">
      <text>
        <t>per-shot TOTAL across 2 main warhead(s).
raw warhead damages: 50000, 25, 50000, 25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3" authorId="0" shapeId="0">
      <text>
        <t>per-shot TOTAL across 4 main warhead(s).
raw warhead damages: 6000, 3, 6000, 3, 1000, 6000, 3, 6000, 3000,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sunken</t>
      </text>
    </comment>
    <comment ref="L64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4" authorId="0" shapeId="0">
      <text>
        <t>fires when: spore</t>
      </text>
    </comment>
    <comment ref="L66" authorId="0" shapeId="0">
      <text>
        <t>per-shot TOTAL across 4 main warhead(s).
raw warhead damages: 6000, 3, 6000, 3, 1000, 6000, 3, 6000, 3000,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sunken</t>
      </text>
    </comment>
    <comment ref="L67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spore</t>
      </text>
    </comment>
    <comment ref="L69" authorId="0" shapeId="0">
      <text>
        <t>per-shot TOTAL across 4 main warhead(s).
raw warhead damages: 6000, 3, 6000, 3, 1000, 6000, 3, 6000, 3000,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9" authorId="0" shapeId="0">
      <text>
        <t>fires when: sunken</t>
      </text>
    </comment>
    <comment ref="L70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spore</t>
      </text>
    </comment>
    <comment ref="L72" authorId="0" shapeId="0">
      <text>
        <t>per-shot TOTAL across 4 main warhead(s).
raw warhead damages: 6000, 3, 6000, 3, 1000, 6000, 3, 6000, 3000,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2" authorId="0" shapeId="0">
      <text>
        <t>fires when: sunken</t>
      </text>
    </comment>
    <comment ref="L73" authorId="0" shapeId="0">
      <text>
        <t>per-shot TOTAL across 3 main warhead(s).
raw warhead damages: 12000, 6, 12000, 6,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3" authorId="0" shapeId="0">
      <text>
        <t>fires when: spore</t>
      </text>
    </comment>
  </commentList>
</comments>
</file>

<file path=xl/comments/comment29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" authorId="0" shapeId="0">
      <text>
        <t>per-shot TOTAL across 1 main warhead(s).
raw warhead damages: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" authorId="0" shapeId="0">
      <text>
        <t>per-shot TOTAL across 8 main warhead(s).
raw warhead damages: 20000, 2, 20000, 20000, 2, 20000, 2, 2000, 1, 20000, 2, 2000, 1, 20000, 2, 20000,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3 main warhead(s).
raw warhead damages: 12000, 1, 12000, 1, 12000,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2" authorId="0" shapeId="0">
      <text>
        <t>per-shot TOTAL across 3 main warhead(s).
raw warhead damages: 12000, 1, 12000, 1, 12000,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5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3 main warhead(s).
raw warhead damages: 12000, 1, 12000, 1, 12000,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8" authorId="0" shapeId="0">
      <text>
        <t>per-shot TOTAL across 3 main warhead(s).
raw warhead damages: 12000, 1, 12000, 1, 12000,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0" authorId="0" shapeId="0">
      <text>
        <t>per-shot TOTAL across 4 main warhead(s).
raw warhead damages: 2000, 1, 1000, 1, 2000, 1, 600,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1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4 main warhead(s).
raw warhead damages: 2000, 1, 1000, 1, 2000, 1, 600,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6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7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8" authorId="0" shapeId="0">
      <text>
        <t>per-shot TOTAL across 1 main warhead(s).
raw warhead damages: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9" authorId="0" shapeId="0">
      <text>
        <t>per-shot TOTAL across 3 main warhead(s).
raw warhead damages: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8 main warhead(s).
raw warhead damages: 40000, 4, 40000, 40000, 4, 40000, 4, 4000, 2, 40000, 4, 4000, 2, 40000, 4, 40000,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2" authorId="0" shapeId="0">
      <text>
        <t>per-shot TOTAL across 5 main warhead(s).
raw warhead damages: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3" authorId="0" shapeId="0">
      <text>
        <t>per-shot TOTAL across 5 main warhead(s).
raw warhead damages: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6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6" authorId="0" shapeId="0">
      <text>
        <t>fires when: !lockedon</t>
      </text>
    </comment>
    <comment ref="L47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7" authorId="0" shapeId="0">
      <text>
        <t>fires when: lockedon</t>
      </text>
    </comment>
    <comment ref="L4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5 main warhead(s).
raw warhead damages: 6000, 3, 6000, 3, 6000, 3,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4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4 main warhead(s).
raw warhead damages: 2000, 1, 2000, 1000,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7" authorId="0" shapeId="0">
      <text>
        <t>per-shot TOTAL across 4 main warhead(s).
raw warhead damages: 8000, 4, 8000, 4,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9" authorId="0" shapeId="0">
      <text>
        <t>per-shot TOTAL across 3 main warhead(s).
raw warhead damages: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undeployed</t>
      </text>
    </comment>
    <comment ref="L60" authorId="0" shapeId="0">
      <text>
        <t>per-shot TOTAL across 1 main warhead(s).
raw warhead damages: 32000, 16,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deployed</t>
      </text>
    </comment>
    <comment ref="L63" authorId="0" shapeId="0">
      <text>
        <t>per-shot TOTAL across 1 main warhead(s).
raw warhead damages: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4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6" authorId="0" shapeId="0">
      <text>
        <t>per-shot TOTAL across 3 main warhead(s).
raw warhead damages: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6" authorId="0" shapeId="0">
      <text>
        <t>fires when: undeployed</t>
      </text>
    </comment>
    <comment ref="L67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7" authorId="0" shapeId="0">
      <text>
        <t>fires when: deployed</t>
      </text>
    </comment>
    <comment ref="L69" authorId="0" shapeId="0">
      <text>
        <t>per-shot TOTAL across 5 main warhead(s).
raw warhead damages: 4000, 2,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1" authorId="0" shapeId="0">
      <text>
        <t>per-shot TOTAL across 4 main warhead(s).
raw warhead damages: 4000, 2, 4000, 2, 4000, 2000,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2" authorId="0" shapeId="0">
      <text>
        <t>per-shot TOTAL across 4 main warhead(s).
raw warhead damages: 4000, 2000,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5" authorId="0" shapeId="0">
      <text>
        <t>per-shot TOTAL across 9 main warhead(s).
raw warhead damages: 4000, 2, 4000, 2, 4000, 2, 1000, 4000, 2, 4000, 2, 4000, 2, 4000, 2, 4000, 2, 4000, 2,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6" authorId="0" shapeId="0">
      <text>
        <t>per-shot TOTAL across 9 main warhead(s).
raw warhead damages: 16000, 8, 16000, 8, 16000, 8, 1000, 16000, 8, 16000, 8, 16000, 8, 16000, 8, 16000, 8, 16000, 8,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6" authorId="0" shapeId="0">
      <text>
        <t>fires when: terran_upgrade_yamatocannonandtacticaljumpupgrade</t>
      </text>
    </comment>
    <comment ref="L79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8 main warhead(s).
raw warhead damages: 6000, 3, 6000, 3, 1000, 6000, 3, 6000, 3, 6000, 3, 6000, 3, 6000, 3, 6000, 3,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2" authorId="0" shapeId="0">
      <text>
        <t>per-shot TOTAL across 9 main warhead(s).
raw warhead damages: 16000, 8, 16000, 8, 16000, 8, 1000, 16000, 8, 16000, 8, 16000, 8, 16000, 8, 16000, 8, 16000, 8,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terran_upgrade_yamatocannonandtacticaljumpupgrade</t>
      </text>
    </comment>
    <comment ref="L84" authorId="0" shapeId="0">
      <text>
        <t>per-shot TOTAL across 2 main warhead(s).
raw warhead damages: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6" authorId="0" shapeId="0">
      <text>
        <t>per-shot TOTAL across 2 main warhead(s).
raw warhead damages: -2000, -1000, -1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0" authorId="0" shapeId="0">
      <text>
        <t>per-shot TOTAL across 1 main warhead(s).
raw warhead damages: 100000, 50, 50000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2" authorId="0" shapeId="0">
      <text>
        <t>per-shot TOTAL across 1 main warhead(s).
raw warhead damages: 16000, 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3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4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6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7" authorId="0" shapeId="0">
      <text>
        <t>per-shot TOTAL across 4 main warhead(s).
raw warhead damages: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99" authorId="0" shapeId="0">
      <text>
        <t>per-shot TOTAL across 1 main warhead(s).
raw warhead damages: 16000, 8, 1000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0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1" authorId="0" shapeId="0">
      <text>
        <t>per-shot TOTAL across 5 main warhead(s).
raw warhead damages: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3" authorId="0" shapeId="0">
      <text>
        <t>per-shot TOTAL across 8 main warhead(s).
raw warhead damages: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4" authorId="0" shapeId="0">
      <text>
        <t>per-shot TOTAL across 8 main warhead(s).
raw warhead damages: 2000, 1, 2000, 1, 2000, 1, 2000,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09" authorId="0" shapeId="0">
      <text>
        <t>per-shot TOTAL across 5 main warhead(s).
raw warhead damages: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0" authorId="0" shapeId="0">
      <text>
        <t>per-shot TOTAL across 5 main warhead(s).
raw warhead damages: 4000,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12" authorId="0" shapeId="0">
      <text>
        <t>per-shot TOTAL across 4 main warhead(s).
raw warhead damages: 2000, 1, 2000, 1, 2000, 1, 2000, 1, 600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12" authorId="0" shapeId="0">
      <text>
        <t>fires when: !schwarzermond_upgrade_crystallens</t>
      </text>
    </comment>
  </commentList>
</comments>
</file>

<file path=xl/comments/comment30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(FSD_cond_1 &amp;&amp; !wc2_cond_bot_owner) || (FSD_cond_1_AI &amp;&amp; wc2_cond_bot_owner) || (FSD_cond_2 &amp;&amp; !deathknighthaste_upg) || (FSD_cond_3 &amp;&amp; !deathknightdeathanddecay_upg) || (FSD_cond_4 &amp;&amp; !deathknightraisedead_upg)</t>
      </text>
    </comment>
    <comment ref="L5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(FSD_cond_1 &amp;&amp; !wc2_cond_bot_owner) || (FSD_cond_1_AI &amp;&amp; wc2_cond_bot_owner)</t>
      </text>
    </comment>
    <comment ref="L7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(FSD_cond_1 &amp;&amp; !wc2_cond_bot_owner) || (FSD_cond_1_AI &amp;&amp; wc2_cond_bot_owner)</t>
      </text>
    </comment>
    <comment ref="L8" authorId="0" shapeId="0">
      <text>
        <t>per-shot TOTAL across 2 main warhead(s).
raw warhead damages: 8000, 4,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" authorId="0" shapeId="0">
      <text>
        <t>fires when: (FSD_cond_1 &amp;&amp; !wc2_cond_bot_owner) || (FSD_cond_1_AI &amp;&amp; wc2_cond_bot_owner)</t>
      </text>
    </comment>
    <comment ref="AB9" authorId="0" shapeId="0">
      <text>
        <t>fires when: FSD_cond_2 &amp;&amp; deathknighthaste_upg</t>
      </text>
    </comment>
    <comment ref="AB10" authorId="0" shapeId="0">
      <text>
        <t>fires when: FSD_cond_3 &amp;&amp; deathknightdeathanddecay_upg</t>
      </text>
    </comment>
    <comment ref="AB11" authorId="0" shapeId="0">
      <text>
        <t>fires when: FSD_cond_4 &amp;&amp; deathknightraisedead_upg</t>
      </text>
    </comment>
    <comment ref="L13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18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19" authorId="0" shapeId="0">
      <text>
        <t>fires when: FSD_cond_2</t>
      </text>
    </comment>
    <comment ref="AB20" authorId="0" shapeId="0">
      <text>
        <t>fires when: FSD_cond_3 &amp;&amp; ogremagebloodlust_upg</t>
      </text>
    </comment>
    <comment ref="AB21" authorId="0" shapeId="0">
      <text>
        <t>fires when: FSD_cond_4 &amp;&amp; ogremagerunes_upg</t>
      </text>
    </comment>
    <comment ref="L23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4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6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7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9" authorId="0" shapeId="0">
      <text>
        <t>per-shot TOTAL across 9 main warhead(s).
raw warhead damages: 1000, 2, 600, 4000, 2, 4000, 2,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0" authorId="0" shapeId="0">
      <text>
        <t>per-shot TOTAL across 9 main warhead(s).
raw warhead damages: 1000, 2, 600, 4000, 2, 4000, 2,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1 main warhead(s).
raw warhead damages: 24000, 12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5" authorId="0" shapeId="0">
      <text>
        <t>per-shot TOTAL across 4 main warhead(s).
raw warhead damages: 30000, 15000, 15, 30000, 15, 30000, 15000,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7" authorId="0" shapeId="0">
      <text>
        <t>fires when: !cond_deployed</t>
      </text>
    </comment>
    <comment ref="L38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8" authorId="0" shapeId="0">
      <text>
        <t>fires when: cond_deployed</t>
      </text>
    </comment>
    <comment ref="L41" authorId="0" shapeId="0">
      <text>
        <t>per-shot TOTAL across 1 main warhead(s).
raw warhead damages: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42" authorId="0" shapeId="0">
      <text>
        <t>fires when: FSD_cond_2</t>
      </text>
    </comment>
    <comment ref="AB43" authorId="0" shapeId="0">
      <text>
        <t>fires when: FSD_cond_3 &amp;&amp; ogremagebloodlust_upg</t>
      </text>
    </comment>
    <comment ref="AB44" authorId="0" shapeId="0">
      <text>
        <t>fires when: FSD_cond_4 &amp;&amp; ogremagerunes_upg</t>
      </text>
    </comment>
    <comment ref="L46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8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1" authorId="0" shapeId="0">
      <text>
        <t>per-shot TOTAL across 15 main warhead(s).
raw warhead damages: 2000, 1, 2000, 1, 2000, 1, 2000, 1, 2000, 1, 2000, 1,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15 main warhead(s).
raw warhead damages: 2000, 1, 2000, 1, 2000, 1, 2000, 1, 2000, 1, 2000, 1,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6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6" authorId="0" shapeId="0">
      <text>
        <t>fires when: guard</t>
      </text>
    </comment>
    <comment ref="L57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cannon</t>
      </text>
    </comment>
    <comment ref="L59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9" authorId="0" shapeId="0">
      <text>
        <t>fires when: guard</t>
      </text>
    </comment>
    <comment ref="L60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0" authorId="0" shapeId="0">
      <text>
        <t>fires when: cannon</t>
      </text>
    </comment>
    <comment ref="L62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2" authorId="0" shapeId="0">
      <text>
        <t>fires when: guard</t>
      </text>
    </comment>
    <comment ref="L63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3" authorId="0" shapeId="0">
      <text>
        <t>fires when: cannon</t>
      </text>
    </comment>
  </commentList>
</comments>
</file>

<file path=xl/comments/comment31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5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" authorId="0" shapeId="0">
      <text>
        <t>fires when: (FSD_cond_1 &amp;&amp; !wc2_cond_bot_owner) || (FSD_cond_1_AI &amp;&amp; wc2_cond_bot_owner)</t>
      </text>
    </comment>
    <comment ref="L7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" authorId="0" shapeId="0">
      <text>
        <t>fires when: (FSD_cond_1 &amp;&amp; !wc2_cond_bot_owner) || (FSD_cond_1_AI &amp;&amp; wc2_cond_bot_owner)</t>
      </text>
    </comment>
    <comment ref="AB8" authorId="0" shapeId="0">
      <text>
        <t>fires when: FSD_cond_2 &amp;&amp; mageslow_upg</t>
      </text>
    </comment>
    <comment ref="AB9" authorId="0" shapeId="0">
      <text>
        <t>fires when: FSD_cond_3 &amp;&amp; magepolymorph_upg</t>
      </text>
    </comment>
    <comment ref="AB10" authorId="0" shapeId="0">
      <text>
        <t>fires when: FSD_cond_4 &amp;&amp; mageblizzard_upg</t>
      </text>
    </comment>
    <comment ref="L12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3" authorId="0" shapeId="0">
      <text>
        <t>per-shot TOTAL across 3 main warhead(s).
raw warhead damages: 8000, 4, 1000, 8000, 4, 8000, 4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5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6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8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19" authorId="0" shapeId="0">
      <text>
        <t>per-shot TOTAL across 6 main warhead(s).
raw warhead damages: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1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23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3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24" authorId="0" shapeId="0">
      <text>
        <t>fires when: FSD_cond_3 &amp;&amp; paladinhealing_upg</t>
      </text>
    </comment>
    <comment ref="AB25" authorId="0" shapeId="0">
      <text>
        <t>fires when: FSD_cond_4 &amp;&amp; paladinexorcism_upg</t>
      </text>
    </comment>
    <comment ref="L27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27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28" authorId="0" shapeId="0">
      <text>
        <t>fires when: FSD_cond_3 &amp;&amp; paladinhealing_upg</t>
      </text>
    </comment>
    <comment ref="AB29" authorId="0" shapeId="0">
      <text>
        <t>fires when: FSD_cond_4 &amp;&amp; paladinexorcism_upg</t>
      </text>
    </comment>
    <comment ref="L31" authorId="0" shapeId="0">
      <text>
        <t>per-shot TOTAL across 9 main warhead(s).
raw warhead damages: 1000, 2, 600, 4000, 2, 4000, 2,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2" authorId="0" shapeId="0">
      <text>
        <t>per-shot TOTAL across 9 main warhead(s).
raw warhead damages: 1000, 2, 600, 4000, 2, 4000, 2, 4000, 2, 4000, 2, 4000, 2, 4000, 2000,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34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4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5" authorId="0" shapeId="0">
      <text>
        <t>fires when: FSD_cond_2</t>
      </text>
    </comment>
    <comment ref="AB36" authorId="0" shapeId="0">
      <text>
        <t>fires when: FSD_cond_3 &amp;&amp; paladinhealing_upg</t>
      </text>
    </comment>
    <comment ref="AB37" authorId="0" shapeId="0">
      <text>
        <t>fires when: FSD_cond_4 &amp;&amp; paladinexorcism_upg</t>
      </text>
    </comment>
    <comment ref="L39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39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40" authorId="0" shapeId="0">
      <text>
        <t>per-shot TOTAL across 1 main warhead(s).
raw warhead damages: 8000, 4, 4000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1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1" authorId="0" shapeId="0">
      <text>
        <t>fires when: (FSD_cond_1 &amp;&amp; !wc2_cond_bot_owner) || (FSD_cond_1_AI &amp;&amp; wc2_cond_bot_owner)</t>
      </text>
    </comment>
    <comment ref="L42" authorId="0" shapeId="0">
      <text>
        <t>per-shot TOTAL across 9 main warhead(s).
raw warhead damages: 2000, 1, 2000, 1, 2000, 1, 2000, 1000, 1, 2000, 1000, 1, 2000, 1, 2000, 1, 2000, 1, 2000, 1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42" authorId="0" shapeId="0">
      <text>
        <t>fires when: (FSD_cond_1 &amp;&amp; !wc2_cond_bot_owner) || (FSD_cond_1_AI &amp;&amp; wc2_cond_bot_owner)</t>
      </text>
    </comment>
    <comment ref="AB43" authorId="0" shapeId="0">
      <text>
        <t>fires when: FSD_cond_2 &amp;&amp; mageslow_upg</t>
      </text>
    </comment>
    <comment ref="AB44" authorId="0" shapeId="0">
      <text>
        <t>fires when: FSD_cond_3 &amp;&amp; magepolymorph_upg</t>
      </text>
    </comment>
    <comment ref="AB45" authorId="0" shapeId="0">
      <text>
        <t>fires when: FSD_cond_4 &amp;&amp; mageblizzard_upg</t>
      </text>
    </comment>
    <comment ref="L47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49" authorId="0" shapeId="0">
      <text>
        <t>per-shot TOTAL across 4 main warhead(s).
raw warhead damages: 20000, 10, 20000, 10, 20000, 10,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0" authorId="0" shapeId="0">
      <text>
        <t>per-shot TOTAL across 4 main warhead(s).
raw warhead damages: 20000, 10, 20000, 10, 20000, 10, 20000, 10000, 10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2" authorId="0" shapeId="0">
      <text>
        <t>per-shot TOTAL across 1 main warhead(s).
raw warhead damages: 18000, 9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55" authorId="0" shapeId="0">
      <text>
        <t>per-shot TOTAL across 3 main warhead(s).
raw warhead damages: 30000, 15, 30000, 15, 30000, 15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7" authorId="0" shapeId="0">
      <text>
        <t>fires when: !cond_deployed</t>
      </text>
    </comment>
    <comment ref="L58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58" authorId="0" shapeId="0">
      <text>
        <t>fires when: cond_deployed</t>
      </text>
    </comment>
    <comment ref="L61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61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62" authorId="0" shapeId="0">
      <text>
        <t>fires when: FSD_cond_2</t>
      </text>
    </comment>
    <comment ref="AB63" authorId="0" shapeId="0">
      <text>
        <t>fires when: FSD_cond_3 &amp;&amp; paladinhealing_upg</t>
      </text>
    </comment>
    <comment ref="AB64" authorId="0" shapeId="0">
      <text>
        <t>fires when: FSD_cond_4 &amp;&amp; paladinexorcism_upg</t>
      </text>
    </comment>
    <comment ref="L66" authorId="0" shapeId="0">
      <text>
        <t>per-shot TOTAL across 1 main warhead(s).
raw warhead damages: 12000, 6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68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70" authorId="0" shapeId="0">
      <text>
        <t>per-shot TOTAL across 1 main warhead(s).
raw warhead damages: 16000, 8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7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71" authorId="0" shapeId="0">
      <text>
        <t>fires when: FSD_cond_2</t>
      </text>
    </comment>
    <comment ref="AB72" authorId="0" shapeId="0">
      <text>
        <t>fires when: FSD_cond_3 &amp;&amp; paladinhealing_upg</t>
      </text>
    </comment>
    <comment ref="AB73" authorId="0" shapeId="0">
      <text>
        <t>fires when: FSD_cond_4 &amp;&amp; paladinexorcism_upg</t>
      </text>
    </comment>
    <comment ref="L77" authorId="0" shapeId="0">
      <text>
        <t>per-shot TOTAL across 4 main warhead(s).
raw warhead damages: 10000, 5, 10000, 5, 10000, 5, 10000, 5000, 5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L81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1" authorId="0" shapeId="0">
      <text>
        <t>fires when: guard</t>
      </text>
    </comment>
    <comment ref="L82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2" authorId="0" shapeId="0">
      <text>
        <t>fires when: cannon</t>
      </text>
    </comment>
    <comment ref="L84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4" authorId="0" shapeId="0">
      <text>
        <t>fires when: guard</t>
      </text>
    </comment>
    <comment ref="L85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5" authorId="0" shapeId="0">
      <text>
        <t>fires when: cannon</t>
      </text>
    </comment>
    <comment ref="L87" authorId="0" shapeId="0">
      <text>
        <t>per-shot TOTAL across 3 main warhead(s).
raw warhead damages: 6000, 3, 1000, 6000, 3, 6000, 3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7" authorId="0" shapeId="0">
      <text>
        <t>fires when: guard</t>
      </text>
    </comment>
    <comment ref="L88" authorId="0" shapeId="0">
      <text>
        <t>per-shot TOTAL across 15 main warhead(s).
raw warhead damages: 4000, 2, 4000, 2, 4000, 2, 4000, 2, 4000, 2, 4000, 2, 4000, 2, 4000, 2, 4000, 2, 4000, 2000, 2, 4000, 2000, 2, 4000, 2, 4000, 2, 4000, 2, 4000, 2
editing this gives every main warhead the IDENTICAL value total/N snapped to the 2000 grid (FriendlyFire + ExtraDamage twins 50%, Percentage twins 1 per 2000; ExtraDamage excluded from the total). Fine-tune the effective damage with the actor FirepowerMultiplier.</t>
      </text>
    </comment>
    <comment ref="AB88" authorId="0" shapeId="0">
      <text>
        <t>fires when: cannon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cameo_balance_by_faction — generated workbench (build_workbook.py).</t>
        </is>
      </c>
    </row>
    <row r="2">
      <c r="A2" s="1" t="inlineStr">
        <is>
          <t>NEVER commit this file; regenerate from the ledger.</t>
        </is>
      </c>
    </row>
    <row r="3">
      <c r="A3" s="1" t="inlineStr">
        <is>
          <t>Formula law (formula.py, Tiger anchor O=P=Q=Cost=800):</t>
        </is>
      </c>
    </row>
    <row r="4">
      <c r="A4" s="2" t="inlineStr">
        <is>
          <t>DPS</t>
        </is>
      </c>
      <c r="B4" t="inlineStr">
        <is>
          <t>Damage*Burst/(Reload+BurstDel*(Burst-1))*FirepowerMultiplier/100</t>
        </is>
      </c>
    </row>
    <row r="5">
      <c r="A5" s="2" t="inlineStr">
        <is>
          <t>WeapClass</t>
        </is>
      </c>
      <c r="B5" t="inlineStr">
        <is>
          <t>design data only — retired from pricing 2026-08-11 (W4)</t>
        </is>
      </c>
    </row>
    <row r="6">
      <c r="A6" s="2" t="inlineStr">
        <is>
          <t>O</t>
        </is>
      </c>
      <c r="B6" t="inlineStr">
        <is>
          <t>(HP/1e5+Speed/100+Rng*Spec/5+DPS/200)*200*UC*Tier</t>
        </is>
      </c>
    </row>
    <row r="7">
      <c r="A7" s="2" t="inlineStr">
        <is>
          <t>P</t>
        </is>
      </c>
      <c r="B7" t="inlineStr">
        <is>
          <t>((HP*Speed/25000)+(Rng*Spec*DPS/2.5))*UC*Tier</t>
        </is>
      </c>
    </row>
    <row r="8">
      <c r="A8" s="2" t="inlineStr">
        <is>
          <t>Q</t>
        </is>
      </c>
      <c r="B8" t="inlineStr">
        <is>
          <t>(HP*Speed*Rng*Spec*DPS*UC*Tier)/12.5e6</t>
        </is>
      </c>
    </row>
    <row r="9">
      <c r="A9" s="2" t="inlineStr">
        <is>
          <t>Price</t>
        </is>
      </c>
      <c r="B9" t="inlineStr">
        <is>
          <t>(O+P+Q)/3   |   RangeSolve: price(range)=Cost, 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E6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L4" s="6" t="n"/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L5" s="6" t="n"/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/>
    </row>
    <row r="6">
      <c r="A6" s="4" t="inlineStr">
        <is>
          <t>AIRCRAFT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shared</t>
        </is>
      </c>
      <c r="B7" t="inlineStr">
        <is>
          <t>TRAN</t>
        </is>
      </c>
      <c r="C7" t="inlineStr">
        <is>
          <t>Chinook Transport</t>
        </is>
      </c>
      <c r="D7" s="6" t="inlineStr">
        <is>
          <t>UnarmedTransportHelicopter</t>
        </is>
      </c>
      <c r="E7" s="6" t="n">
        <v>100000</v>
      </c>
      <c r="F7" s="6" t="n">
        <v>150</v>
      </c>
      <c r="G7" t="inlineStr">
        <is>
          <t>Helicopter</t>
        </is>
      </c>
      <c r="H7" s="6" t="n">
        <v>1</v>
      </c>
      <c r="I7" s="6" t="n">
        <v>1</v>
      </c>
      <c r="J7" s="6" t="n">
        <v>1</v>
      </c>
      <c r="K7" s="6" t="n"/>
      <c r="X7" s="6" t="n">
        <v>1500</v>
      </c>
    </row>
    <row r="8">
      <c r="A8" s="4" t="inlineStr">
        <is>
          <t>BUILDINGS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t="inlineStr">
        <is>
          <t>shared</t>
        </is>
      </c>
      <c r="B9" t="inlineStr">
        <is>
          <t>BRIK</t>
        </is>
      </c>
      <c r="C9" t="inlineStr">
        <is>
          <t>Concrete Barrier</t>
        </is>
      </c>
      <c r="D9" s="6" t="inlineStr">
        <is>
          <t>Building</t>
        </is>
      </c>
      <c r="E9" s="6" t="n">
        <v>100000</v>
      </c>
      <c r="F9" s="6" t="n"/>
      <c r="G9" t="inlineStr">
        <is>
          <t>Concrete</t>
        </is>
      </c>
      <c r="H9" s="6" t="n">
        <v>1</v>
      </c>
      <c r="I9" s="6" t="n">
        <v>1</v>
      </c>
      <c r="J9" s="6" t="n">
        <v>1</v>
      </c>
      <c r="K9" s="6" t="n"/>
      <c r="X9" s="6" t="n">
        <v>200</v>
      </c>
    </row>
    <row r="10">
      <c r="A10" t="inlineStr">
        <is>
          <t>shared</t>
        </is>
      </c>
      <c r="B10" t="inlineStr">
        <is>
          <t>FENC</t>
        </is>
      </c>
      <c r="C10" t="inlineStr">
        <is>
          <t>Wire Fence</t>
        </is>
      </c>
      <c r="D10" s="6" t="inlineStr">
        <is>
          <t>Building</t>
        </is>
      </c>
      <c r="E10" s="6" t="n">
        <v>25000</v>
      </c>
      <c r="F10" s="6" t="n"/>
      <c r="G10" t="inlineStr">
        <is>
          <t>Light</t>
        </is>
      </c>
      <c r="H10" s="6" t="n">
        <v>1</v>
      </c>
      <c r="I10" s="6" t="n">
        <v>1</v>
      </c>
      <c r="J10" s="6" t="n">
        <v>1</v>
      </c>
      <c r="K10" s="6" t="n"/>
      <c r="X10" s="6" t="n">
        <v>25</v>
      </c>
    </row>
    <row r="11">
      <c r="A11" t="inlineStr">
        <is>
          <t>shared</t>
        </is>
      </c>
      <c r="B11" t="inlineStr">
        <is>
          <t>NUK2</t>
        </is>
      </c>
      <c r="C11" t="inlineStr">
        <is>
          <t>Advanced Power Plant</t>
        </is>
      </c>
      <c r="D11" s="6" t="inlineStr">
        <is>
          <t>Building</t>
        </is>
      </c>
      <c r="E11" s="6" t="n">
        <v>300000</v>
      </c>
      <c r="F11" s="6" t="n"/>
      <c r="G11" t="inlineStr">
        <is>
          <t>Wood</t>
        </is>
      </c>
      <c r="H11" s="6" t="n">
        <v>1</v>
      </c>
      <c r="I11" s="6" t="n">
        <v>1</v>
      </c>
      <c r="J11" s="6" t="n">
        <v>1</v>
      </c>
      <c r="K11" s="6" t="n"/>
      <c r="X11" s="6" t="n">
        <v>1000</v>
      </c>
    </row>
    <row r="12">
      <c r="A12" t="inlineStr">
        <is>
          <t>shared</t>
        </is>
      </c>
      <c r="B12" t="inlineStr">
        <is>
          <t>NUKE</t>
        </is>
      </c>
      <c r="C12" t="inlineStr">
        <is>
          <t>Power Plant</t>
        </is>
      </c>
      <c r="D12" s="6" t="inlineStr">
        <is>
          <t>Building</t>
        </is>
      </c>
      <c r="E12" s="6" t="n">
        <v>150000</v>
      </c>
      <c r="F12" s="6" t="n"/>
      <c r="G12" t="inlineStr">
        <is>
          <t>Wood</t>
        </is>
      </c>
      <c r="H12" s="6" t="n">
        <v>1</v>
      </c>
      <c r="I12" s="6" t="n">
        <v>1</v>
      </c>
      <c r="J12" s="6" t="n">
        <v>1</v>
      </c>
      <c r="K12" s="6" t="n"/>
      <c r="X12" s="6" t="n">
        <v>500</v>
      </c>
    </row>
    <row r="13">
      <c r="A13" t="inlineStr">
        <is>
          <t>shared</t>
        </is>
      </c>
      <c r="B13" t="inlineStr">
        <is>
          <t>SBAG</t>
        </is>
      </c>
      <c r="C13" t="inlineStr">
        <is>
          <t>Sandbag Barrier</t>
        </is>
      </c>
      <c r="D13" s="6" t="inlineStr">
        <is>
          <t>Building</t>
        </is>
      </c>
      <c r="E13" s="6" t="n">
        <v>50000</v>
      </c>
      <c r="F13" s="6" t="n"/>
      <c r="G13" t="inlineStr">
        <is>
          <t>Medium</t>
        </is>
      </c>
      <c r="H13" s="6" t="n">
        <v>1</v>
      </c>
      <c r="I13" s="6" t="n">
        <v>1</v>
      </c>
      <c r="J13" s="6" t="n">
        <v>1</v>
      </c>
      <c r="K13" s="6" t="n"/>
      <c r="X13" s="6" t="n">
        <v>50</v>
      </c>
    </row>
    <row r="14">
      <c r="A14" t="inlineStr">
        <is>
          <t>shared</t>
        </is>
      </c>
      <c r="B14" t="inlineStr">
        <is>
          <t>SILO</t>
        </is>
      </c>
      <c r="C14" t="inlineStr">
        <is>
          <t>Tiberium Silo</t>
        </is>
      </c>
      <c r="D14" s="6" t="inlineStr">
        <is>
          <t>Building</t>
        </is>
      </c>
      <c r="E14" s="6" t="n">
        <v>100000</v>
      </c>
      <c r="F14" s="6" t="n"/>
      <c r="G14" t="inlineStr">
        <is>
          <t>Wood</t>
        </is>
      </c>
      <c r="H14" s="6" t="n">
        <v>1</v>
      </c>
      <c r="I14" s="6" t="n">
        <v>1</v>
      </c>
      <c r="J14" s="6" t="n">
        <v>1</v>
      </c>
      <c r="K14" s="6" t="n"/>
      <c r="X14" s="6" t="n">
        <v>100</v>
      </c>
    </row>
    <row r="15">
      <c r="A15" t="inlineStr">
        <is>
          <t>shared</t>
        </is>
      </c>
      <c r="B15" t="inlineStr">
        <is>
          <t>cycl</t>
        </is>
      </c>
      <c r="C15" t="inlineStr">
        <is>
          <t>Chain Link Fence</t>
        </is>
      </c>
      <c r="D15" s="6" t="inlineStr">
        <is>
          <t>Building</t>
        </is>
      </c>
      <c r="E15" s="6" t="n">
        <v>75000</v>
      </c>
      <c r="F15" s="6" t="n"/>
      <c r="G15" t="inlineStr">
        <is>
          <t>Heavy</t>
        </is>
      </c>
      <c r="H15" s="6" t="n">
        <v>1</v>
      </c>
      <c r="I15" s="6" t="n">
        <v>1</v>
      </c>
      <c r="J15" s="6" t="n">
        <v>1</v>
      </c>
      <c r="K15" s="6" t="n"/>
      <c r="X15" s="6" t="n">
        <v>75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E1</t>
        </is>
      </c>
      <c r="C3" t="inlineStr">
        <is>
          <t>GDI Minigunner</t>
        </is>
      </c>
      <c r="D3" s="6" t="inlineStr">
        <is>
          <t>ScoutInfantry</t>
        </is>
      </c>
      <c r="E3" s="6" t="n">
        <v>31000</v>
      </c>
      <c r="F3" s="6" t="n">
        <v>63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(((E3/20000)+(F3/60)+(S3/60)+((P3/5000)*J3))*100/4+(((E3/20000)*(F3/60))+(((P3/5000)*J3)*(S3/60)))*100/2+((E3/20000)*(F3/60)*((P3/5000)*J3)*(S3/60))*100)*(H3/1.0)/3</f>
        <v/>
      </c>
      <c r="X3" s="6" t="n">
        <v>100</v>
      </c>
      <c r="Y3">
        <f>IFERROR(W3-X3,"")</f>
        <v/>
      </c>
      <c r="Z3">
        <f>IFERROR(ABS(Y3)/MAX(X3,1),"")</f>
        <v/>
      </c>
      <c r="AA3">
        <f>IFERROR(ROUND(((3*X3-(((E3/20000)+(F3/60)+(S3/60))*100/4+((E3/20000)*(F3/60))*100/2)*(H3/1.0))/(100/4+((S3/60))*100/2+((E3/20000)*(F3/60)*(S3/60))*100)*(H3/1.0)*5000)/J3,-1),"")</f>
        <v/>
      </c>
    </row>
    <row r="4">
      <c r="B4" s="7" t="inlineStr">
        <is>
          <t xml:space="preserve">  ↳ td_gdi_minigunner_minigun</t>
        </is>
      </c>
      <c r="C4" s="7" t="inlineStr">
        <is>
          <t>Armament@PRIMARY</t>
        </is>
      </c>
      <c r="L4" s="6" t="n">
        <v>2000</v>
      </c>
      <c r="M4" s="6" t="n">
        <v>50</v>
      </c>
      <c r="N4" s="6" t="n">
        <v>4</v>
      </c>
      <c r="O4" s="6" t="n">
        <v>3</v>
      </c>
      <c r="P4" s="6" t="n">
        <v>5499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^Warhead_Bullet_Light</t>
        </is>
      </c>
    </row>
    <row r="5">
      <c r="B5" s="7" t="inlineStr">
        <is>
          <t xml:space="preserve">  ↳ td_gdi_minigunner_minigun</t>
        </is>
      </c>
      <c r="C5" s="7" t="inlineStr">
        <is>
          <t>Armament@GARRISONED</t>
        </is>
      </c>
      <c r="L5" s="6" t="n">
        <v>2000</v>
      </c>
      <c r="M5" s="6" t="n">
        <v>50</v>
      </c>
      <c r="N5" s="6" t="n">
        <v>4</v>
      </c>
      <c r="O5" s="6" t="n">
        <v>3</v>
      </c>
      <c r="P5" s="6" t="n">
        <v>5499</v>
      </c>
      <c r="Q5" s="6" t="n">
        <v>0.75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^Warhead_Bullet_Light</t>
        </is>
      </c>
    </row>
    <row r="6">
      <c r="B6" s="7" t="inlineStr">
        <is>
          <t xml:space="preserve">  ↳ td_gdi_minigunner_minigun_ap</t>
        </is>
      </c>
      <c r="C6" s="7" t="inlineStr">
        <is>
          <t>Armament@Upgrade</t>
        </is>
      </c>
      <c r="L6" s="6" t="n">
        <v>4000</v>
      </c>
      <c r="M6" s="6" t="n">
        <v>45</v>
      </c>
      <c r="N6" s="6" t="n">
        <v>4</v>
      </c>
      <c r="O6" s="6" t="n">
        <v>3</v>
      </c>
      <c r="P6" s="6" t="n">
        <v>4600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^Warhead_Bullet_Medium</t>
        </is>
      </c>
    </row>
    <row r="7">
      <c r="B7" s="7" t="inlineStr">
        <is>
          <t xml:space="preserve">  ↳ td_gdi_minigunner_minigun_ap</t>
        </is>
      </c>
      <c r="C7" s="7" t="inlineStr">
        <is>
          <t>Armament@UpgradeGARRISONED</t>
        </is>
      </c>
      <c r="L7" s="6" t="n">
        <v>4000</v>
      </c>
      <c r="M7" s="6" t="n">
        <v>45</v>
      </c>
      <c r="N7" s="6" t="n">
        <v>4</v>
      </c>
      <c r="O7" s="6" t="n">
        <v>3</v>
      </c>
      <c r="P7" s="6" t="n">
        <v>4600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^Warhead_Bullet_Medium</t>
        </is>
      </c>
    </row>
    <row r="8">
      <c r="A8" t="inlineStr">
        <is>
          <t>tiberiandawn</t>
        </is>
      </c>
      <c r="B8" t="inlineStr">
        <is>
          <t>E3</t>
        </is>
      </c>
      <c r="C8" t="inlineStr">
        <is>
          <t>GDI Rocket Soldier</t>
        </is>
      </c>
      <c r="D8" s="6" t="inlineStr">
        <is>
          <t>AntiTankAntiAirInfantry</t>
        </is>
      </c>
      <c r="E8" s="6" t="n">
        <v>9000</v>
      </c>
      <c r="F8" s="6" t="n">
        <v>50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K8" s="6" t="n"/>
      <c r="P8">
        <f>MAX(P9,P11)</f>
        <v/>
      </c>
      <c r="S8">
        <f>S9+S11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300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Rockets</t>
        </is>
      </c>
      <c r="C9" s="7" t="inlineStr">
        <is>
          <t>Armament@PRIMARY</t>
        </is>
      </c>
      <c r="L9" s="6" t="n">
        <v>18000</v>
      </c>
      <c r="M9" s="6" t="n">
        <v>63</v>
      </c>
      <c r="N9" s="6" t="n">
        <v>1</v>
      </c>
      <c r="O9" s="6" t="n"/>
      <c r="P9" s="6" t="n">
        <v>6368</v>
      </c>
      <c r="Q9" s="6" t="n">
        <v>0.75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^Warhead_MissileAP_Light</t>
        </is>
      </c>
    </row>
    <row r="10">
      <c r="B10" s="7" t="inlineStr">
        <is>
          <t xml:space="preserve">  ↳ Rockets</t>
        </is>
      </c>
      <c r="C10" s="7" t="inlineStr">
        <is>
          <t>Armament@GARRISONED</t>
        </is>
      </c>
      <c r="L10" s="6" t="n">
        <v>18000</v>
      </c>
      <c r="M10" s="6" t="n">
        <v>63</v>
      </c>
      <c r="N10" s="6" t="n">
        <v>1</v>
      </c>
      <c r="O10" s="6" t="n"/>
      <c r="P10" s="6" t="n">
        <v>6368</v>
      </c>
      <c r="Q10" s="6" t="n">
        <v>0.75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^Warhead_MissileAP_Light</t>
        </is>
      </c>
    </row>
    <row r="11">
      <c r="B11" s="7" t="inlineStr">
        <is>
          <t xml:space="preserve">  ↳ RocketsAMT</t>
        </is>
      </c>
      <c r="C11" s="7" t="inlineStr">
        <is>
          <t>Armament@AdvancedMissileTargeting</t>
        </is>
      </c>
      <c r="L11" s="6" t="n">
        <v>18000</v>
      </c>
      <c r="M11" s="6" t="n">
        <v>63</v>
      </c>
      <c r="N11" s="6" t="n">
        <v>1</v>
      </c>
      <c r="O11" s="6" t="n"/>
      <c r="P11" s="6" t="n">
        <v>6368</v>
      </c>
      <c r="Q11" s="6" t="n">
        <v>0.75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^Warhead_MissileAP_Light</t>
        </is>
      </c>
    </row>
    <row r="12">
      <c r="B12" s="7" t="inlineStr">
        <is>
          <t xml:space="preserve">  ↳ RocketsAMT</t>
        </is>
      </c>
      <c r="C12" s="7" t="inlineStr">
        <is>
          <t>Armament@AdvancedMissileTargetingGARRISONED</t>
        </is>
      </c>
      <c r="L12" s="6" t="n">
        <v>18000</v>
      </c>
      <c r="M12" s="6" t="n">
        <v>63</v>
      </c>
      <c r="N12" s="6" t="n">
        <v>1</v>
      </c>
      <c r="O12" s="6" t="n"/>
      <c r="P12" s="6" t="n">
        <v>6368</v>
      </c>
      <c r="Q12" s="6" t="n">
        <v>0.75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^Warhead_MissileAP_Light</t>
        </is>
      </c>
    </row>
    <row r="13">
      <c r="A13" t="inlineStr">
        <is>
          <t>tiberiandawn</t>
        </is>
      </c>
      <c r="B13" t="inlineStr">
        <is>
          <t>td_gdi_commando</t>
        </is>
      </c>
      <c r="C13" t="inlineStr">
        <is>
          <t>GDI Commando</t>
        </is>
      </c>
      <c r="D13" s="6" t="inlineStr">
        <is>
          <t>HeroInfantry</t>
        </is>
      </c>
      <c r="E13" s="6" t="n">
        <v>80000</v>
      </c>
      <c r="F13" s="6" t="n">
        <v>65</v>
      </c>
      <c r="G13" t="inlineStr">
        <is>
          <t>Heroic</t>
        </is>
      </c>
      <c r="H13" s="6" t="n">
        <v>0.3976</v>
      </c>
      <c r="I13" s="6" t="n">
        <v>1</v>
      </c>
      <c r="J13" s="6" t="n">
        <v>1</v>
      </c>
      <c r="K13" s="6" t="n"/>
      <c r="P13">
        <f>MAX(P16,P18)</f>
        <v/>
      </c>
      <c r="S13">
        <f>S16+S18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3000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TanyaAttach</t>
        </is>
      </c>
      <c r="C14" s="7" t="inlineStr">
        <is>
          <t>Armament@c4</t>
        </is>
      </c>
      <c r="L14" s="6" t="n"/>
      <c r="M14" s="6" t="n">
        <v>20</v>
      </c>
      <c r="N14" s="6" t="n">
        <v>1</v>
      </c>
      <c r="O14" s="6" t="n"/>
      <c r="P14" s="6" t="n">
        <v>2000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IvanAttach</t>
        </is>
      </c>
    </row>
    <row r="15">
      <c r="B15" s="7" t="inlineStr">
        <is>
          <t xml:space="preserve">  ↳ GenericC4</t>
        </is>
      </c>
      <c r="C15" s="7" t="inlineStr">
        <is>
          <t>Armament@c4building</t>
        </is>
      </c>
      <c r="L15" s="6" t="n"/>
      <c r="M15" s="6" t="n">
        <v>20</v>
      </c>
      <c r="N15" s="6" t="n">
        <v>1</v>
      </c>
      <c r="O15" s="6" t="n"/>
      <c r="P15" s="6" t="n">
        <v>2000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/>
    </row>
    <row r="16">
      <c r="B16" s="7" t="inlineStr">
        <is>
          <t xml:space="preserve">  ↳ td_gdi_commando_sniper</t>
        </is>
      </c>
      <c r="C16" s="7" t="inlineStr">
        <is>
          <t>Armament</t>
        </is>
      </c>
      <c r="L16" s="6" t="n">
        <v>40000</v>
      </c>
      <c r="M16" s="6" t="n">
        <v>25</v>
      </c>
      <c r="N16" s="6" t="n">
        <v>1</v>
      </c>
      <c r="O16" s="6" t="n"/>
      <c r="P16" s="6" t="n">
        <v>8086</v>
      </c>
      <c r="Q16" s="6" t="n">
        <v>0.75</v>
      </c>
      <c r="R16">
        <f>M16+IF(N16&gt;1,N(O16)*(N16-1),0)</f>
        <v/>
      </c>
      <c r="S16">
        <f>IFERROR(L16*MAX(N16,1)/R16*IF(ISBLANK(K13),1,K13),0)</f>
        <v/>
      </c>
      <c r="AB16" s="7" t="inlineStr">
        <is>
          <t>^Warhead_Sniper_Light</t>
        </is>
      </c>
    </row>
    <row r="17">
      <c r="B17" s="7" t="inlineStr">
        <is>
          <t xml:space="preserve">  ↳ td_gdi_commando_sniper</t>
        </is>
      </c>
      <c r="C17" s="7" t="inlineStr">
        <is>
          <t>Armament@GARRISONED</t>
        </is>
      </c>
      <c r="L17" s="6" t="n">
        <v>40000</v>
      </c>
      <c r="M17" s="6" t="n">
        <v>25</v>
      </c>
      <c r="N17" s="6" t="n">
        <v>1</v>
      </c>
      <c r="O17" s="6" t="n"/>
      <c r="P17" s="6" t="n">
        <v>8086</v>
      </c>
      <c r="Q17" s="6" t="n">
        <v>0.75</v>
      </c>
      <c r="R17">
        <f>M17+IF(N17&gt;1,N(O17)*(N17-1),0)</f>
        <v/>
      </c>
      <c r="S17">
        <f>IFERROR(L17*MAX(N17,1)/R17*IF(ISBLANK(K13),1,K13),0)</f>
        <v/>
      </c>
      <c r="AB17" s="7" t="inlineStr">
        <is>
          <t>^Warhead_Sniper_Light</t>
        </is>
      </c>
    </row>
    <row r="18">
      <c r="B18" s="7" t="inlineStr">
        <is>
          <t xml:space="preserve">  ↳ td_gdi_commando_sniper_elite</t>
        </is>
      </c>
      <c r="C18" s="7" t="inlineStr">
        <is>
          <t>Armament@Upgrade</t>
        </is>
      </c>
      <c r="L18" s="6" t="n">
        <v>40000</v>
      </c>
      <c r="M18" s="6" t="n">
        <v>25</v>
      </c>
      <c r="N18" s="6" t="n">
        <v>1</v>
      </c>
      <c r="O18" s="6" t="n"/>
      <c r="P18" s="6" t="n">
        <v>8086</v>
      </c>
      <c r="Q18" s="6" t="n">
        <v>1</v>
      </c>
      <c r="R18">
        <f>M18+IF(N18&gt;1,N(O18)*(N18-1),0)</f>
        <v/>
      </c>
      <c r="S18">
        <f>IFERROR(L18*MAX(N18,1)/R18*IF(ISBLANK(K13),1,K13),0)</f>
        <v/>
      </c>
      <c r="AB18" s="7" t="inlineStr">
        <is>
          <t>^Warhead_Railgun_Heavy, ^Warhead_Sniper_Light</t>
        </is>
      </c>
    </row>
    <row r="19">
      <c r="B19" s="7" t="inlineStr">
        <is>
          <t xml:space="preserve">  ↳ td_gdi_commando_sniper_elite</t>
        </is>
      </c>
      <c r="C19" s="7" t="inlineStr">
        <is>
          <t>Armament@UpgradeGARRISONED</t>
        </is>
      </c>
      <c r="L19" s="6" t="n">
        <v>40000</v>
      </c>
      <c r="M19" s="6" t="n">
        <v>25</v>
      </c>
      <c r="N19" s="6" t="n">
        <v>1</v>
      </c>
      <c r="O19" s="6" t="n"/>
      <c r="P19" s="6" t="n">
        <v>8086</v>
      </c>
      <c r="Q19" s="6" t="n">
        <v>1</v>
      </c>
      <c r="R19">
        <f>M19+IF(N19&gt;1,N(O19)*(N19-1),0)</f>
        <v/>
      </c>
      <c r="S19">
        <f>IFERROR(L19*MAX(N19,1)/R19*IF(ISBLANK(K13),1,K13),0)</f>
        <v/>
      </c>
      <c r="AB19" s="7" t="inlineStr">
        <is>
          <t>^Warhead_Railgun_Heavy, ^Warhead_Sniper_Light</t>
        </is>
      </c>
    </row>
    <row r="20">
      <c r="A20" t="inlineStr">
        <is>
          <t>tiberiandawn</t>
        </is>
      </c>
      <c r="B20" t="inlineStr">
        <is>
          <t>td_gdi_empgrenadier</t>
        </is>
      </c>
      <c r="C20" t="inlineStr">
        <is>
          <t>EMP Grenadier</t>
        </is>
      </c>
      <c r="D20" s="6" t="inlineStr">
        <is>
          <t>GrenadierInfantry</t>
        </is>
      </c>
      <c r="E20" s="6" t="n">
        <v>32000</v>
      </c>
      <c r="F20" s="6" t="n">
        <v>60</v>
      </c>
      <c r="G20" t="inlineStr">
        <is>
          <t>None</t>
        </is>
      </c>
      <c r="H20" s="6" t="n">
        <v>1</v>
      </c>
      <c r="I20" s="6" t="n">
        <v>0.4</v>
      </c>
      <c r="J20" s="6" t="n">
        <v>1.25</v>
      </c>
      <c r="K20" s="6" t="n">
        <v>0.012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EMPGrenade</t>
        </is>
      </c>
      <c r="C21" s="7" t="inlineStr">
        <is>
          <t>Armament</t>
        </is>
      </c>
      <c r="L21" s="6" t="n">
        <v>64000</v>
      </c>
      <c r="M21" s="6" t="n">
        <v>111</v>
      </c>
      <c r="N21" s="6" t="n">
        <v>1</v>
      </c>
      <c r="O21" s="6" t="n"/>
      <c r="P21" s="6" t="n">
        <v>5694</v>
      </c>
      <c r="Q21" s="6" t="n">
        <v>1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^TeslaChargedWeapon, ^TeslaWeapon, ^MediumFlameWeapon, ^ShrapnelWeapon, ^HeavyCannon, ^MediumCannon, ^MediumMissile, ^HeavyMissile</t>
        </is>
      </c>
    </row>
    <row r="22">
      <c r="B22" s="7" t="inlineStr">
        <is>
          <t xml:space="preserve">  ↳ EMPGrenade</t>
        </is>
      </c>
      <c r="C22" s="7" t="inlineStr">
        <is>
          <t>Armament@GARRISONED</t>
        </is>
      </c>
      <c r="L22" s="6" t="n">
        <v>64000</v>
      </c>
      <c r="M22" s="6" t="n">
        <v>111</v>
      </c>
      <c r="N22" s="6" t="n">
        <v>1</v>
      </c>
      <c r="O22" s="6" t="n"/>
      <c r="P22" s="6" t="n">
        <v>5694</v>
      </c>
      <c r="Q22" s="6" t="n">
        <v>1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^TeslaChargedWeapon, ^TeslaWeapon, ^MediumFlameWeapon, ^ShrapnelWeapon, ^HeavyCannon, ^MediumCannon, ^MediumMissile, ^HeavyMissile</t>
        </is>
      </c>
    </row>
    <row r="23">
      <c r="A23" t="inlineStr">
        <is>
          <t>tiberiandawn</t>
        </is>
      </c>
      <c r="B23" t="inlineStr">
        <is>
          <t>td_gdi_grenadier</t>
        </is>
      </c>
      <c r="C23" t="inlineStr">
        <is>
          <t>GDI Grenadier</t>
        </is>
      </c>
      <c r="D23" s="6" t="inlineStr">
        <is>
          <t>GrenadierInfantry</t>
        </is>
      </c>
      <c r="E23" s="6" t="n">
        <v>8000</v>
      </c>
      <c r="F23" s="6" t="n">
        <v>75</v>
      </c>
      <c r="G23" t="inlineStr">
        <is>
          <t>None</t>
        </is>
      </c>
      <c r="H23" s="6" t="n">
        <v>1</v>
      </c>
      <c r="I23" s="6" t="n">
        <v>0.4</v>
      </c>
      <c r="J23" s="6" t="n">
        <v>1</v>
      </c>
      <c r="K23" s="6" t="n"/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Grenade</t>
        </is>
      </c>
      <c r="C24" s="7" t="inlineStr">
        <is>
          <t>Armament</t>
        </is>
      </c>
      <c r="L24" s="6" t="n">
        <v>16000</v>
      </c>
      <c r="M24" s="6" t="n">
        <v>42</v>
      </c>
      <c r="N24" s="6" t="n">
        <v>1</v>
      </c>
      <c r="O24" s="6" t="n"/>
      <c r="P24" s="6" t="n">
        <v>6097</v>
      </c>
      <c r="Q24" s="6" t="n">
        <v>0.75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^Warhead_Demolition_Light</t>
        </is>
      </c>
    </row>
    <row r="25">
      <c r="B25" s="7" t="inlineStr">
        <is>
          <t xml:space="preserve">  ↳ Grenade</t>
        </is>
      </c>
      <c r="C25" s="7" t="inlineStr">
        <is>
          <t>Armament@GARRISONED</t>
        </is>
      </c>
      <c r="L25" s="6" t="n">
        <v>16000</v>
      </c>
      <c r="M25" s="6" t="n">
        <v>42</v>
      </c>
      <c r="N25" s="6" t="n">
        <v>1</v>
      </c>
      <c r="O25" s="6" t="n"/>
      <c r="P25" s="6" t="n">
        <v>6097</v>
      </c>
      <c r="Q25" s="6" t="n">
        <v>0.75</v>
      </c>
      <c r="R25">
        <f>M25+IF(N25&gt;1,N(O25)*(N25-1),0)</f>
        <v/>
      </c>
      <c r="S25">
        <f>IFERROR(L25*MAX(N25,1)/R25*IF(ISBLANK(K23),1,K23),0)</f>
        <v/>
      </c>
      <c r="AB25" s="7" t="inlineStr">
        <is>
          <t>^Warhead_Demolition_Light</t>
        </is>
      </c>
    </row>
    <row r="26">
      <c r="A26" t="inlineStr">
        <is>
          <t>tiberiandawn</t>
        </is>
      </c>
      <c r="B26" t="inlineStr">
        <is>
          <t>td_gdi_havoc</t>
        </is>
      </c>
      <c r="C26" t="inlineStr">
        <is>
          <t>Havoc</t>
        </is>
      </c>
      <c r="D26" s="6" t="inlineStr">
        <is>
          <t>HeroInfantry</t>
        </is>
      </c>
      <c r="E26" s="6" t="n">
        <v>100000</v>
      </c>
      <c r="F26" s="6" t="n">
        <v>75</v>
      </c>
      <c r="G26" t="inlineStr">
        <is>
          <t>Heroic</t>
        </is>
      </c>
      <c r="H26" s="6" t="n">
        <v>0.75</v>
      </c>
      <c r="I26" s="6" t="n">
        <v>1</v>
      </c>
      <c r="J26" s="6" t="n">
        <v>1.25</v>
      </c>
      <c r="K26" s="6" t="n">
        <v>0.012</v>
      </c>
      <c r="P26">
        <f>MAX(P27,P28,P29,P30)</f>
        <v/>
      </c>
      <c r="S26">
        <f>S27+S28+S29+S30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4000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CommandoSniper</t>
        </is>
      </c>
      <c r="C27" s="7" t="inlineStr">
        <is>
          <t>Armament@ra1_allies_alliedsniper</t>
        </is>
      </c>
      <c r="L27" s="6" t="n">
        <v>40000</v>
      </c>
      <c r="M27" s="6" t="n">
        <v>100</v>
      </c>
      <c r="N27" s="6" t="n">
        <v>1</v>
      </c>
      <c r="O27" s="6" t="n"/>
      <c r="P27" s="6" t="n">
        <v>7750</v>
      </c>
      <c r="Q27" s="6" t="n">
        <v>1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^SniperWeapon, ^Chaingun</t>
        </is>
      </c>
    </row>
    <row r="28">
      <c r="B28" s="7" t="inlineStr">
        <is>
          <t xml:space="preserve">  ↳ CommandoRocketLauncher</t>
        </is>
      </c>
      <c r="C28" s="7" t="inlineStr">
        <is>
          <t>Armament@Rocket</t>
        </is>
      </c>
      <c r="L28" s="6" t="n">
        <v>40000</v>
      </c>
      <c r="M28" s="6" t="n">
        <v>100</v>
      </c>
      <c r="N28" s="6" t="n">
        <v>1</v>
      </c>
      <c r="O28" s="6" t="n"/>
      <c r="P28" s="6" t="n">
        <v>7750</v>
      </c>
      <c r="Q28" s="6" t="n">
        <v>0.875</v>
      </c>
      <c r="R28">
        <f>M28+IF(N28&gt;1,N(O28)*(N28-1),0)</f>
        <v/>
      </c>
      <c r="S28">
        <f>IFERROR(L28*MAX(N28,1)/R28*IF(ISBLANK(K26),1,K26),0)</f>
        <v/>
      </c>
      <c r="AB28" s="7" t="inlineStr">
        <is>
          <t>^Warhead_MissileHE_Medium, ^Warhead_MissileHE_Light</t>
        </is>
      </c>
    </row>
    <row r="29">
      <c r="B29" s="7" t="inlineStr">
        <is>
          <t xml:space="preserve">  ↳ CommandoGrenadeLauncher</t>
        </is>
      </c>
      <c r="C29" s="7" t="inlineStr">
        <is>
          <t>Armament@Grenade</t>
        </is>
      </c>
      <c r="L29" s="6" t="n">
        <v>40000</v>
      </c>
      <c r="M29" s="6" t="n">
        <v>100</v>
      </c>
      <c r="N29" s="6" t="n">
        <v>1</v>
      </c>
      <c r="O29" s="6" t="n"/>
      <c r="P29" s="6" t="n">
        <v>7750</v>
      </c>
      <c r="Q29" s="6" t="n">
        <v>1</v>
      </c>
      <c r="R29">
        <f>M29+IF(N29&gt;1,N(O29)*(N29-1),0)</f>
        <v/>
      </c>
      <c r="S29">
        <f>IFERROR(L29*MAX(N29,1)/R29*IF(ISBLANK(K26),1,K26),0)</f>
        <v/>
      </c>
      <c r="AB29" s="7" t="inlineStr">
        <is>
          <t>^ShrapnelWeapon, ^Grenade, ^EMPDamage</t>
        </is>
      </c>
    </row>
    <row r="30">
      <c r="B30" s="7" t="inlineStr">
        <is>
          <t xml:space="preserve">  ↳ CommandoM16</t>
        </is>
      </c>
      <c r="C30" s="7" t="inlineStr">
        <is>
          <t>Armament@M16</t>
        </is>
      </c>
      <c r="L30" s="6" t="n">
        <v>8000</v>
      </c>
      <c r="M30" s="6" t="n">
        <v>92</v>
      </c>
      <c r="N30" s="6" t="n">
        <v>5</v>
      </c>
      <c r="O30" s="6" t="n">
        <v>2</v>
      </c>
      <c r="P30" s="6" t="n">
        <v>7750</v>
      </c>
      <c r="Q30" s="6" t="n">
        <v>1</v>
      </c>
      <c r="R30">
        <f>M30+IF(N30&gt;1,N(O30)*(N30-1),0)</f>
        <v/>
      </c>
      <c r="S30">
        <f>IFERROR(L30*MAX(N30,1)/R30*IF(ISBLANK(K26),1,K26),0)</f>
        <v/>
      </c>
      <c r="AB30" s="7" t="inlineStr">
        <is>
          <t>^SniperWeapon, ^Chaingun</t>
        </is>
      </c>
    </row>
    <row r="31">
      <c r="B31" s="7" t="inlineStr">
        <is>
          <t xml:space="preserve">  ↳ CommandoSniper</t>
        </is>
      </c>
      <c r="C31" s="7" t="inlineStr">
        <is>
          <t>Armament@SniperGARRISONED</t>
        </is>
      </c>
      <c r="L31" s="6" t="n">
        <v>40000</v>
      </c>
      <c r="M31" s="6" t="n">
        <v>100</v>
      </c>
      <c r="N31" s="6" t="n">
        <v>1</v>
      </c>
      <c r="O31" s="6" t="n"/>
      <c r="P31" s="6" t="n">
        <v>7750</v>
      </c>
      <c r="Q31" s="6" t="n">
        <v>1</v>
      </c>
      <c r="R31">
        <f>M31+IF(N31&gt;1,N(O31)*(N31-1),0)</f>
        <v/>
      </c>
      <c r="S31">
        <f>IFERROR(L31*MAX(N31,1)/R31*IF(ISBLANK(K26),1,K26),0)</f>
        <v/>
      </c>
      <c r="AB31" s="7" t="inlineStr">
        <is>
          <t>^SniperWeapon, ^Chaingun</t>
        </is>
      </c>
    </row>
    <row r="32">
      <c r="B32" s="7" t="inlineStr">
        <is>
          <t xml:space="preserve">  ↳ CommandoRocketLauncher</t>
        </is>
      </c>
      <c r="C32" s="7" t="inlineStr">
        <is>
          <t>Armament@RocketGARRISONED</t>
        </is>
      </c>
      <c r="L32" s="6" t="n">
        <v>40000</v>
      </c>
      <c r="M32" s="6" t="n">
        <v>100</v>
      </c>
      <c r="N32" s="6" t="n">
        <v>1</v>
      </c>
      <c r="O32" s="6" t="n"/>
      <c r="P32" s="6" t="n">
        <v>7750</v>
      </c>
      <c r="Q32" s="6" t="n">
        <v>0.875</v>
      </c>
      <c r="R32">
        <f>M32+IF(N32&gt;1,N(O32)*(N32-1),0)</f>
        <v/>
      </c>
      <c r="S32">
        <f>IFERROR(L32*MAX(N32,1)/R32*IF(ISBLANK(K26),1,K26),0)</f>
        <v/>
      </c>
      <c r="AB32" s="7" t="inlineStr">
        <is>
          <t>^Warhead_MissileHE_Medium, ^Warhead_MissileHE_Light</t>
        </is>
      </c>
    </row>
    <row r="33">
      <c r="B33" s="7" t="inlineStr">
        <is>
          <t xml:space="preserve">  ↳ CommandoGrenadeLauncher</t>
        </is>
      </c>
      <c r="C33" s="7" t="inlineStr">
        <is>
          <t>Armament@GrenadeGARRISONED</t>
        </is>
      </c>
      <c r="L33" s="6" t="n">
        <v>40000</v>
      </c>
      <c r="M33" s="6" t="n">
        <v>100</v>
      </c>
      <c r="N33" s="6" t="n">
        <v>1</v>
      </c>
      <c r="O33" s="6" t="n"/>
      <c r="P33" s="6" t="n">
        <v>7750</v>
      </c>
      <c r="Q33" s="6" t="n">
        <v>1</v>
      </c>
      <c r="R33">
        <f>M33+IF(N33&gt;1,N(O33)*(N33-1),0)</f>
        <v/>
      </c>
      <c r="S33">
        <f>IFERROR(L33*MAX(N33,1)/R33*IF(ISBLANK(K26),1,K26),0)</f>
        <v/>
      </c>
      <c r="AB33" s="7" t="inlineStr">
        <is>
          <t>^ShrapnelWeapon, ^Grenade, ^EMPDamage</t>
        </is>
      </c>
    </row>
    <row r="34">
      <c r="B34" s="7" t="inlineStr">
        <is>
          <t xml:space="preserve">  ↳ CommandoM16</t>
        </is>
      </c>
      <c r="C34" s="7" t="inlineStr">
        <is>
          <t>Armament@M16GARRISONED</t>
        </is>
      </c>
      <c r="L34" s="6" t="n">
        <v>8000</v>
      </c>
      <c r="M34" s="6" t="n">
        <v>92</v>
      </c>
      <c r="N34" s="6" t="n">
        <v>5</v>
      </c>
      <c r="O34" s="6" t="n">
        <v>2</v>
      </c>
      <c r="P34" s="6" t="n">
        <v>7750</v>
      </c>
      <c r="Q34" s="6" t="n">
        <v>1</v>
      </c>
      <c r="R34">
        <f>M34+IF(N34&gt;1,N(O34)*(N34-1),0)</f>
        <v/>
      </c>
      <c r="S34">
        <f>IFERROR(L34*MAX(N34,1)/R34*IF(ISBLANK(K26),1,K26),0)</f>
        <v/>
      </c>
      <c r="AB34" s="7" t="inlineStr">
        <is>
          <t>^SniperWeapon, ^Chaingun</t>
        </is>
      </c>
    </row>
    <row r="35">
      <c r="B35" s="7" t="inlineStr">
        <is>
          <t xml:space="preserve">  ↳ GenericC4</t>
        </is>
      </c>
      <c r="C35" s="7" t="inlineStr">
        <is>
          <t>Armament@c4</t>
        </is>
      </c>
      <c r="L35" s="6" t="n"/>
      <c r="M35" s="6" t="n">
        <v>20</v>
      </c>
      <c r="N35" s="6" t="n">
        <v>1</v>
      </c>
      <c r="O35" s="6" t="n"/>
      <c r="P35" s="6" t="n">
        <v>2000</v>
      </c>
      <c r="Q35" s="6" t="n">
        <v>1</v>
      </c>
      <c r="R35">
        <f>M35+IF(N35&gt;1,N(O35)*(N35-1),0)</f>
        <v/>
      </c>
      <c r="S35">
        <f>IFERROR(L35*MAX(N35,1)/R35*IF(ISBLANK(K26),1,K26),0)</f>
        <v/>
      </c>
      <c r="AB35" s="7" t="inlineStr"/>
    </row>
    <row r="36">
      <c r="A36" t="inlineStr">
        <is>
          <t>tiberiandawn</t>
        </is>
      </c>
      <c r="B36" t="inlineStr">
        <is>
          <t>td_gdi_heavysniper</t>
        </is>
      </c>
      <c r="C36" t="inlineStr">
        <is>
          <t>GDI Heavy Sniper</t>
        </is>
      </c>
      <c r="D36" s="6" t="inlineStr">
        <is>
          <t>SniperInfantry</t>
        </is>
      </c>
      <c r="E36" s="6" t="n">
        <v>25000</v>
      </c>
      <c r="F36" s="6" t="n">
        <v>78</v>
      </c>
      <c r="G36" t="inlineStr">
        <is>
          <t>Flak</t>
        </is>
      </c>
      <c r="H36" s="6" t="n">
        <v>0.7674</v>
      </c>
      <c r="I36" s="6" t="n">
        <v>1</v>
      </c>
      <c r="J36" s="6" t="n">
        <v>1</v>
      </c>
      <c r="K36" s="6" t="n"/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700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GDISniperRifle</t>
        </is>
      </c>
      <c r="C37" s="7" t="inlineStr">
        <is>
          <t>Armament</t>
        </is>
      </c>
      <c r="L37" s="6" t="n">
        <v>32000</v>
      </c>
      <c r="M37" s="6" t="n">
        <v>75</v>
      </c>
      <c r="N37" s="6" t="n">
        <v>1</v>
      </c>
      <c r="O37" s="6" t="n"/>
      <c r="P37" s="6" t="n">
        <v>8655</v>
      </c>
      <c r="Q37" s="6" t="n">
        <v>1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^SmallArms, ^Grenade, ^FlakWeapon, ^Chaingun</t>
        </is>
      </c>
    </row>
    <row r="38">
      <c r="B38" s="7" t="inlineStr">
        <is>
          <t xml:space="preserve">  ↳ GDISniperRifle</t>
        </is>
      </c>
      <c r="C38" s="7" t="inlineStr">
        <is>
          <t>Armament@GARRISONED</t>
        </is>
      </c>
      <c r="L38" s="6" t="n">
        <v>32000</v>
      </c>
      <c r="M38" s="6" t="n">
        <v>75</v>
      </c>
      <c r="N38" s="6" t="n">
        <v>1</v>
      </c>
      <c r="O38" s="6" t="n"/>
      <c r="P38" s="6" t="n">
        <v>8655</v>
      </c>
      <c r="Q38" s="6" t="n">
        <v>1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^SmallArms, ^Grenade, ^FlakWeapon, ^Chaingun</t>
        </is>
      </c>
    </row>
    <row r="39">
      <c r="A39" t="inlineStr">
        <is>
          <t>tiberiandawn</t>
        </is>
      </c>
      <c r="B39" t="inlineStr">
        <is>
          <t>td_gdi_minigunner</t>
        </is>
      </c>
      <c r="C39" t="inlineStr">
        <is>
          <t>GDI Minigunner</t>
        </is>
      </c>
      <c r="D39" s="6" t="inlineStr">
        <is>
          <t>ScoutInfantry</t>
        </is>
      </c>
      <c r="E39" s="6" t="n">
        <v>31000</v>
      </c>
      <c r="F39" s="6" t="n">
        <v>63</v>
      </c>
      <c r="G39" t="inlineStr">
        <is>
          <t>None</t>
        </is>
      </c>
      <c r="H39" s="6" t="n">
        <v>1</v>
      </c>
      <c r="I39" s="6" t="n">
        <v>1</v>
      </c>
      <c r="J39" s="6" t="n">
        <v>1</v>
      </c>
      <c r="K39" s="6" t="n">
        <v>0.0024</v>
      </c>
      <c r="P39">
        <f>MAX(P40,P42)</f>
        <v/>
      </c>
      <c r="S39">
        <f>S40+S42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(((E39/20000)+(F39/60)+(S39/60)+((P39/5000)*J39))*100/4+(((E39/20000)*(F39/60))+(((P39/5000)*J39)*(S39/60)))*100/2+((E39/20000)*(F39/60)*((P39/5000)*J39)*(S39/60))*100)*(H39/1.0)/3</f>
        <v/>
      </c>
      <c r="X39" s="6" t="n">
        <v>100</v>
      </c>
      <c r="Y39">
        <f>IFERROR(W39-X39,"")</f>
        <v/>
      </c>
      <c r="Z39">
        <f>IFERROR(ABS(Y39)/MAX(X39,1),"")</f>
        <v/>
      </c>
      <c r="AA39">
        <f>IFERROR(ROUND(((3*X39-(((E39/20000)+(F39/60)+(S39/60))*100/4+((E39/20000)*(F39/60))*100/2)*(H39/1.0))/(100/4+((S39/60))*100/2+((E39/20000)*(F39/60)*(S39/60))*100)*(H39/1.0)*5000)/J39,-1),"")</f>
        <v/>
      </c>
    </row>
    <row r="40">
      <c r="B40" s="7" t="inlineStr">
        <is>
          <t xml:space="preserve">  ↳ td_gdi_minigunner_minigun</t>
        </is>
      </c>
      <c r="C40" s="7" t="inlineStr">
        <is>
          <t>Armament@PRIMARY</t>
        </is>
      </c>
      <c r="L40" s="6" t="n">
        <v>2000</v>
      </c>
      <c r="M40" s="6" t="n">
        <v>50</v>
      </c>
      <c r="N40" s="6" t="n">
        <v>4</v>
      </c>
      <c r="O40" s="6" t="n">
        <v>3</v>
      </c>
      <c r="P40" s="6" t="n">
        <v>5499</v>
      </c>
      <c r="Q40" s="6" t="n">
        <v>0.75</v>
      </c>
      <c r="R40">
        <f>M40+IF(N40&gt;1,N(O40)*(N40-1),0)</f>
        <v/>
      </c>
      <c r="S40">
        <f>IFERROR(L40*MAX(N40,1)/R40*IF(ISBLANK(K39),1,K39),0)</f>
        <v/>
      </c>
      <c r="AB40" s="7" t="inlineStr">
        <is>
          <t>^Warhead_Bullet_Light</t>
        </is>
      </c>
    </row>
    <row r="41">
      <c r="B41" s="7" t="inlineStr">
        <is>
          <t xml:space="preserve">  ↳ td_gdi_minigunner_minigun</t>
        </is>
      </c>
      <c r="C41" s="7" t="inlineStr">
        <is>
          <t>Armament@GARRISONED</t>
        </is>
      </c>
      <c r="L41" s="6" t="n">
        <v>2000</v>
      </c>
      <c r="M41" s="6" t="n">
        <v>50</v>
      </c>
      <c r="N41" s="6" t="n">
        <v>4</v>
      </c>
      <c r="O41" s="6" t="n">
        <v>3</v>
      </c>
      <c r="P41" s="6" t="n">
        <v>5499</v>
      </c>
      <c r="Q41" s="6" t="n">
        <v>0.75</v>
      </c>
      <c r="R41">
        <f>M41+IF(N41&gt;1,N(O41)*(N41-1),0)</f>
        <v/>
      </c>
      <c r="S41">
        <f>IFERROR(L41*MAX(N41,1)/R41*IF(ISBLANK(K39),1,K39),0)</f>
        <v/>
      </c>
      <c r="AB41" s="7" t="inlineStr">
        <is>
          <t>^Warhead_Bullet_Light</t>
        </is>
      </c>
    </row>
    <row r="42">
      <c r="B42" s="7" t="inlineStr">
        <is>
          <t xml:space="preserve">  ↳ td_gdi_minigunner_minigun_ap</t>
        </is>
      </c>
      <c r="C42" s="7" t="inlineStr">
        <is>
          <t>Armament@Upgrade</t>
        </is>
      </c>
      <c r="L42" s="6" t="n">
        <v>4000</v>
      </c>
      <c r="M42" s="6" t="n">
        <v>45</v>
      </c>
      <c r="N42" s="6" t="n">
        <v>4</v>
      </c>
      <c r="O42" s="6" t="n">
        <v>3</v>
      </c>
      <c r="P42" s="6" t="n">
        <v>4600</v>
      </c>
      <c r="Q42" s="6" t="n">
        <v>1</v>
      </c>
      <c r="R42">
        <f>M42+IF(N42&gt;1,N(O42)*(N42-1),0)</f>
        <v/>
      </c>
      <c r="S42">
        <f>IFERROR(L42*MAX(N42,1)/R42*IF(ISBLANK(K39),1,K39),0)</f>
        <v/>
      </c>
      <c r="AB42" s="7" t="inlineStr">
        <is>
          <t>^Warhead_Bullet_Medium</t>
        </is>
      </c>
    </row>
    <row r="43">
      <c r="B43" s="7" t="inlineStr">
        <is>
          <t xml:space="preserve">  ↳ td_gdi_minigunner_minigun_ap</t>
        </is>
      </c>
      <c r="C43" s="7" t="inlineStr">
        <is>
          <t>Armament@UpgradeGARRISONED</t>
        </is>
      </c>
      <c r="L43" s="6" t="n">
        <v>4000</v>
      </c>
      <c r="M43" s="6" t="n">
        <v>45</v>
      </c>
      <c r="N43" s="6" t="n">
        <v>4</v>
      </c>
      <c r="O43" s="6" t="n">
        <v>3</v>
      </c>
      <c r="P43" s="6" t="n">
        <v>4600</v>
      </c>
      <c r="Q43" s="6" t="n">
        <v>1</v>
      </c>
      <c r="R43">
        <f>M43+IF(N43&gt;1,N(O43)*(N43-1),0)</f>
        <v/>
      </c>
      <c r="S43">
        <f>IFERROR(L43*MAX(N43,1)/R43*IF(ISBLANK(K39),1,K39),0)</f>
        <v/>
      </c>
      <c r="AB43" s="7" t="inlineStr">
        <is>
          <t>^Warhead_Bullet_Medium</t>
        </is>
      </c>
    </row>
    <row r="44">
      <c r="A44" t="inlineStr">
        <is>
          <t>tiberiandawn</t>
        </is>
      </c>
      <c r="B44" t="inlineStr">
        <is>
          <t>td_gdi_officer</t>
        </is>
      </c>
      <c r="C44" t="inlineStr">
        <is>
          <t>GDI Officer</t>
        </is>
      </c>
      <c r="D44" s="6" t="inlineStr">
        <is>
          <t>HeavyInfantry</t>
        </is>
      </c>
      <c r="E44" s="6" t="n">
        <v>32000</v>
      </c>
      <c r="F44" s="6" t="n">
        <v>79</v>
      </c>
      <c r="G44" t="inlineStr">
        <is>
          <t>Plate</t>
        </is>
      </c>
      <c r="H44" s="6" t="n">
        <v>0.75</v>
      </c>
      <c r="I44" s="6" t="n">
        <v>0.8</v>
      </c>
      <c r="J44" s="6" t="n">
        <v>1.25</v>
      </c>
      <c r="K44" s="6" t="n">
        <v>0.0108</v>
      </c>
      <c r="P44">
        <f>MAX(P45,P47)</f>
        <v/>
      </c>
      <c r="S44">
        <f>S45+S47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(((E44/15000)+(F44/50)+(S44/240)+((P44/6000)*J44))*200/4+(((E44/15000)*(F44/50))+(((P44/6000)*J44)*(S44/240)))*200/2+((E44/15000)*(F44/50)*((P44/6000)*J44)*(S44/240))*200)*(H44/1.0)/3</f>
        <v/>
      </c>
      <c r="X44" s="6" t="n">
        <v>1532</v>
      </c>
      <c r="Y44">
        <f>IFERROR(W44-X44,"")</f>
        <v/>
      </c>
      <c r="Z44">
        <f>IFERROR(ABS(Y44)/MAX(X44,1),"")</f>
        <v/>
      </c>
      <c r="AA44">
        <f>IFERROR(ROUND(((3*X44-(((E44/15000)+(F44/50)+(S44/240))*200/4+((E44/15000)*(F44/50))*200/2)*(H44/1.0))/(200/4+((S44/240))*200/2+((E44/15000)*(F44/50)*(S44/240))*200)*(H44/1.0)*6000)/J44,-1),"")</f>
        <v/>
      </c>
    </row>
    <row r="45">
      <c r="B45" s="7" t="inlineStr">
        <is>
          <t xml:space="preserve">  ↳ OfficerMachineGun</t>
        </is>
      </c>
      <c r="C45" s="7" t="inlineStr">
        <is>
          <t>Armament@PRIMARY</t>
        </is>
      </c>
      <c r="L45" s="6" t="n">
        <v>16000</v>
      </c>
      <c r="M45" s="6" t="n">
        <v>20</v>
      </c>
      <c r="N45" s="6" t="n">
        <v>4</v>
      </c>
      <c r="O45" s="6" t="n">
        <v>4</v>
      </c>
      <c r="P45" s="6" t="n">
        <v>5596</v>
      </c>
      <c r="Q45" s="6" t="n">
        <v>0.875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^Warhead_Bullet_Light, ^Warhead_Bullet_Medium</t>
        </is>
      </c>
    </row>
    <row r="46">
      <c r="B46" s="7" t="inlineStr">
        <is>
          <t xml:space="preserve">  ↳ OfficerMachineGun</t>
        </is>
      </c>
      <c r="C46" s="7" t="inlineStr">
        <is>
          <t>Armament@GARRISONED</t>
        </is>
      </c>
      <c r="L46" s="6" t="n">
        <v>16000</v>
      </c>
      <c r="M46" s="6" t="n">
        <v>20</v>
      </c>
      <c r="N46" s="6" t="n">
        <v>4</v>
      </c>
      <c r="O46" s="6" t="n">
        <v>4</v>
      </c>
      <c r="P46" s="6" t="n">
        <v>5596</v>
      </c>
      <c r="Q46" s="6" t="n">
        <v>0.875</v>
      </c>
      <c r="R46">
        <f>M46+IF(N46&gt;1,N(O46)*(N46-1),0)</f>
        <v/>
      </c>
      <c r="S46">
        <f>IFERROR(L46*MAX(N46,1)/R46*IF(ISBLANK(K44),1,K44),0)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OfficerMachineGunAP</t>
        </is>
      </c>
      <c r="C47" s="7" t="inlineStr">
        <is>
          <t>Armament@Upgrade</t>
        </is>
      </c>
      <c r="L47" s="6" t="n">
        <v>4000</v>
      </c>
      <c r="M47" s="6" t="n">
        <v>20</v>
      </c>
      <c r="N47" s="6" t="n">
        <v>4</v>
      </c>
      <c r="O47" s="6" t="n">
        <v>4</v>
      </c>
      <c r="P47" s="6" t="n">
        <v>4888</v>
      </c>
      <c r="Q47" s="6" t="n">
        <v>1</v>
      </c>
      <c r="R47">
        <f>M47+IF(N47&gt;1,N(O47)*(N47-1),0)</f>
        <v/>
      </c>
      <c r="S47">
        <f>IFERROR(L47*MAX(N47,1)/R47*IF(ISBLANK(K44),1,K44),0)</f>
        <v/>
      </c>
      <c r="AB47" s="7" t="inlineStr">
        <is>
          <t>^Warhead_Bullet_Medium</t>
        </is>
      </c>
    </row>
    <row r="48">
      <c r="B48" s="7" t="inlineStr">
        <is>
          <t xml:space="preserve">  ↳ OfficerMachineGunAP</t>
        </is>
      </c>
      <c r="C48" s="7" t="inlineStr">
        <is>
          <t>Armament@UpgradeGARRISONED</t>
        </is>
      </c>
      <c r="L48" s="6" t="n">
        <v>4000</v>
      </c>
      <c r="M48" s="6" t="n">
        <v>20</v>
      </c>
      <c r="N48" s="6" t="n">
        <v>4</v>
      </c>
      <c r="O48" s="6" t="n">
        <v>4</v>
      </c>
      <c r="P48" s="6" t="n">
        <v>4888</v>
      </c>
      <c r="Q48" s="6" t="n">
        <v>1</v>
      </c>
      <c r="R48">
        <f>M48+IF(N48&gt;1,N(O48)*(N48-1),0)</f>
        <v/>
      </c>
      <c r="S48">
        <f>IFERROR(L48*MAX(N48,1)/R48*IF(ISBLANK(K44),1,K44),0)</f>
        <v/>
      </c>
      <c r="AB48" s="7" t="inlineStr">
        <is>
          <t>^Warhead_Bullet_Medium</t>
        </is>
      </c>
    </row>
    <row r="49">
      <c r="A49" t="inlineStr">
        <is>
          <t>tiberiandawn</t>
        </is>
      </c>
      <c r="B49" t="inlineStr">
        <is>
          <t>td_gdi_rocketsoldier</t>
        </is>
      </c>
      <c r="C49" t="inlineStr">
        <is>
          <t>GDI Rocket Soldier</t>
        </is>
      </c>
      <c r="D49" s="6" t="inlineStr">
        <is>
          <t>AntiTankAntiAirInfantry</t>
        </is>
      </c>
      <c r="E49" s="6" t="n">
        <v>9000</v>
      </c>
      <c r="F49" s="6" t="n">
        <v>50</v>
      </c>
      <c r="G49" t="inlineStr">
        <is>
          <t>Flak</t>
        </is>
      </c>
      <c r="H49" s="6" t="n">
        <v>1</v>
      </c>
      <c r="I49" s="6" t="n">
        <v>1</v>
      </c>
      <c r="J49" s="6" t="n">
        <v>1</v>
      </c>
      <c r="K49" s="6" t="n"/>
      <c r="P49">
        <f>MAX(P50,P52)</f>
        <v/>
      </c>
      <c r="S49">
        <f>S50+S52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300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Rockets</t>
        </is>
      </c>
      <c r="C50" s="7" t="inlineStr">
        <is>
          <t>Armament@PRIMARY</t>
        </is>
      </c>
      <c r="L50" s="6" t="n">
        <v>18000</v>
      </c>
      <c r="M50" s="6" t="n">
        <v>63</v>
      </c>
      <c r="N50" s="6" t="n">
        <v>1</v>
      </c>
      <c r="O50" s="6" t="n"/>
      <c r="P50" s="6" t="n">
        <v>6368</v>
      </c>
      <c r="Q50" s="6" t="n">
        <v>0.75</v>
      </c>
      <c r="R50">
        <f>M50+IF(N50&gt;1,N(O50)*(N50-1),0)</f>
        <v/>
      </c>
      <c r="S50">
        <f>IFERROR(L50*MAX(N50,1)/R50*IF(ISBLANK(K49),1,K49),0)</f>
        <v/>
      </c>
      <c r="AB50" s="7" t="inlineStr">
        <is>
          <t>^Warhead_MissileAP_Light</t>
        </is>
      </c>
    </row>
    <row r="51">
      <c r="B51" s="7" t="inlineStr">
        <is>
          <t xml:space="preserve">  ↳ Rockets</t>
        </is>
      </c>
      <c r="C51" s="7" t="inlineStr">
        <is>
          <t>Armament@GARRISONED</t>
        </is>
      </c>
      <c r="L51" s="6" t="n">
        <v>18000</v>
      </c>
      <c r="M51" s="6" t="n">
        <v>63</v>
      </c>
      <c r="N51" s="6" t="n">
        <v>1</v>
      </c>
      <c r="O51" s="6" t="n"/>
      <c r="P51" s="6" t="n">
        <v>6368</v>
      </c>
      <c r="Q51" s="6" t="n">
        <v>0.75</v>
      </c>
      <c r="R51">
        <f>M51+IF(N51&gt;1,N(O51)*(N51-1),0)</f>
        <v/>
      </c>
      <c r="S51">
        <f>IFERROR(L51*MAX(N51,1)/R51*IF(ISBLANK(K49),1,K49),0)</f>
        <v/>
      </c>
      <c r="AB51" s="7" t="inlineStr">
        <is>
          <t>^Warhead_MissileAP_Light</t>
        </is>
      </c>
    </row>
    <row r="52">
      <c r="B52" s="7" t="inlineStr">
        <is>
          <t xml:space="preserve">  ↳ RocketsAMT</t>
        </is>
      </c>
      <c r="C52" s="7" t="inlineStr">
        <is>
          <t>Armament@AdvancedMissileTargeting</t>
        </is>
      </c>
      <c r="L52" s="6" t="n">
        <v>18000</v>
      </c>
      <c r="M52" s="6" t="n">
        <v>63</v>
      </c>
      <c r="N52" s="6" t="n">
        <v>1</v>
      </c>
      <c r="O52" s="6" t="n"/>
      <c r="P52" s="6" t="n">
        <v>6368</v>
      </c>
      <c r="Q52" s="6" t="n">
        <v>0.75</v>
      </c>
      <c r="R52">
        <f>M52+IF(N52&gt;1,N(O52)*(N52-1),0)</f>
        <v/>
      </c>
      <c r="S52">
        <f>IFERROR(L52*MAX(N52,1)/R52*IF(ISBLANK(K49),1,K49),0)</f>
        <v/>
      </c>
      <c r="AB52" s="7" t="inlineStr">
        <is>
          <t>^Warhead_MissileAP_Light</t>
        </is>
      </c>
    </row>
    <row r="53">
      <c r="B53" s="7" t="inlineStr">
        <is>
          <t xml:space="preserve">  ↳ RocketsAMT</t>
        </is>
      </c>
      <c r="C53" s="7" t="inlineStr">
        <is>
          <t>Armament@AdvancedMissileTargetingGARRISONED</t>
        </is>
      </c>
      <c r="L53" s="6" t="n">
        <v>18000</v>
      </c>
      <c r="M53" s="6" t="n">
        <v>63</v>
      </c>
      <c r="N53" s="6" t="n">
        <v>1</v>
      </c>
      <c r="O53" s="6" t="n"/>
      <c r="P53" s="6" t="n">
        <v>6368</v>
      </c>
      <c r="Q53" s="6" t="n">
        <v>0.75</v>
      </c>
      <c r="R53">
        <f>M53+IF(N53&gt;1,N(O53)*(N53-1),0)</f>
        <v/>
      </c>
      <c r="S53">
        <f>IFERROR(L53*MAX(N53,1)/R53*IF(ISBLANK(K49),1,K49),0)</f>
        <v/>
      </c>
      <c r="AB53" s="7" t="inlineStr">
        <is>
          <t>^Warhead_MissileAP_Light</t>
        </is>
      </c>
    </row>
    <row r="54">
      <c r="A54" t="inlineStr">
        <is>
          <t>tiberiandawn</t>
        </is>
      </c>
      <c r="B54" t="inlineStr">
        <is>
          <t>td_gdi_shotgunner</t>
        </is>
      </c>
      <c r="C54" t="inlineStr">
        <is>
          <t>Shotgunner</t>
        </is>
      </c>
      <c r="D54" s="6" t="inlineStr">
        <is>
          <t>CloseCombatInfantry</t>
        </is>
      </c>
      <c r="E54" s="6" t="n">
        <v>50000</v>
      </c>
      <c r="F54" s="6" t="n">
        <v>75</v>
      </c>
      <c r="G54" t="inlineStr">
        <is>
          <t>Plate</t>
        </is>
      </c>
      <c r="H54" s="6" t="n">
        <v>1</v>
      </c>
      <c r="I54" s="6" t="n">
        <v>1</v>
      </c>
      <c r="J54" s="6" t="n">
        <v>1</v>
      </c>
      <c r="K54" s="6" t="n">
        <v>0.01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(((E54/50000)+(F54/75)+(S54/250)+((P54/3500)*J54))*200/4+(((E54/50000)*(F54/75))+(((P54/3500)*J54)*(S54/250)))*200/2+((E54/50000)*(F54/75)*((P54/3500)*J54)*(S54/250))*200)*(H54/1.0)/3</f>
        <v/>
      </c>
      <c r="X54" s="6" t="n">
        <v>200</v>
      </c>
      <c r="Y54">
        <f>IFERROR(W54-X54,"")</f>
        <v/>
      </c>
      <c r="Z54">
        <f>IFERROR(ABS(Y54)/MAX(X54,1),"")</f>
        <v/>
      </c>
      <c r="AA54">
        <f>IFERROR(ROUND(((3*X54-(((E54/50000)+(F54/75)+(S54/250))*200/4+((E54/50000)*(F54/75))*200/2)*(H54/1.0))/(200/4+((S54/250))*200/2+((E54/50000)*(F54/75)*(S54/250))*200)*(H54/1.0)*3500)/J54,-1),"")</f>
        <v/>
      </c>
    </row>
    <row r="55">
      <c r="B55" s="7" t="inlineStr">
        <is>
          <t xml:space="preserve">  ↳ td_gdi_shotgunner_shotgun</t>
        </is>
      </c>
      <c r="C55" s="7" t="inlineStr">
        <is>
          <t>Armament@PRIMARY</t>
        </is>
      </c>
      <c r="L55" s="6" t="n">
        <v>4000</v>
      </c>
      <c r="M55" s="6" t="n">
        <v>70</v>
      </c>
      <c r="N55" s="6" t="n">
        <v>5</v>
      </c>
      <c r="O55" s="6" t="n">
        <v>0</v>
      </c>
      <c r="P55" s="6" t="n">
        <v>3500</v>
      </c>
      <c r="Q55" s="6" t="n">
        <v>0.875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^Warhead_Bullet_Light, ^Warhead_Bullet_Medium</t>
        </is>
      </c>
    </row>
    <row r="56">
      <c r="B56" s="7" t="inlineStr">
        <is>
          <t xml:space="preserve">  ↳ td_gdi_shotgunner_shotgun</t>
        </is>
      </c>
      <c r="C56" s="7" t="inlineStr">
        <is>
          <t>Armament@GARRISONED</t>
        </is>
      </c>
      <c r="L56" s="6" t="n">
        <v>4000</v>
      </c>
      <c r="M56" s="6" t="n">
        <v>70</v>
      </c>
      <c r="N56" s="6" t="n">
        <v>5</v>
      </c>
      <c r="O56" s="6" t="n">
        <v>0</v>
      </c>
      <c r="P56" s="6" t="n">
        <v>3500</v>
      </c>
      <c r="Q56" s="6" t="n">
        <v>0.875</v>
      </c>
      <c r="R56">
        <f>M56+IF(N56&gt;1,N(O56)*(N56-1),0)</f>
        <v/>
      </c>
      <c r="S56">
        <f>IFERROR(L56*MAX(N56,1)/R56*IF(ISBLANK(K54),1,K54),0)</f>
        <v/>
      </c>
      <c r="AB56" s="7" t="inlineStr">
        <is>
          <t>^Warhead_Bullet_Light, ^Warhead_Bullet_Medium</t>
        </is>
      </c>
    </row>
    <row r="57">
      <c r="A57" t="inlineStr">
        <is>
          <t>tiberiandawn</t>
        </is>
      </c>
      <c r="B57" t="inlineStr">
        <is>
          <t>td_gdi_sonicmissilesoldier</t>
        </is>
      </c>
      <c r="C57" t="inlineStr">
        <is>
          <t>Sonic Missile Soldier</t>
        </is>
      </c>
      <c r="D57" s="6" t="inlineStr">
        <is>
          <t>HeavyInfantry</t>
        </is>
      </c>
      <c r="E57" s="6" t="n">
        <v>25000</v>
      </c>
      <c r="F57" s="6" t="n">
        <v>50</v>
      </c>
      <c r="G57" t="inlineStr">
        <is>
          <t>Plate</t>
        </is>
      </c>
      <c r="H57" s="6" t="n">
        <v>1</v>
      </c>
      <c r="I57" s="6" t="n">
        <v>0.5</v>
      </c>
      <c r="J57" s="6" t="n">
        <v>1</v>
      </c>
      <c r="K57" s="6" t="n"/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400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MissileSoldierWeapon</t>
        </is>
      </c>
      <c r="C58" s="7" t="inlineStr">
        <is>
          <t>Armament@PRIMARY</t>
        </is>
      </c>
      <c r="L58" s="6" t="n">
        <v>50000</v>
      </c>
      <c r="M58" s="6" t="n">
        <v>125</v>
      </c>
      <c r="N58" s="6" t="n">
        <v>1</v>
      </c>
      <c r="O58" s="6" t="n"/>
      <c r="P58" s="6" t="n">
        <v>7500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^TankDestroyerCannon, ^LightChemicalWeapon, ^ShrapnelWeapon, ^RailgunWeapon, ^HeavyMissile</t>
        </is>
      </c>
    </row>
    <row r="59">
      <c r="B59" s="7" t="inlineStr">
        <is>
          <t xml:space="preserve">  ↳ MissileSoldierWeapon</t>
        </is>
      </c>
      <c r="C59" s="7" t="inlineStr">
        <is>
          <t>Armament@GARRISONED</t>
        </is>
      </c>
      <c r="L59" s="6" t="n">
        <v>50000</v>
      </c>
      <c r="M59" s="6" t="n">
        <v>125</v>
      </c>
      <c r="N59" s="6" t="n">
        <v>1</v>
      </c>
      <c r="O59" s="6" t="n"/>
      <c r="P59" s="6" t="n">
        <v>7500</v>
      </c>
      <c r="Q59" s="6" t="n">
        <v>1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^TankDestroyerCannon, ^LightChemicalWeapon, ^ShrapnelWeapon, ^RailgunWeapon, ^HeavyMissile</t>
        </is>
      </c>
    </row>
    <row r="60">
      <c r="A60" s="4" t="inlineStr">
        <is>
          <t>VEHICLES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tiberiandawn</t>
        </is>
      </c>
      <c r="B61" t="inlineStr">
        <is>
          <t>td_gdi_apc</t>
        </is>
      </c>
      <c r="C61" t="inlineStr">
        <is>
          <t>GDI APC</t>
        </is>
      </c>
      <c r="D61" s="6" t="inlineStr">
        <is>
          <t>SupportVehicle</t>
        </is>
      </c>
      <c r="E61" s="6" t="n">
        <v>47500</v>
      </c>
      <c r="F61" s="6" t="n">
        <v>100</v>
      </c>
      <c r="G61" t="inlineStr">
        <is>
          <t>Medium</t>
        </is>
      </c>
      <c r="H61" s="6" t="n">
        <v>0.8048999999999999</v>
      </c>
      <c r="I61" s="6" t="n">
        <v>1</v>
      </c>
      <c r="J61" s="6" t="n">
        <v>1</v>
      </c>
      <c r="K61" s="6" t="n"/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(T61+U61+V61)/3</f>
        <v/>
      </c>
      <c r="X61" s="6" t="n">
        <v>1200</v>
      </c>
      <c r="Y61">
        <f>IFERROR(W61-X61,"")</f>
        <v/>
      </c>
      <c r="Z61">
        <f>IFERROR(ABS(Y61)/MAX(X61,1),"")</f>
        <v/>
      </c>
      <c r="AA61">
        <f>IFERROR((X61-(((E61/100000+F61/100+S61/200)*200*I61*H61)+((E61*F61/25000)*I61*H61))/3)/(((J61/5)*200*I61*H61)+((J61*S61/2.5)*I61*H61)+((E61*F61*J61*S61*I61*H61)/12500000))/3*1000,"")</f>
        <v/>
      </c>
    </row>
    <row r="62">
      <c r="B62" s="7" t="inlineStr">
        <is>
          <t xml:space="preserve">  ↳ APCGun</t>
        </is>
      </c>
      <c r="C62" s="7" t="inlineStr">
        <is>
          <t>Armament@PRIMARY</t>
        </is>
      </c>
      <c r="L62" s="6" t="n">
        <v>4000</v>
      </c>
      <c r="M62" s="6" t="n">
        <v>10</v>
      </c>
      <c r="N62" s="6" t="n">
        <v>1</v>
      </c>
      <c r="O62" s="6" t="n"/>
      <c r="P62" s="6" t="n">
        <v>5668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^Warhead_Bullet_Medium, ^Warhead_Flak_Medium</t>
        </is>
      </c>
    </row>
    <row r="63">
      <c r="B63" s="7" t="inlineStr">
        <is>
          <t xml:space="preserve">  ↳ APCGun_AA</t>
        </is>
      </c>
      <c r="C63" s="7" t="inlineStr">
        <is>
          <t>Armament@SECONDARY</t>
        </is>
      </c>
      <c r="L63" s="6" t="n">
        <v>4000</v>
      </c>
      <c r="M63" s="6" t="n">
        <v>10</v>
      </c>
      <c r="N63" s="6" t="n">
        <v>1</v>
      </c>
      <c r="O63" s="6" t="n"/>
      <c r="P63" s="6" t="n">
        <v>8502</v>
      </c>
      <c r="Q63" s="6" t="n">
        <v>1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^Warhead_Bullet_Medium, ^Warhead_Flak_Medium</t>
        </is>
      </c>
    </row>
    <row r="64">
      <c r="A64" t="inlineStr">
        <is>
          <t>tiberiandawn</t>
        </is>
      </c>
      <c r="B64" t="inlineStr">
        <is>
          <t>td_gdi_archerartillery</t>
        </is>
      </c>
      <c r="C64" t="inlineStr">
        <is>
          <t>Archer Artillery</t>
        </is>
      </c>
      <c r="D64" s="6" t="inlineStr">
        <is>
          <t>ArtilleryTank</t>
        </is>
      </c>
      <c r="E64" s="6" t="n">
        <v>35000</v>
      </c>
      <c r="F64" s="6" t="n">
        <v>70</v>
      </c>
      <c r="G64" t="inlineStr">
        <is>
          <t>Medium</t>
        </is>
      </c>
      <c r="H64" s="6" t="n">
        <v>0.75</v>
      </c>
      <c r="I64" s="6" t="n">
        <v>0.5</v>
      </c>
      <c r="J64" s="6" t="n">
        <v>1</v>
      </c>
      <c r="K64" s="6" t="n"/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(((E64/140000)+(F64/85)+(S64/525)+((P64/12000)*J64))*700/4+(((E64/140000)*(F64/85))+(((P64/12000)*J64)*(S64/525)))*700/2+((E64/140000)*(F64/85)*((P64/12000)*J64)*(S64/525))*700)*(H64/1.0)/3</f>
        <v/>
      </c>
      <c r="X64" s="6" t="n">
        <v>750</v>
      </c>
      <c r="Y64">
        <f>IFERROR(W64-X64,"")</f>
        <v/>
      </c>
      <c r="Z64">
        <f>IFERROR(ABS(Y64)/MAX(X64,1),"")</f>
        <v/>
      </c>
      <c r="AA64">
        <f>IFERROR(ROUND(((3*X64-(((E64/140000)+(F64/85)+(S64/525))*700/4+((E64/140000)*(F64/85))*700/2)*(H64/1.0))/(700/4+((S64/525))*700/2+((E64/140000)*(F64/85)*(S64/525))*700)*(H64/1.0)*12000)/J64,-1),"")</f>
        <v/>
      </c>
    </row>
    <row r="65">
      <c r="B65" s="7" t="inlineStr">
        <is>
          <t xml:space="preserve">  ↳ ArcherArtilleryShell</t>
        </is>
      </c>
      <c r="C65" s="7" t="inlineStr">
        <is>
          <t>Armament@PRIMARY</t>
        </is>
      </c>
      <c r="L65" s="6" t="n">
        <v>70000</v>
      </c>
      <c r="M65" s="6" t="n">
        <v>140</v>
      </c>
      <c r="N65" s="6" t="n">
        <v>1</v>
      </c>
      <c r="O65" s="6" t="n"/>
      <c r="P65" s="6" t="n">
        <v>14000</v>
      </c>
      <c r="Q65" s="6" t="n">
        <v>1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^MediumCannon, ^HeavyCannon, ^MediumFlameWeapon, ^ShrapnelWeapon, ^HeavyBomb</t>
        </is>
      </c>
    </row>
    <row r="66">
      <c r="A66" t="inlineStr">
        <is>
          <t>tiberiandawn</t>
        </is>
      </c>
      <c r="B66" t="inlineStr">
        <is>
          <t>td_gdi_assaultapc</t>
        </is>
      </c>
      <c r="C66" t="inlineStr">
        <is>
          <t>Assault APC</t>
        </is>
      </c>
      <c r="D66" s="6" t="inlineStr">
        <is>
          <t>LineBreaker</t>
        </is>
      </c>
      <c r="E66" s="6" t="n">
        <v>250000</v>
      </c>
      <c r="F66" s="6" t="n">
        <v>100</v>
      </c>
      <c r="G66" t="inlineStr">
        <is>
          <t>Superheavy</t>
        </is>
      </c>
      <c r="H66" s="6" t="n">
        <v>0.75</v>
      </c>
      <c r="I66" s="6" t="n">
        <v>1</v>
      </c>
      <c r="J66" s="6" t="n">
        <v>1</v>
      </c>
      <c r="K66" s="6" t="n"/>
      <c r="P66">
        <f>MAX(P67,P68,P69,P70)</f>
        <v/>
      </c>
      <c r="S66">
        <f>S67+S68+S69+S70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(((E66/750000)+(F66/80)+(S66/1600)+((P66/2500)*J66))*1600/4+(((E66/750000)*(F66/80))+(((P66/2500)*J66)*(S66/1600)))*1600/2+((E66/750000)*(F66/80)*((P66/2500)*J66)*(S66/1600))*1600)*(H66/1.0)/3</f>
        <v/>
      </c>
      <c r="X66" s="6" t="n">
        <v>4500</v>
      </c>
      <c r="Y66">
        <f>IFERROR(W66-X66,"")</f>
        <v/>
      </c>
      <c r="Z66">
        <f>IFERROR(ABS(Y66)/MAX(X66,1),"")</f>
        <v/>
      </c>
      <c r="AA66">
        <f>IFERROR(ROUND(((3*X66-(((E66/750000)+(F66/80)+(S66/1600))*1600/4+((E66/750000)*(F66/80))*1600/2)*(H66/1.0))/(1600/4+((S66/1600))*1600/2+((E66/750000)*(F66/80)*(S66/1600))*1600)*(H66/1.0)*2500)/J66,-1),"")</f>
        <v/>
      </c>
    </row>
    <row r="67">
      <c r="B67" s="7" t="inlineStr">
        <is>
          <t xml:space="preserve">  ↳ MachineGunHumvee2</t>
        </is>
      </c>
      <c r="C67" s="7" t="inlineStr">
        <is>
          <t>Armament</t>
        </is>
      </c>
      <c r="L67" s="6" t="n">
        <v>2000</v>
      </c>
      <c r="M67" s="6" t="n">
        <v>30</v>
      </c>
      <c r="N67" s="6" t="n">
        <v>4</v>
      </c>
      <c r="O67" s="6" t="n">
        <v>4</v>
      </c>
      <c r="P67" s="6" t="n">
        <v>5598</v>
      </c>
      <c r="Q67" s="6" t="n">
        <v>0.75</v>
      </c>
      <c r="R67">
        <f>M67+IF(N67&gt;1,N(O67)*(N67-1),0)</f>
        <v/>
      </c>
      <c r="S67">
        <f>IFERROR(L67*MAX(N67,1)/R67*IF(ISBLANK(K66),1,K66),0)</f>
        <v/>
      </c>
      <c r="AB67" s="7" t="inlineStr">
        <is>
          <t>^Warhead_Bullet_Light</t>
        </is>
      </c>
    </row>
    <row r="68">
      <c r="B68" s="7" t="inlineStr">
        <is>
          <t xml:space="preserve">  ↳ MachineGunHumvee2_AA</t>
        </is>
      </c>
      <c r="C68" s="7" t="inlineStr">
        <is>
          <t>Armament@AA</t>
        </is>
      </c>
      <c r="L68" s="6" t="n">
        <v>2000</v>
      </c>
      <c r="M68" s="6" t="n">
        <v>30</v>
      </c>
      <c r="N68" s="6" t="n">
        <v>4</v>
      </c>
      <c r="O68" s="6" t="n">
        <v>4</v>
      </c>
      <c r="P68" s="6" t="n">
        <v>8397</v>
      </c>
      <c r="Q68" s="6" t="n">
        <v>0.75</v>
      </c>
      <c r="R68">
        <f>M68+IF(N68&gt;1,N(O68)*(N68-1),0)</f>
        <v/>
      </c>
      <c r="S68">
        <f>IFERROR(L68*MAX(N68,1)/R68*IF(ISBLANK(K66),1,K66),0)</f>
        <v/>
      </c>
      <c r="AB68" s="7" t="inlineStr">
        <is>
          <t>^Warhead_Bullet_Light</t>
        </is>
      </c>
    </row>
    <row r="69">
      <c r="B69" s="7" t="inlineStr">
        <is>
          <t xml:space="preserve">  ↳ MachineGunHumvee2AP</t>
        </is>
      </c>
      <c r="C69" s="7" t="inlineStr">
        <is>
          <t>Armament@Upgrade</t>
        </is>
      </c>
      <c r="L69" s="6" t="n">
        <v>2000</v>
      </c>
      <c r="M69" s="6" t="n">
        <v>30</v>
      </c>
      <c r="N69" s="6" t="n">
        <v>4</v>
      </c>
      <c r="O69" s="6" t="n">
        <v>4</v>
      </c>
      <c r="P69" s="6" t="n">
        <v>5598</v>
      </c>
      <c r="Q69" s="6" t="n">
        <v>1</v>
      </c>
      <c r="R69">
        <f>M69+IF(N69&gt;1,N(O69)*(N69-1),0)</f>
        <v/>
      </c>
      <c r="S69">
        <f>IFERROR(L69*MAX(N69,1)/R69*IF(ISBLANK(K66),1,K66),0)</f>
        <v/>
      </c>
      <c r="AB69" s="7" t="inlineStr">
        <is>
          <t>^Warhead_Bullet_Medium</t>
        </is>
      </c>
    </row>
    <row r="70">
      <c r="B70" s="7" t="inlineStr">
        <is>
          <t xml:space="preserve">  ↳ MachineGunHumvee2AP_AA</t>
        </is>
      </c>
      <c r="C70" s="7" t="inlineStr">
        <is>
          <t>Armament@UpgradeAA</t>
        </is>
      </c>
      <c r="L70" s="6" t="n">
        <v>2000</v>
      </c>
      <c r="M70" s="6" t="n">
        <v>30</v>
      </c>
      <c r="N70" s="6" t="n">
        <v>4</v>
      </c>
      <c r="O70" s="6" t="n">
        <v>4</v>
      </c>
      <c r="P70" s="6" t="n">
        <v>8397</v>
      </c>
      <c r="Q70" s="6" t="n">
        <v>1</v>
      </c>
      <c r="R70">
        <f>M70+IF(N70&gt;1,N(O70)*(N70-1),0)</f>
        <v/>
      </c>
      <c r="S70">
        <f>IFERROR(L70*MAX(N70,1)/R70*IF(ISBLANK(K66),1,K66),0)</f>
        <v/>
      </c>
      <c r="AB70" s="7" t="inlineStr">
        <is>
          <t>^Warhead_Bullet_Medium</t>
        </is>
      </c>
    </row>
    <row r="71">
      <c r="A71" t="inlineStr">
        <is>
          <t>tiberiandawn</t>
        </is>
      </c>
      <c r="B71" t="inlineStr">
        <is>
          <t>td_gdi_battletank</t>
        </is>
      </c>
      <c r="C71" t="inlineStr">
        <is>
          <t>GDI Battle Tank</t>
        </is>
      </c>
      <c r="D71" s="6" t="inlineStr">
        <is>
          <t>MainBattleTank</t>
        </is>
      </c>
      <c r="E71" s="6" t="n">
        <v>125000</v>
      </c>
      <c r="F71" s="6" t="n">
        <v>80</v>
      </c>
      <c r="G71" t="inlineStr">
        <is>
          <t>Heavy</t>
        </is>
      </c>
      <c r="H71" s="6" t="n">
        <v>1</v>
      </c>
      <c r="I71" s="6" t="n">
        <v>1</v>
      </c>
      <c r="J71" s="6" t="n">
        <v>1</v>
      </c>
      <c r="K71" s="6" t="n">
        <v>0.0105</v>
      </c>
      <c r="P71">
        <f>MAX(P72,P73,P74,P75,P76)</f>
        <v/>
      </c>
      <c r="S71">
        <f>S72+S73+S74+S75+S76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(((E71/240000)+(F71/95)+(S71/600)+((P71/5500)*J71))*800/4+(((E71/240000)*(F71/95))+(((P71/5500)*J71)*(S71/600)))*800/2+((E71/240000)*(F71/95)*((P71/5500)*J71)*(S71/600))*800)*(H71/1.0)/3</f>
        <v/>
      </c>
      <c r="X71" s="6" t="n">
        <v>900</v>
      </c>
      <c r="Y71">
        <f>IFERROR(W71-X71,"")</f>
        <v/>
      </c>
      <c r="Z71">
        <f>IFERROR(ABS(Y71)/MAX(X71,1),"")</f>
        <v/>
      </c>
      <c r="AA71">
        <f>IFERROR(ROUND(((3*X71-(((E71/240000)+(F71/95)+(S71/600))*800/4+((E71/240000)*(F71/95))*800/2)*(H71/1.0))/(800/4+((S71/600))*800/2+((E71/240000)*(F71/95)*(S71/600))*800)*(H71/1.0)*5500)/J71,-1),"")</f>
        <v/>
      </c>
    </row>
    <row r="72">
      <c r="B72" s="7" t="inlineStr">
        <is>
          <t xml:space="preserve">  ↳ 120mm</t>
        </is>
      </c>
      <c r="C72" s="7" t="inlineStr">
        <is>
          <t>Armament</t>
        </is>
      </c>
      <c r="L72" s="6" t="n">
        <v>8000</v>
      </c>
      <c r="M72" s="6" t="n">
        <v>72</v>
      </c>
      <c r="N72" s="6" t="n">
        <v>1</v>
      </c>
      <c r="O72" s="6" t="n"/>
      <c r="P72" s="6" t="n">
        <v>5438</v>
      </c>
      <c r="Q72" s="6" t="n">
        <v>1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^Warhead_CannonHE_Medium</t>
        </is>
      </c>
    </row>
    <row r="73">
      <c r="B73" s="7" t="inlineStr">
        <is>
          <t xml:space="preserve">  ↳ 120mmHV</t>
        </is>
      </c>
      <c r="C73" s="7" t="inlineStr">
        <is>
          <t>Armament@HV</t>
        </is>
      </c>
      <c r="L73" s="6" t="n">
        <v>16000</v>
      </c>
      <c r="M73" s="6" t="n">
        <v>72</v>
      </c>
      <c r="N73" s="6" t="n">
        <v>1</v>
      </c>
      <c r="O73" s="6" t="n"/>
      <c r="P73" s="6" t="n">
        <v>5438</v>
      </c>
      <c r="Q73" s="6" t="n">
        <v>1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^Warhead_CannonHE_Medium</t>
        </is>
      </c>
    </row>
    <row r="74">
      <c r="B74" s="7" t="inlineStr">
        <is>
          <t xml:space="preserve">  ↳ M1A1Missiles</t>
        </is>
      </c>
      <c r="C74" s="7" t="inlineStr">
        <is>
          <t>Armament@Missile</t>
        </is>
      </c>
      <c r="L74" s="6" t="n">
        <v>8000</v>
      </c>
      <c r="M74" s="6" t="n">
        <v>72</v>
      </c>
      <c r="N74" s="6" t="n">
        <v>1</v>
      </c>
      <c r="O74" s="6" t="n"/>
      <c r="P74" s="6" t="n">
        <v>5400</v>
      </c>
      <c r="Q74" s="6" t="n">
        <v>1</v>
      </c>
      <c r="R74">
        <f>M74+IF(N74&gt;1,N(O74)*(N74-1),0)</f>
        <v/>
      </c>
      <c r="S74">
        <f>IFERROR(L74*MAX(N74,1)/R74*IF(ISBLANK(K71),1,K71),0)</f>
        <v/>
      </c>
      <c r="AB74" s="7" t="inlineStr">
        <is>
          <t>^Warhead_MissileAP_Medium</t>
        </is>
      </c>
    </row>
    <row r="75">
      <c r="B75" s="7" t="inlineStr">
        <is>
          <t xml:space="preserve">  ↳ M1A1MissilesAMT</t>
        </is>
      </c>
      <c r="C75" s="7" t="inlineStr">
        <is>
          <t>Armament@AdvancedMissileTargeting</t>
        </is>
      </c>
      <c r="L75" s="6" t="n">
        <v>8000</v>
      </c>
      <c r="M75" s="6" t="n">
        <v>72</v>
      </c>
      <c r="N75" s="6" t="n">
        <v>1</v>
      </c>
      <c r="O75" s="6" t="n"/>
      <c r="P75" s="6" t="n">
        <v>5400</v>
      </c>
      <c r="Q75" s="6" t="n">
        <v>1</v>
      </c>
      <c r="R75">
        <f>M75+IF(N75&gt;1,N(O75)*(N75-1),0)</f>
        <v/>
      </c>
      <c r="S75">
        <f>IFERROR(L75*MAX(N75,1)/R75*IF(ISBLANK(K71),1,K71),0)</f>
        <v/>
      </c>
      <c r="AB75" s="7" t="inlineStr">
        <is>
          <t>^Warhead_MissileAP_Medium</t>
        </is>
      </c>
    </row>
    <row r="76">
      <c r="B76" s="7" t="inlineStr">
        <is>
          <t xml:space="preserve">  ↳ M1A1MachineGun</t>
        </is>
      </c>
      <c r="C76" s="7" t="inlineStr">
        <is>
          <t>Armament@MachineGun</t>
        </is>
      </c>
      <c r="L76" s="6" t="n">
        <v>2000</v>
      </c>
      <c r="M76" s="6" t="n">
        <v>68</v>
      </c>
      <c r="N76" s="6" t="n">
        <v>4</v>
      </c>
      <c r="O76" s="6" t="n"/>
      <c r="P76" s="6" t="n">
        <v>5400</v>
      </c>
      <c r="Q76" s="6" t="n">
        <v>1</v>
      </c>
      <c r="R76">
        <f>M76+IF(N76&gt;1,N(O76)*(N76-1),0)</f>
        <v/>
      </c>
      <c r="S76">
        <f>IFERROR(L76*MAX(N76,1)/R76*IF(ISBLANK(K71),1,K71),0)</f>
        <v/>
      </c>
      <c r="AB76" s="7" t="inlineStr">
        <is>
          <t>^Warhead_Bullet_Medium</t>
        </is>
      </c>
    </row>
    <row r="77">
      <c r="A77" t="inlineStr">
        <is>
          <t>tiberiandawn</t>
        </is>
      </c>
      <c r="B77" t="inlineStr">
        <is>
          <t>td_gdi_boxer</t>
        </is>
      </c>
      <c r="C77" t="inlineStr">
        <is>
          <t>Boxer</t>
        </is>
      </c>
      <c r="D77" s="6" t="inlineStr">
        <is>
          <t>SupportVehicle</t>
        </is>
      </c>
      <c r="E77" s="6" t="n">
        <v>110000</v>
      </c>
      <c r="F77" s="6" t="n">
        <v>80</v>
      </c>
      <c r="G77" t="inlineStr">
        <is>
          <t>Medium</t>
        </is>
      </c>
      <c r="H77" s="6" t="n">
        <v>1</v>
      </c>
      <c r="I77" s="6" t="n">
        <v>1</v>
      </c>
      <c r="J77" s="6" t="n">
        <v>1.25</v>
      </c>
      <c r="K77" s="6" t="n">
        <v>0.005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1550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BoxerCannonAG</t>
        </is>
      </c>
      <c r="C78" s="7" t="inlineStr">
        <is>
          <t>Armament@AG</t>
        </is>
      </c>
      <c r="L78" s="6" t="n">
        <v>12000</v>
      </c>
      <c r="M78" s="6" t="n">
        <v>11</v>
      </c>
      <c r="N78" s="6" t="n">
        <v>1</v>
      </c>
      <c r="O78" s="6" t="n"/>
      <c r="P78" s="6" t="n">
        <v>4860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>
        <is>
          <t>^SmallArms, ^LightMissile, ^Grenade, ^MediumCannon, ^Chaingun, ^FlakWeapon</t>
        </is>
      </c>
    </row>
    <row r="79">
      <c r="B79" s="7" t="inlineStr">
        <is>
          <t xml:space="preserve">  ↳ BoxerCannon_AA</t>
        </is>
      </c>
      <c r="C79" s="7" t="inlineStr">
        <is>
          <t>Armament@AA</t>
        </is>
      </c>
      <c r="L79" s="6" t="n">
        <v>12000</v>
      </c>
      <c r="M79" s="6" t="n">
        <v>11</v>
      </c>
      <c r="N79" s="6" t="n">
        <v>1</v>
      </c>
      <c r="O79" s="6" t="n"/>
      <c r="P79" s="6" t="n">
        <v>7290</v>
      </c>
      <c r="Q79" s="6" t="n">
        <v>1</v>
      </c>
      <c r="R79">
        <f>M79+IF(N79&gt;1,N(O79)*(N79-1),0)</f>
        <v/>
      </c>
      <c r="S79">
        <f>IFERROR(L79*MAX(N79,1)/R79*IF(ISBLANK(K77),1,K77),0)</f>
        <v/>
      </c>
      <c r="AB79" s="7" t="inlineStr">
        <is>
          <t>BoxerCannonAG</t>
        </is>
      </c>
    </row>
    <row r="80">
      <c r="A80" t="inlineStr">
        <is>
          <t>tiberiandawn</t>
        </is>
      </c>
      <c r="B80" t="inlineStr">
        <is>
          <t>td_gdi_defenserig</t>
        </is>
      </c>
      <c r="C80" t="inlineStr">
        <is>
          <t>GDI Defense Rig</t>
        </is>
      </c>
      <c r="D80" s="6" t="inlineStr">
        <is>
          <t>EpicVehicle</t>
        </is>
      </c>
      <c r="E80" s="6" t="n">
        <v>400000</v>
      </c>
      <c r="F80" s="6" t="n">
        <v>60</v>
      </c>
      <c r="G80" t="inlineStr">
        <is>
          <t>Superheavy</t>
        </is>
      </c>
      <c r="H80" s="6" t="n">
        <v>0.3793</v>
      </c>
      <c r="I80" s="6" t="n">
        <v>1</v>
      </c>
      <c r="J80" s="6" t="n">
        <v>1</v>
      </c>
      <c r="K80" s="6" t="n"/>
      <c r="P80">
        <f>MAX(P81,P82,P83,P84,P85,P86,P87,P88,P89)</f>
        <v/>
      </c>
      <c r="S80">
        <f>S81+S82+S83+S84+S85+S86+S87+S88+S89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(((E80/4000000)+(F80/60)+(S80/20000)+((P80/8500)*J80))*10000/4+(((E80/4000000)*(F80/60))+(((P80/8500)*J80)*(S80/20000)))*10000/2+((E80/4000000)*(F80/60)*((P80/8500)*J80)*(S80/20000))*10000)*(H80/0.75)/3</f>
        <v/>
      </c>
      <c r="X80" s="6" t="n">
        <v>5000</v>
      </c>
      <c r="Y80">
        <f>IFERROR(W80-X80,"")</f>
        <v/>
      </c>
      <c r="Z80">
        <f>IFERROR(ABS(Y80)/MAX(X80,1),"")</f>
        <v/>
      </c>
      <c r="AA80">
        <f>IFERROR(ROUND(((3*X80-(((E80/4000000)+(F80/60)+(S80/20000))*10000/4+((E80/4000000)*(F80/60))*10000/2)*(H80/0.75))/(10000/4+((S80/20000))*10000/2+((E80/4000000)*(F80/60)*(S80/20000))*10000)*(H80/0.75)*8500)/J80,-1),"")</f>
        <v/>
      </c>
    </row>
    <row r="81">
      <c r="B81" s="7" t="inlineStr">
        <is>
          <t xml:space="preserve">  ↳ GDIRigPDLaser</t>
        </is>
      </c>
      <c r="C81" s="7" t="inlineStr">
        <is>
          <t>Armament@pointdefense</t>
        </is>
      </c>
      <c r="L81" s="6" t="n">
        <v>2000</v>
      </c>
      <c r="M81" s="6" t="n">
        <v>25</v>
      </c>
      <c r="N81" s="6" t="n">
        <v>1</v>
      </c>
      <c r="O81" s="6" t="n"/>
      <c r="P81" s="6" t="n">
        <v>6000</v>
      </c>
      <c r="Q81" s="6" t="n">
        <v>1.25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^Warhead_Laser_Heavy</t>
        </is>
      </c>
    </row>
    <row r="82">
      <c r="B82" s="7" t="inlineStr">
        <is>
          <t xml:space="preserve">  ↳ GDIRigPDLaserTower</t>
        </is>
      </c>
      <c r="C82" s="7" t="inlineStr">
        <is>
          <t>Armament@pointdefensedeployed</t>
        </is>
      </c>
      <c r="L82" s="6" t="n">
        <v>2000</v>
      </c>
      <c r="M82" s="6" t="n">
        <v>25</v>
      </c>
      <c r="N82" s="6" t="n">
        <v>1</v>
      </c>
      <c r="O82" s="6" t="n"/>
      <c r="P82" s="6" t="n">
        <v>9350</v>
      </c>
      <c r="Q82" s="6" t="n">
        <v>1.25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^Warhead_Laser_Heavy</t>
        </is>
      </c>
    </row>
    <row r="83">
      <c r="B83" s="7" t="inlineStr">
        <is>
          <t xml:space="preserve">  ↳ GDIRigDroneTargeting</t>
        </is>
      </c>
      <c r="C83" s="7" t="inlineStr">
        <is>
          <t>Armament@DroneTargeting</t>
        </is>
      </c>
      <c r="L83" s="6" t="n">
        <v>-3000</v>
      </c>
      <c r="M83" s="6" t="n">
        <v>5</v>
      </c>
      <c r="N83" s="6" t="n">
        <v>1</v>
      </c>
      <c r="O83" s="6" t="n">
        <v>1</v>
      </c>
      <c r="P83" s="6" t="n">
        <v>6000</v>
      </c>
      <c r="Q83" s="6" t="n">
        <v>1</v>
      </c>
      <c r="R83">
        <f>M83+IF(N83&gt;1,N(O83)*(N83-1),0)</f>
        <v/>
      </c>
      <c r="S83">
        <f>IFERROR(L83*MAX(N83,1)/R83*IF(ISBLANK(K80),1,K80),0)</f>
        <v/>
      </c>
      <c r="AB83" s="7" t="inlineStr">
        <is>
          <t>^RepairWeapon</t>
        </is>
      </c>
    </row>
    <row r="84">
      <c r="B84" s="7" t="inlineStr">
        <is>
          <t xml:space="preserve">  ↳ GDIRigDroneTargetingTower</t>
        </is>
      </c>
      <c r="C84" s="7" t="inlineStr">
        <is>
          <t>Armament@DroneTargetingDeployed</t>
        </is>
      </c>
      <c r="L84" s="6" t="n">
        <v>-3000</v>
      </c>
      <c r="M84" s="6" t="n">
        <v>5</v>
      </c>
      <c r="N84" s="6" t="n">
        <v>1</v>
      </c>
      <c r="O84" s="6" t="n">
        <v>1</v>
      </c>
      <c r="P84" s="6" t="n">
        <v>6000</v>
      </c>
      <c r="Q84" s="6" t="n">
        <v>1</v>
      </c>
      <c r="R84">
        <f>M84+IF(N84&gt;1,N(O84)*(N84-1),0)</f>
        <v/>
      </c>
      <c r="S84">
        <f>IFERROR(L84*MAX(N84,1)/R84*IF(ISBLANK(K80),1,K80),0)</f>
        <v/>
      </c>
      <c r="AB84" s="7" t="inlineStr">
        <is>
          <t>GDIRigDroneTargeting</t>
        </is>
      </c>
    </row>
    <row r="85">
      <c r="B85" s="7" t="inlineStr">
        <is>
          <t xml:space="preserve">  ↳ GDIRigPhalanx</t>
        </is>
      </c>
      <c r="C85" s="7" t="inlineStr">
        <is>
          <t>Armament@mobile</t>
        </is>
      </c>
      <c r="L85" s="6" t="n">
        <v>24000</v>
      </c>
      <c r="M85" s="6" t="n">
        <v>8</v>
      </c>
      <c r="N85" s="6" t="n">
        <v>1</v>
      </c>
      <c r="O85" s="6" t="n"/>
      <c r="P85" s="6" t="n">
        <v>6000</v>
      </c>
      <c r="Q85" s="6" t="n">
        <v>1</v>
      </c>
      <c r="R85">
        <f>M85+IF(N85&gt;1,N(O85)*(N85-1),0)</f>
        <v/>
      </c>
      <c r="S85">
        <f>IFERROR(L85*MAX(N85,1)/R85*IF(ISBLANK(K80),1,K80),0)</f>
        <v/>
      </c>
      <c r="AB85" s="7" t="inlineStr">
        <is>
          <t>^TankDestroyerCannon, ^SmallArms, ^Grenade, ^MediumCannon, ^FlakWeapon, ^Chaingun</t>
        </is>
      </c>
    </row>
    <row r="86">
      <c r="B86" s="7" t="inlineStr">
        <is>
          <t xml:space="preserve">  ↳ GDIRigPhalanxTower</t>
        </is>
      </c>
      <c r="C86" s="7" t="inlineStr">
        <is>
          <t>Armament@Phalanx</t>
        </is>
      </c>
      <c r="L86" s="6" t="n">
        <v>24000</v>
      </c>
      <c r="M86" s="6" t="n">
        <v>10</v>
      </c>
      <c r="N86" s="6" t="n">
        <v>1</v>
      </c>
      <c r="O86" s="6" t="n"/>
      <c r="P86" s="6" t="n">
        <v>9350</v>
      </c>
      <c r="Q86" s="6" t="n">
        <v>1</v>
      </c>
      <c r="R86">
        <f>M86+IF(N86&gt;1,N(O86)*(N86-1),0)</f>
        <v/>
      </c>
      <c r="S86">
        <f>IFERROR(L86*MAX(N86,1)/R86*IF(ISBLANK(K80),1,K80),0)</f>
        <v/>
      </c>
      <c r="AB86" s="7" t="inlineStr">
        <is>
          <t>GDIRigPhalanx</t>
        </is>
      </c>
    </row>
    <row r="87">
      <c r="B87" s="7" t="inlineStr">
        <is>
          <t xml:space="preserve">  ↳ GDIRigRailgun</t>
        </is>
      </c>
      <c r="C87" s="7" t="inlineStr">
        <is>
          <t>Armament@Railgun</t>
        </is>
      </c>
      <c r="L87" s="6" t="n">
        <v>160000</v>
      </c>
      <c r="M87" s="6" t="n">
        <v>95</v>
      </c>
      <c r="N87" s="6" t="n">
        <v>1</v>
      </c>
      <c r="O87" s="6" t="n"/>
      <c r="P87" s="6" t="n">
        <v>9350</v>
      </c>
      <c r="Q87" s="6" t="n">
        <v>1.25</v>
      </c>
      <c r="R87">
        <f>M87+IF(N87&gt;1,N(O87)*(N87-1),0)</f>
        <v/>
      </c>
      <c r="S87">
        <f>IFERROR(L87*MAX(N87,1)/R87*IF(ISBLANK(K80),1,K80),0)</f>
        <v/>
      </c>
      <c r="AB87" s="7" t="inlineStr">
        <is>
          <t>^Warhead_Railgun_Heavy</t>
        </is>
      </c>
    </row>
    <row r="88">
      <c r="B88" s="7" t="inlineStr">
        <is>
          <t xml:space="preserve">  ↳ GDIRigMissilePod</t>
        </is>
      </c>
      <c r="C88" s="7" t="inlineStr">
        <is>
          <t>Armament@MissilePod</t>
        </is>
      </c>
      <c r="L88" s="6" t="n">
        <v>32000</v>
      </c>
      <c r="M88" s="6" t="n">
        <v>45</v>
      </c>
      <c r="N88" s="6" t="n">
        <v>4</v>
      </c>
      <c r="O88" s="6" t="n">
        <v>5</v>
      </c>
      <c r="P88" s="6" t="n">
        <v>9350</v>
      </c>
      <c r="Q88" s="6" t="n">
        <v>1</v>
      </c>
      <c r="R88">
        <f>M88+IF(N88&gt;1,N(O88)*(N88-1),0)</f>
        <v/>
      </c>
      <c r="S88">
        <f>IFERROR(L88*MAX(N88,1)/R88*IF(ISBLANK(K80),1,K80),0)</f>
        <v/>
      </c>
      <c r="AB88" s="7" t="inlineStr">
        <is>
          <t>^FlakWeapon, ^Grenade, ^HeavyMissile, ^MediumMissile</t>
        </is>
      </c>
    </row>
    <row r="89">
      <c r="B89" s="7" t="inlineStr">
        <is>
          <t xml:space="preserve">  ↳ GDIRigMissilePodAMT</t>
        </is>
      </c>
      <c r="C89" s="7" t="inlineStr">
        <is>
          <t>Armament@AdvancedMissileTargeting</t>
        </is>
      </c>
      <c r="L89" s="6" t="n">
        <v>32000</v>
      </c>
      <c r="M89" s="6" t="n">
        <v>45</v>
      </c>
      <c r="N89" s="6" t="n">
        <v>4</v>
      </c>
      <c r="O89" s="6" t="n">
        <v>5</v>
      </c>
      <c r="P89" s="6" t="n">
        <v>9350</v>
      </c>
      <c r="Q89" s="6" t="n">
        <v>1</v>
      </c>
      <c r="R89">
        <f>M89+IF(N89&gt;1,N(O89)*(N89-1),0)</f>
        <v/>
      </c>
      <c r="S89">
        <f>IFERROR(L89*MAX(N89,1)/R89*IF(ISBLANK(K80),1,K80),0)</f>
        <v/>
      </c>
      <c r="AB89" s="7" t="inlineStr">
        <is>
          <t>GDIRigMissilePod, ^AMTProjectile</t>
        </is>
      </c>
    </row>
    <row r="90">
      <c r="A90" t="inlineStr">
        <is>
          <t>tiberiandawn</t>
        </is>
      </c>
      <c r="B90" t="inlineStr">
        <is>
          <t>td_gdi_exosuit</t>
        </is>
      </c>
      <c r="C90" t="inlineStr">
        <is>
          <t>Exosuit</t>
        </is>
      </c>
      <c r="D90" s="6" t="inlineStr">
        <is>
          <t>FireSupport</t>
        </is>
      </c>
      <c r="E90" s="6" t="n">
        <v>50000</v>
      </c>
      <c r="F90" s="6" t="n">
        <v>100</v>
      </c>
      <c r="G90" t="inlineStr">
        <is>
          <t>Light</t>
        </is>
      </c>
      <c r="H90" s="6" t="n">
        <v>0.3793</v>
      </c>
      <c r="I90" s="6" t="n">
        <v>1</v>
      </c>
      <c r="J90" s="6" t="n">
        <v>1</v>
      </c>
      <c r="K90" s="6" t="n">
        <v>0.012</v>
      </c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(((E90/120000)+(F90/90)+(S90/2100)+((P90/10000)*J90))*1400/4+(((E90/120000)*(F90/90))+(((P90/10000)*J90)*(S90/2100)))*1400/2+((E90/120000)*(F90/90)*((P90/10000)*J90)*(S90/2100))*1400)*(H90/0.6735)/3</f>
        <v/>
      </c>
      <c r="X90" s="6" t="n">
        <v>1200</v>
      </c>
      <c r="Y90">
        <f>IFERROR(W90-X90,"")</f>
        <v/>
      </c>
      <c r="Z90">
        <f>IFERROR(ABS(Y90)/MAX(X90,1),"")</f>
        <v/>
      </c>
      <c r="AA90">
        <f>IFERROR(ROUND(((3*X90-(((E90/120000)+(F90/90)+(S90/2100))*1400/4+((E90/120000)*(F90/90))*1400/2)*(H90/0.6735))/(1400/4+((S90/2100))*1400/2+((E90/120000)*(F90/90)*(S90/2100))*1400)*(H90/0.6735)*10000)/J90,-1),"")</f>
        <v/>
      </c>
    </row>
    <row r="91">
      <c r="B91" s="7" t="inlineStr">
        <is>
          <t xml:space="preserve">  ↳ ExosuitRailgun</t>
        </is>
      </c>
      <c r="C91" s="7" t="inlineStr">
        <is>
          <t>Armament@Railgun</t>
        </is>
      </c>
      <c r="L91" s="6" t="n">
        <v>20000</v>
      </c>
      <c r="M91" s="6" t="n">
        <v>75</v>
      </c>
      <c r="N91" s="6" t="n">
        <v>2</v>
      </c>
      <c r="O91" s="6" t="n">
        <v>5</v>
      </c>
      <c r="P91" s="6" t="n">
        <v>6806</v>
      </c>
      <c r="Q91" s="6" t="n">
        <v>1.25</v>
      </c>
      <c r="R91">
        <f>M91+IF(N91&gt;1,N(O91)*(N91-1),0)</f>
        <v/>
      </c>
      <c r="S91">
        <f>IFERROR(L91*MAX(N91,1)/R91*IF(ISBLANK(K90),1,K90),0)</f>
        <v/>
      </c>
      <c r="AB91" s="7" t="inlineStr">
        <is>
          <t>^Warhead_Railgun_Heavy</t>
        </is>
      </c>
    </row>
    <row r="92">
      <c r="A92" t="inlineStr">
        <is>
          <t>tiberiandawn</t>
        </is>
      </c>
      <c r="B92" t="inlineStr">
        <is>
          <t>td_gdi_humvee</t>
        </is>
      </c>
      <c r="C92" t="inlineStr">
        <is>
          <t>GDI Humvee</t>
        </is>
      </c>
      <c r="D92" s="6" t="inlineStr">
        <is>
          <t>ScoutVehicle</t>
        </is>
      </c>
      <c r="E92" s="6" t="n">
        <v>27500</v>
      </c>
      <c r="F92" s="6" t="n">
        <v>150</v>
      </c>
      <c r="G92" t="inlineStr">
        <is>
          <t>Scout</t>
        </is>
      </c>
      <c r="H92" s="6" t="n">
        <v>1</v>
      </c>
      <c r="I92" s="6" t="n">
        <v>0.333</v>
      </c>
      <c r="J92" s="6" t="n">
        <v>1</v>
      </c>
      <c r="K92" s="6" t="n"/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(((E92/30000)+(F92/200)+(S92/450)+((P92/4500)*J92))*300/4+(((E92/30000)*(F92/200))+(((P92/4500)*J92)*(S92/450)))*300/2+((E92/30000)*(F92/200)*((P92/4500)*J92)*(S92/450))*300)*(H92/1.0)/3</f>
        <v/>
      </c>
      <c r="X92" s="6" t="n">
        <v>400</v>
      </c>
      <c r="Y92">
        <f>IFERROR(W92-X92,"")</f>
        <v/>
      </c>
      <c r="Z92">
        <f>IFERROR(ABS(Y92)/MAX(X92,1),"")</f>
        <v/>
      </c>
      <c r="AA92">
        <f>IFERROR(ROUND(((3*X92-(((E92/30000)+(F92/200)+(S92/450))*300/4+((E92/30000)*(F92/200))*300/2)*(H92/1.0))/(300/4+((S92/450))*300/2+((E92/30000)*(F92/200)*(S92/450))*300)*(H92/1.0)*4500)/J92,-1),"")</f>
        <v/>
      </c>
    </row>
    <row r="93">
      <c r="B93" s="7" t="inlineStr">
        <is>
          <t xml:space="preserve">  ↳ MachineGunH</t>
        </is>
      </c>
      <c r="C93" s="7" t="inlineStr">
        <is>
          <t>Armament</t>
        </is>
      </c>
      <c r="L93" s="6" t="n">
        <v>6000</v>
      </c>
      <c r="M93" s="6" t="n">
        <v>9</v>
      </c>
      <c r="N93" s="6" t="n">
        <v>3</v>
      </c>
      <c r="O93" s="6" t="n">
        <v>6</v>
      </c>
      <c r="P93" s="6" t="n">
        <v>4792</v>
      </c>
      <c r="Q93" s="6" t="n">
        <v>0.75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^Warhead_Bullet_Light</t>
        </is>
      </c>
    </row>
    <row r="94">
      <c r="B94" s="7" t="inlineStr">
        <is>
          <t xml:space="preserve">  ↳ MachineGunAPH</t>
        </is>
      </c>
      <c r="C94" s="7" t="inlineStr">
        <is>
          <t>Armament@Upgrade</t>
        </is>
      </c>
      <c r="L94" s="6" t="n">
        <v>6000</v>
      </c>
      <c r="M94" s="6" t="n">
        <v>9</v>
      </c>
      <c r="N94" s="6" t="n">
        <v>3</v>
      </c>
      <c r="O94" s="6" t="n">
        <v>6</v>
      </c>
      <c r="P94" s="6" t="n">
        <v>4792</v>
      </c>
      <c r="Q94" s="6" t="n">
        <v>1</v>
      </c>
      <c r="R94">
        <f>M94+IF(N94&gt;1,N(O94)*(N94-1),0)</f>
        <v/>
      </c>
      <c r="S94">
        <f>IFERROR(L94*MAX(N94,1)/R94*IF(ISBLANK(K92),1,K92),0)</f>
        <v/>
      </c>
      <c r="AB94" s="7" t="inlineStr">
        <is>
          <t>^Warhead_Bullet_Medium</t>
        </is>
      </c>
    </row>
    <row r="95">
      <c r="A95" t="inlineStr">
        <is>
          <t>tiberiandawn</t>
        </is>
      </c>
      <c r="B95" t="inlineStr">
        <is>
          <t>td_gdi_humveemkii</t>
        </is>
      </c>
      <c r="C95" t="inlineStr">
        <is>
          <t>Humvee Mk. II</t>
        </is>
      </c>
      <c r="D95" s="6" t="inlineStr">
        <is>
          <t>ScoutVehicle</t>
        </is>
      </c>
      <c r="E95" s="6" t="n">
        <v>37500</v>
      </c>
      <c r="F95" s="6" t="n">
        <v>115</v>
      </c>
      <c r="G95" t="inlineStr">
        <is>
          <t>Scout</t>
        </is>
      </c>
      <c r="H95" s="6" t="n">
        <v>0.8919</v>
      </c>
      <c r="I95" s="6" t="n">
        <v>1</v>
      </c>
      <c r="J95" s="6" t="n">
        <v>1</v>
      </c>
      <c r="K95" s="6" t="n">
        <v>0.005</v>
      </c>
      <c r="P95">
        <f>MAX(P96,P97,P98,P99,P100,P101,P102,P103)</f>
        <v/>
      </c>
      <c r="S95">
        <f>S96+S97+S98+S99+S100+S101+S102+S103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(((E95/30000)+(F95/200)+(S95/450)+((P95/4500)*J95))*300/4+(((E95/30000)*(F95/200))+(((P95/4500)*J95)*(S95/450)))*300/2+((E95/30000)*(F95/200)*((P95/4500)*J95)*(S95/450))*300)*(H95/1.0)/3</f>
        <v/>
      </c>
      <c r="X95" s="6" t="n">
        <v>600</v>
      </c>
      <c r="Y95">
        <f>IFERROR(W95-X95,"")</f>
        <v/>
      </c>
      <c r="Z95">
        <f>IFERROR(ABS(Y95)/MAX(X95,1),"")</f>
        <v/>
      </c>
      <c r="AA95">
        <f>IFERROR(ROUND(((3*X95-(((E95/30000)+(F95/200)+(S95/450))*300/4+((E95/30000)*(F95/200))*300/2)*(H95/1.0))/(300/4+((S95/450))*300/2+((E95/30000)*(F95/200)*(S95/450))*300)*(H95/1.0)*4500)/J95,-1),"")</f>
        <v/>
      </c>
    </row>
    <row r="96">
      <c r="B96" s="7" t="inlineStr">
        <is>
          <t xml:space="preserve">  ↳ MachineGunHumvee2</t>
        </is>
      </c>
      <c r="C96" s="7" t="inlineStr">
        <is>
          <t>Armament</t>
        </is>
      </c>
      <c r="L96" s="6" t="n">
        <v>2000</v>
      </c>
      <c r="M96" s="6" t="n">
        <v>30</v>
      </c>
      <c r="N96" s="6" t="n">
        <v>4</v>
      </c>
      <c r="O96" s="6" t="n">
        <v>4</v>
      </c>
      <c r="P96" s="6" t="n">
        <v>5598</v>
      </c>
      <c r="Q96" s="6" t="n">
        <v>0.75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^Warhead_Bullet_Light</t>
        </is>
      </c>
    </row>
    <row r="97">
      <c r="B97" s="7" t="inlineStr">
        <is>
          <t xml:space="preserve">  ↳ MachineGunHumvee2AP</t>
        </is>
      </c>
      <c r="C97" s="7" t="inlineStr">
        <is>
          <t>Armament@Upgrade</t>
        </is>
      </c>
      <c r="L97" s="6" t="n">
        <v>2000</v>
      </c>
      <c r="M97" s="6" t="n">
        <v>30</v>
      </c>
      <c r="N97" s="6" t="n">
        <v>4</v>
      </c>
      <c r="O97" s="6" t="n">
        <v>4</v>
      </c>
      <c r="P97" s="6" t="n">
        <v>5598</v>
      </c>
      <c r="Q97" s="6" t="n">
        <v>1</v>
      </c>
      <c r="R97">
        <f>M97+IF(N97&gt;1,N(O97)*(N97-1),0)</f>
        <v/>
      </c>
      <c r="S97">
        <f>IFERROR(L97*MAX(N97,1)/R97*IF(ISBLANK(K95),1,K95),0)</f>
        <v/>
      </c>
      <c r="AB97" s="7" t="inlineStr">
        <is>
          <t>^Warhead_Bullet_Medium</t>
        </is>
      </c>
    </row>
    <row r="98">
      <c r="B98" s="7" t="inlineStr">
        <is>
          <t xml:space="preserve">  ↳ MachineGunHumvee2_AA</t>
        </is>
      </c>
      <c r="C98" s="7" t="inlineStr">
        <is>
          <t>Armament@AA</t>
        </is>
      </c>
      <c r="L98" s="6" t="n">
        <v>2000</v>
      </c>
      <c r="M98" s="6" t="n">
        <v>30</v>
      </c>
      <c r="N98" s="6" t="n">
        <v>4</v>
      </c>
      <c r="O98" s="6" t="n">
        <v>4</v>
      </c>
      <c r="P98" s="6" t="n">
        <v>8397</v>
      </c>
      <c r="Q98" s="6" t="n">
        <v>0.75</v>
      </c>
      <c r="R98">
        <f>M98+IF(N98&gt;1,N(O98)*(N98-1),0)</f>
        <v/>
      </c>
      <c r="S98">
        <f>IFERROR(L98*MAX(N98,1)/R98*IF(ISBLANK(K95),1,K95),0)</f>
        <v/>
      </c>
      <c r="AB98" s="7" t="inlineStr">
        <is>
          <t>^Warhead_Bullet_Light</t>
        </is>
      </c>
    </row>
    <row r="99">
      <c r="B99" s="7" t="inlineStr">
        <is>
          <t xml:space="preserve">  ↳ MachineGunHumvee2AP_AA</t>
        </is>
      </c>
      <c r="C99" s="7" t="inlineStr">
        <is>
          <t>Armament@UpgradeAA</t>
        </is>
      </c>
      <c r="L99" s="6" t="n">
        <v>2000</v>
      </c>
      <c r="M99" s="6" t="n">
        <v>30</v>
      </c>
      <c r="N99" s="6" t="n">
        <v>4</v>
      </c>
      <c r="O99" s="6" t="n">
        <v>4</v>
      </c>
      <c r="P99" s="6" t="n">
        <v>8397</v>
      </c>
      <c r="Q99" s="6" t="n">
        <v>1</v>
      </c>
      <c r="R99">
        <f>M99+IF(N99&gt;1,N(O99)*(N99-1),0)</f>
        <v/>
      </c>
      <c r="S99">
        <f>IFERROR(L99*MAX(N99,1)/R99*IF(ISBLANK(K95),1,K95),0)</f>
        <v/>
      </c>
      <c r="AB99" s="7" t="inlineStr">
        <is>
          <t>^Warhead_Bullet_Medium</t>
        </is>
      </c>
    </row>
    <row r="100">
      <c r="B100" s="7" t="inlineStr">
        <is>
          <t xml:space="preserve">  ↳ RocketsHumvee2</t>
        </is>
      </c>
      <c r="C100" s="7" t="inlineStr">
        <is>
          <t>Armament@Rockets</t>
        </is>
      </c>
      <c r="L100" s="6" t="n">
        <v>16000</v>
      </c>
      <c r="M100" s="6" t="n">
        <v>84</v>
      </c>
      <c r="N100" s="6" t="n">
        <v>1</v>
      </c>
      <c r="O100" s="6" t="n"/>
      <c r="P100" s="6" t="n">
        <v>5598</v>
      </c>
      <c r="Q100" s="6" t="n">
        <v>0.75</v>
      </c>
      <c r="R100">
        <f>M100+IF(N100&gt;1,N(O100)*(N100-1),0)</f>
        <v/>
      </c>
      <c r="S100">
        <f>IFERROR(L100*MAX(N100,1)/R100*IF(ISBLANK(K95),1,K95),0)</f>
        <v/>
      </c>
      <c r="AB100" s="7" t="inlineStr">
        <is>
          <t>^Warhead_MissileAP_Light</t>
        </is>
      </c>
    </row>
    <row r="101">
      <c r="B101" s="7" t="inlineStr">
        <is>
          <t xml:space="preserve">  ↳ RocketsHumvee2_AA</t>
        </is>
      </c>
      <c r="C101" s="7" t="inlineStr">
        <is>
          <t>Armament@RocketsAA</t>
        </is>
      </c>
      <c r="L101" s="6" t="n">
        <v>16000</v>
      </c>
      <c r="M101" s="6" t="n">
        <v>84</v>
      </c>
      <c r="N101" s="6" t="n">
        <v>1</v>
      </c>
      <c r="O101" s="6" t="n"/>
      <c r="P101" s="6" t="n">
        <v>8397</v>
      </c>
      <c r="Q101" s="6" t="n">
        <v>0.75</v>
      </c>
      <c r="R101">
        <f>M101+IF(N101&gt;1,N(O101)*(N101-1),0)</f>
        <v/>
      </c>
      <c r="S101">
        <f>IFERROR(L101*MAX(N101,1)/R101*IF(ISBLANK(K95),1,K95),0)</f>
        <v/>
      </c>
      <c r="AB101" s="7" t="inlineStr">
        <is>
          <t>^Warhead_MissileAP_Light</t>
        </is>
      </c>
    </row>
    <row r="102">
      <c r="B102" s="7" t="inlineStr">
        <is>
          <t xml:space="preserve">  ↳ RocketsHumvee2AMT</t>
        </is>
      </c>
      <c r="C102" s="7" t="inlineStr">
        <is>
          <t>Armament@AdvancedMissileTargeting</t>
        </is>
      </c>
      <c r="L102" s="6" t="n">
        <v>32000</v>
      </c>
      <c r="M102" s="6" t="n">
        <v>84</v>
      </c>
      <c r="N102" s="6" t="n">
        <v>1</v>
      </c>
      <c r="O102" s="6" t="n"/>
      <c r="P102" s="6" t="n">
        <v>5598</v>
      </c>
      <c r="Q102" s="6" t="n">
        <v>1</v>
      </c>
      <c r="R102">
        <f>M102+IF(N102&gt;1,N(O102)*(N102-1),0)</f>
        <v/>
      </c>
      <c r="S102">
        <f>IFERROR(L102*MAX(N102,1)/R102*IF(ISBLANK(K95),1,K95),0)</f>
        <v/>
      </c>
      <c r="AB102" s="7" t="inlineStr">
        <is>
          <t>^Warhead_MissileAP_Heavy, ^Warhead_MissileAP_Light</t>
        </is>
      </c>
    </row>
    <row r="103">
      <c r="B103" s="7" t="inlineStr">
        <is>
          <t xml:space="preserve">  ↳ RocketsHumvee2AMT_AA</t>
        </is>
      </c>
      <c r="C103" s="7" t="inlineStr">
        <is>
          <t>Armament@AdvancedMissileTargetingAA</t>
        </is>
      </c>
      <c r="L103" s="6" t="n">
        <v>32000</v>
      </c>
      <c r="M103" s="6" t="n">
        <v>84</v>
      </c>
      <c r="N103" s="6" t="n">
        <v>1</v>
      </c>
      <c r="O103" s="6" t="n"/>
      <c r="P103" s="6" t="n">
        <v>8397</v>
      </c>
      <c r="Q103" s="6" t="n">
        <v>1</v>
      </c>
      <c r="R103">
        <f>M103+IF(N103&gt;1,N(O103)*(N103-1),0)</f>
        <v/>
      </c>
      <c r="S103">
        <f>IFERROR(L103*MAX(N103,1)/R103*IF(ISBLANK(K95),1,K95),0)</f>
        <v/>
      </c>
      <c r="AB103" s="7" t="inlineStr">
        <is>
          <t>^Warhead_MissileAP_Heavy, ^Warhead_MissileAP_Light</t>
        </is>
      </c>
    </row>
    <row r="104">
      <c r="A104" t="inlineStr">
        <is>
          <t>tiberiandawn</t>
        </is>
      </c>
      <c r="B104" t="inlineStr">
        <is>
          <t>td_gdi_mammothtank</t>
        </is>
      </c>
      <c r="C104" t="inlineStr">
        <is>
          <t>GDI Mammoth Tank</t>
        </is>
      </c>
      <c r="D104" s="6" t="inlineStr">
        <is>
          <t>HighTechTank</t>
        </is>
      </c>
      <c r="E104" s="6" t="n">
        <v>225000</v>
      </c>
      <c r="F104" s="6" t="n">
        <v>60</v>
      </c>
      <c r="G104" t="inlineStr">
        <is>
          <t>Superheavy</t>
        </is>
      </c>
      <c r="H104" s="6" t="n">
        <v>0.75</v>
      </c>
      <c r="I104" s="6" t="n">
        <v>1</v>
      </c>
      <c r="J104" s="6" t="n">
        <v>1</v>
      </c>
      <c r="K104" s="6" t="n"/>
      <c r="P104">
        <f>MAX(P105,P106,P107,P108)</f>
        <v/>
      </c>
      <c r="S104">
        <f>S105+S106+S107+S108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(((E104/700000)+(F104/65)+(S104/2000)+((P104/6500)*J104))*2000/4+(((E104/700000)*(F104/65))+(((P104/6500)*J104)*(S104/2000)))*2000/2+((E104/700000)*(F104/65)*((P104/6500)*J104)*(S104/2000))*2000)*(H104/0.75)/3</f>
        <v/>
      </c>
      <c r="X104" s="6" t="n">
        <v>1600</v>
      </c>
      <c r="Y104">
        <f>IFERROR(W104-X104,"")</f>
        <v/>
      </c>
      <c r="Z104">
        <f>IFERROR(ABS(Y104)/MAX(X104,1),"")</f>
        <v/>
      </c>
      <c r="AA104">
        <f>IFERROR(ROUND(((3*X104-(((E104/700000)+(F104/65)+(S104/2000))*2000/4+((E104/700000)*(F104/65))*2000/2)*(H104/0.75))/(2000/4+((S104/2000))*2000/2+((E104/700000)*(F104/65)*(S104/2000))*2000)*(H104/0.75)*6500)/J104,-1),"")</f>
        <v/>
      </c>
    </row>
    <row r="105">
      <c r="B105" s="7" t="inlineStr">
        <is>
          <t xml:space="preserve">  ↳ 120mmDual</t>
        </is>
      </c>
      <c r="C105" s="7" t="inlineStr">
        <is>
          <t>Armament@PRIMARY</t>
        </is>
      </c>
      <c r="L105" s="6" t="n">
        <v>8000</v>
      </c>
      <c r="M105" s="6" t="n">
        <v>72</v>
      </c>
      <c r="N105" s="6" t="n">
        <v>2</v>
      </c>
      <c r="O105" s="6" t="n">
        <v>8</v>
      </c>
      <c r="P105" s="6" t="n">
        <v>6141</v>
      </c>
      <c r="Q105" s="6" t="n">
        <v>1.25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^Warhead_CannonHE_Heavy</t>
        </is>
      </c>
    </row>
    <row r="106">
      <c r="B106" s="7" t="inlineStr">
        <is>
          <t xml:space="preserve">  ↳ 120mmDualHV</t>
        </is>
      </c>
      <c r="C106" s="7" t="inlineStr">
        <is>
          <t>Armament@HV</t>
        </is>
      </c>
      <c r="L106" s="6" t="n">
        <v>16000</v>
      </c>
      <c r="M106" s="6" t="n">
        <v>72</v>
      </c>
      <c r="N106" s="6" t="n">
        <v>2</v>
      </c>
      <c r="O106" s="6" t="n">
        <v>8</v>
      </c>
      <c r="P106" s="6" t="n">
        <v>6141</v>
      </c>
      <c r="Q106" s="6" t="n">
        <v>1.25</v>
      </c>
      <c r="R106">
        <f>M106+IF(N106&gt;1,N(O106)*(N106-1),0)</f>
        <v/>
      </c>
      <c r="S106">
        <f>IFERROR(L106*MAX(N106,1)/R106*IF(ISBLANK(K104),1,K104),0)</f>
        <v/>
      </c>
      <c r="AB106" s="7" t="inlineStr">
        <is>
          <t>^Warhead_CannonHE_Heavy</t>
        </is>
      </c>
    </row>
    <row r="107">
      <c r="B107" s="7" t="inlineStr">
        <is>
          <t xml:space="preserve">  ↳ MammothMissiles</t>
        </is>
      </c>
      <c r="C107" s="7" t="inlineStr">
        <is>
          <t>Armament@SECONDARY</t>
        </is>
      </c>
      <c r="L107" s="6" t="n">
        <v>8000</v>
      </c>
      <c r="M107" s="6" t="n">
        <v>68</v>
      </c>
      <c r="N107" s="6" t="n">
        <v>2</v>
      </c>
      <c r="O107" s="6" t="n">
        <v>12</v>
      </c>
      <c r="P107" s="6" t="n">
        <v>6141</v>
      </c>
      <c r="Q107" s="6" t="n">
        <v>1.25</v>
      </c>
      <c r="R107">
        <f>M107+IF(N107&gt;1,N(O107)*(N107-1),0)</f>
        <v/>
      </c>
      <c r="S107">
        <f>IFERROR(L107*MAX(N107,1)/R107*IF(ISBLANK(K104),1,K104),0)</f>
        <v/>
      </c>
      <c r="AB107" s="7" t="inlineStr">
        <is>
          <t>^Warhead_MissileAP_Heavy</t>
        </is>
      </c>
    </row>
    <row r="108">
      <c r="B108" s="7" t="inlineStr">
        <is>
          <t xml:space="preserve">  ↳ MammothMissilesAMT</t>
        </is>
      </c>
      <c r="C108" s="7" t="inlineStr">
        <is>
          <t>Armament@AdvancedMissileTargeting</t>
        </is>
      </c>
      <c r="L108" s="6" t="n">
        <v>8000</v>
      </c>
      <c r="M108" s="6" t="n">
        <v>68</v>
      </c>
      <c r="N108" s="6" t="n">
        <v>2</v>
      </c>
      <c r="O108" s="6" t="n">
        <v>12</v>
      </c>
      <c r="P108" s="6" t="n">
        <v>6141</v>
      </c>
      <c r="Q108" s="6" t="n">
        <v>1.25</v>
      </c>
      <c r="R108">
        <f>M108+IF(N108&gt;1,N(O108)*(N108-1),0)</f>
        <v/>
      </c>
      <c r="S108">
        <f>IFERROR(L108*MAX(N108,1)/R108*IF(ISBLANK(K104),1,K104),0)</f>
        <v/>
      </c>
      <c r="AB108" s="7" t="inlineStr">
        <is>
          <t>^Warhead_MissileAP_Heavy</t>
        </is>
      </c>
    </row>
    <row r="109">
      <c r="A109" t="inlineStr">
        <is>
          <t>tiberiandawn</t>
        </is>
      </c>
      <c r="B109" t="inlineStr">
        <is>
          <t>td_gdi_mammothtankmkiii</t>
        </is>
      </c>
      <c r="C109" t="inlineStr">
        <is>
          <t>Mammoth Tank Mk. III</t>
        </is>
      </c>
      <c r="D109" s="6" t="inlineStr">
        <is>
          <t>HighTechTank</t>
        </is>
      </c>
      <c r="E109" s="6" t="n">
        <v>500000</v>
      </c>
      <c r="F109" s="6" t="n">
        <v>55</v>
      </c>
      <c r="G109" t="inlineStr">
        <is>
          <t>Superheavy</t>
        </is>
      </c>
      <c r="H109" s="6" t="n">
        <v>0.3793</v>
      </c>
      <c r="I109" s="6" t="n">
        <v>1</v>
      </c>
      <c r="J109" s="6" t="n">
        <v>1</v>
      </c>
      <c r="K109" s="6" t="n"/>
      <c r="P109">
        <f>MAX(P110,P111,P112,P113)</f>
        <v/>
      </c>
      <c r="S109">
        <f>S110+S111+S112+S113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(((E109/700000)+(F109/65)+(S109/2000)+((P109/6500)*J109))*2000/4+(((E109/700000)*(F109/65))+(((P109/6500)*J109)*(S109/2000)))*2000/2+((E109/700000)*(F109/65)*((P109/6500)*J109)*(S109/2000))*2000)*(H109/0.75)/3</f>
        <v/>
      </c>
      <c r="X109" s="6" t="n">
        <v>3000</v>
      </c>
      <c r="Y109">
        <f>IFERROR(W109-X109,"")</f>
        <v/>
      </c>
      <c r="Z109">
        <f>IFERROR(ABS(Y109)/MAX(X109,1),"")</f>
        <v/>
      </c>
      <c r="AA109">
        <f>IFERROR(ROUND(((3*X109-(((E109/700000)+(F109/65)+(S109/2000))*2000/4+((E109/700000)*(F109/65))*2000/2)*(H109/0.75))/(2000/4+((S109/2000))*2000/2+((E109/700000)*(F109/65)*(S109/2000))*2000)*(H109/0.75)*6500)/J109,-1),"")</f>
        <v/>
      </c>
    </row>
    <row r="110">
      <c r="B110" s="7" t="inlineStr">
        <is>
          <t xml:space="preserve">  ↳ MammothTank3Cannons</t>
        </is>
      </c>
      <c r="C110" s="7" t="inlineStr">
        <is>
          <t>Armament@PRIMARY</t>
        </is>
      </c>
      <c r="L110" s="6" t="n">
        <v>12000</v>
      </c>
      <c r="M110" s="6" t="n">
        <v>102</v>
      </c>
      <c r="N110" s="6" t="n">
        <v>2</v>
      </c>
      <c r="O110" s="6" t="n">
        <v>8</v>
      </c>
      <c r="P110" s="6" t="n">
        <v>6340</v>
      </c>
      <c r="Q110" s="6" t="n">
        <v>1.25</v>
      </c>
      <c r="R110">
        <f>M110+IF(N110&gt;1,N(O110)*(N110-1),0)</f>
        <v/>
      </c>
      <c r="S110">
        <f>IFERROR(L110*MAX(N110,1)/R110*IF(ISBLANK(K109),1,K109),0)</f>
        <v/>
      </c>
      <c r="AB110" s="7" t="inlineStr">
        <is>
          <t>^Warhead_CannonHE_Heavy</t>
        </is>
      </c>
    </row>
    <row r="111">
      <c r="B111" s="7" t="inlineStr">
        <is>
          <t xml:space="preserve">  ↳ MammothTank3CannonsHV</t>
        </is>
      </c>
      <c r="C111" s="7" t="inlineStr">
        <is>
          <t>Armament@HV</t>
        </is>
      </c>
      <c r="L111" s="6" t="n">
        <v>24000</v>
      </c>
      <c r="M111" s="6" t="n">
        <v>102</v>
      </c>
      <c r="N111" s="6" t="n">
        <v>2</v>
      </c>
      <c r="O111" s="6" t="n">
        <v>8</v>
      </c>
      <c r="P111" s="6" t="n">
        <v>6340</v>
      </c>
      <c r="Q111" s="6" t="n">
        <v>1.25</v>
      </c>
      <c r="R111">
        <f>M111+IF(N111&gt;1,N(O111)*(N111-1),0)</f>
        <v/>
      </c>
      <c r="S111">
        <f>IFERROR(L111*MAX(N111,1)/R111*IF(ISBLANK(K109),1,K109),0)</f>
        <v/>
      </c>
      <c r="AB111" s="7" t="inlineStr">
        <is>
          <t>^Warhead_CannonHE_Heavy</t>
        </is>
      </c>
    </row>
    <row r="112">
      <c r="B112" s="7" t="inlineStr">
        <is>
          <t xml:space="preserve">  ↳ MammothTank3Missiles</t>
        </is>
      </c>
      <c r="C112" s="7" t="inlineStr">
        <is>
          <t>Armament@SECONDARY</t>
        </is>
      </c>
      <c r="L112" s="6" t="n">
        <v>12000</v>
      </c>
      <c r="M112" s="6" t="n">
        <v>98</v>
      </c>
      <c r="N112" s="6" t="n">
        <v>2</v>
      </c>
      <c r="O112" s="6" t="n">
        <v>12</v>
      </c>
      <c r="P112" s="6" t="n">
        <v>6340</v>
      </c>
      <c r="Q112" s="6" t="n">
        <v>1.25</v>
      </c>
      <c r="R112">
        <f>M112+IF(N112&gt;1,N(O112)*(N112-1),0)</f>
        <v/>
      </c>
      <c r="S112">
        <f>IFERROR(L112*MAX(N112,1)/R112*IF(ISBLANK(K109),1,K109),0)</f>
        <v/>
      </c>
      <c r="AB112" s="7" t="inlineStr">
        <is>
          <t>^Warhead_MissileAP_Heavy</t>
        </is>
      </c>
    </row>
    <row r="113">
      <c r="B113" s="7" t="inlineStr">
        <is>
          <t xml:space="preserve">  ↳ MammothTank3MissilesAMT</t>
        </is>
      </c>
      <c r="C113" s="7" t="inlineStr">
        <is>
          <t>Armament@AdvancedMissileTargeting</t>
        </is>
      </c>
      <c r="L113" s="6" t="n">
        <v>12000</v>
      </c>
      <c r="M113" s="6" t="n">
        <v>98</v>
      </c>
      <c r="N113" s="6" t="n">
        <v>2</v>
      </c>
      <c r="O113" s="6" t="n">
        <v>12</v>
      </c>
      <c r="P113" s="6" t="n">
        <v>6340</v>
      </c>
      <c r="Q113" s="6" t="n">
        <v>1.25</v>
      </c>
      <c r="R113">
        <f>M113+IF(N113&gt;1,N(O113)*(N113-1),0)</f>
        <v/>
      </c>
      <c r="S113">
        <f>IFERROR(L113*MAX(N113,1)/R113*IF(ISBLANK(K109),1,K109),0)</f>
        <v/>
      </c>
      <c r="AB113" s="7" t="inlineStr">
        <is>
          <t>^Warhead_MissileAP_Heavy</t>
        </is>
      </c>
    </row>
    <row r="114">
      <c r="A114" t="inlineStr">
        <is>
          <t>tiberiandawn</t>
        </is>
      </c>
      <c r="B114" t="inlineStr">
        <is>
          <t>td_gdi_mlrs</t>
        </is>
      </c>
      <c r="C114" t="inlineStr">
        <is>
          <t>GDI MLRS</t>
        </is>
      </c>
      <c r="D114" s="6" t="inlineStr">
        <is>
          <t>MissileVehicle</t>
        </is>
      </c>
      <c r="E114" s="6" t="n">
        <v>25000</v>
      </c>
      <c r="F114" s="6" t="n">
        <v>80</v>
      </c>
      <c r="G114" t="inlineStr">
        <is>
          <t>Light</t>
        </is>
      </c>
      <c r="H114" s="6" t="n">
        <v>1</v>
      </c>
      <c r="I114" s="6" t="n">
        <v>1</v>
      </c>
      <c r="J114" s="6" t="n">
        <v>1</v>
      </c>
      <c r="K114" s="6" t="n"/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(((E114/160000)+(F114/100)+(S114/1200)+((P114/8000)*J114))*1200/4+(((E114/160000)*(F114/100))+(((P114/8000)*J114)*(S114/1200)))*1200/2+((E114/160000)*(F114/100)*((P114/8000)*J114)*(S114/1200))*1200)*(H114/1.0)/3</f>
        <v/>
      </c>
      <c r="X114" s="6" t="n">
        <v>1000</v>
      </c>
      <c r="Y114">
        <f>IFERROR(W114-X114,"")</f>
        <v/>
      </c>
      <c r="Z114">
        <f>IFERROR(ABS(Y114)/MAX(X114,1),"")</f>
        <v/>
      </c>
      <c r="AA114">
        <f>IFERROR(ROUND(((3*X114-(((E114/160000)+(F114/100)+(S114/1200))*1200/4+((E114/160000)*(F114/100))*1200/2)*(H114/1.0))/(1200/4+((S114/1200))*1200/2+((E114/160000)*(F114/100)*(S114/1200))*1200)*(H114/1.0)*8000)/J114,-1),"")</f>
        <v/>
      </c>
    </row>
    <row r="115">
      <c r="B115" s="7" t="inlineStr">
        <is>
          <t xml:space="preserve">  ↳ 227mm</t>
        </is>
      </c>
      <c r="C115" s="7" t="inlineStr">
        <is>
          <t>Armament@PRIMARY</t>
        </is>
      </c>
      <c r="L115" s="6" t="n">
        <v>8000</v>
      </c>
      <c r="M115" s="6" t="n">
        <v>111</v>
      </c>
      <c r="N115" s="6" t="n">
        <v>6</v>
      </c>
      <c r="O115" s="6" t="n">
        <v>5</v>
      </c>
      <c r="P115" s="6" t="n">
        <v>9920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>
        <is>
          <t>^FlakWeapon, ^Grenade, ^HeavyMissile, ^MediumMissile</t>
        </is>
      </c>
    </row>
    <row r="116">
      <c r="B116" s="7" t="inlineStr">
        <is>
          <t xml:space="preserve">  ↳ 227mmAMT</t>
        </is>
      </c>
      <c r="C116" s="7" t="inlineStr">
        <is>
          <t>Armament@AdvancedMissileTargeting</t>
        </is>
      </c>
      <c r="L116" s="6" t="n">
        <v>8000</v>
      </c>
      <c r="M116" s="6" t="n">
        <v>111</v>
      </c>
      <c r="N116" s="6" t="n">
        <v>6</v>
      </c>
      <c r="O116" s="6" t="n">
        <v>5</v>
      </c>
      <c r="P116" s="6" t="n">
        <v>9920</v>
      </c>
      <c r="Q116" s="6" t="n">
        <v>1</v>
      </c>
      <c r="R116">
        <f>M116+IF(N116&gt;1,N(O116)*(N116-1),0)</f>
        <v/>
      </c>
      <c r="S116">
        <f>IFERROR(L116*MAX(N116,1)/R116*IF(ISBLANK(K114),1,K114),0)</f>
        <v/>
      </c>
      <c r="AB116" s="7" t="inlineStr">
        <is>
          <t>227mm, ^AMTProjectile</t>
        </is>
      </c>
    </row>
    <row r="117">
      <c r="A117" t="inlineStr">
        <is>
          <t>tiberiandawn</t>
        </is>
      </c>
      <c r="B117" t="inlineStr">
        <is>
          <t>td_gdi_mobileconstructionvehicle</t>
        </is>
      </c>
      <c r="C117" t="inlineStr">
        <is>
          <t>GDI Mobile Construction Vehicle</t>
        </is>
      </c>
      <c r="D117" s="6" t="inlineStr">
        <is>
          <t>SupportVehicle</t>
        </is>
      </c>
      <c r="E117" s="6" t="n">
        <v>300000</v>
      </c>
      <c r="F117" s="6" t="n">
        <v>75</v>
      </c>
      <c r="G117" t="inlineStr">
        <is>
          <t>Medium</t>
        </is>
      </c>
      <c r="H117" s="6" t="n">
        <v>0.8048999999999999</v>
      </c>
      <c r="I117" s="6" t="n">
        <v>1</v>
      </c>
      <c r="J117" s="6" t="n">
        <v>1</v>
      </c>
      <c r="K117" s="6" t="n"/>
      <c r="X117" s="6" t="n">
        <v>5000</v>
      </c>
    </row>
    <row r="118">
      <c r="A118" t="inlineStr">
        <is>
          <t>tiberiandawn</t>
        </is>
      </c>
      <c r="B118" t="inlineStr">
        <is>
          <t>td_gdi_predatortank</t>
        </is>
      </c>
      <c r="C118" t="inlineStr">
        <is>
          <t>Predator Tank</t>
        </is>
      </c>
      <c r="D118" s="6" t="inlineStr">
        <is>
          <t>MainBattleTank</t>
        </is>
      </c>
      <c r="E118" s="6" t="n">
        <v>170000</v>
      </c>
      <c r="F118" s="6" t="n">
        <v>70</v>
      </c>
      <c r="G118" t="inlineStr">
        <is>
          <t>Heavy</t>
        </is>
      </c>
      <c r="H118" s="6" t="n">
        <v>1</v>
      </c>
      <c r="I118" s="6" t="n">
        <v>1</v>
      </c>
      <c r="J118" s="6" t="n">
        <v>1.25</v>
      </c>
      <c r="K118" s="6" t="n">
        <v>0.0105</v>
      </c>
      <c r="P118">
        <f>MAX(P119,P120,P121,P122,P123)</f>
        <v/>
      </c>
      <c r="S118">
        <f>S119+S120+S121+S122+S123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(((E118/240000)+(F118/95)+(S118/600)+((P118/5500)*J118))*800/4+(((E118/240000)*(F118/95))+(((P118/5500)*J118)*(S118/600)))*800/2+((E118/240000)*(F118/95)*((P118/5500)*J118)*(S118/600))*800)*(H118/1.0)/3</f>
        <v/>
      </c>
      <c r="X118" s="6" t="n">
        <v>1250</v>
      </c>
      <c r="Y118">
        <f>IFERROR(W118-X118,"")</f>
        <v/>
      </c>
      <c r="Z118">
        <f>IFERROR(ABS(Y118)/MAX(X118,1),"")</f>
        <v/>
      </c>
      <c r="AA118">
        <f>IFERROR(ROUND(((3*X118-(((E118/240000)+(F118/95)+(S118/600))*800/4+((E118/240000)*(F118/95))*800/2)*(H118/1.0))/(800/4+((S118/600))*800/2+((E118/240000)*(F118/95)*(S118/600))*800)*(H118/1.0)*5500)/J118,-1),"")</f>
        <v/>
      </c>
    </row>
    <row r="119">
      <c r="B119" s="7" t="inlineStr">
        <is>
          <t xml:space="preserve">  ↳ GDIPredatorTankCannon</t>
        </is>
      </c>
      <c r="C119" s="7" t="inlineStr">
        <is>
          <t>Armament@PRIMARY</t>
        </is>
      </c>
      <c r="L119" s="6" t="n">
        <v>8000</v>
      </c>
      <c r="M119" s="6" t="n">
        <v>70</v>
      </c>
      <c r="N119" s="6" t="n">
        <v>1</v>
      </c>
      <c r="O119" s="6" t="n"/>
      <c r="P119" s="6" t="n">
        <v>5880</v>
      </c>
      <c r="Q119" s="6" t="n">
        <v>1</v>
      </c>
      <c r="R119">
        <f>M119+IF(N119&gt;1,N(O119)*(N119-1),0)</f>
        <v/>
      </c>
      <c r="S119">
        <f>IFERROR(L119*MAX(N119,1)/R119*IF(ISBLANK(K118),1,K118),0)</f>
        <v/>
      </c>
      <c r="AB119" s="7" t="inlineStr">
        <is>
          <t>^Warhead_CannonHE_Medium</t>
        </is>
      </c>
    </row>
    <row r="120">
      <c r="B120" s="7" t="inlineStr">
        <is>
          <t xml:space="preserve">  ↳ GDIPredatorTankCannonHV</t>
        </is>
      </c>
      <c r="C120" s="7" t="inlineStr">
        <is>
          <t>Armament@Upgrade</t>
        </is>
      </c>
      <c r="L120" s="6" t="n">
        <v>16000</v>
      </c>
      <c r="M120" s="6" t="n">
        <v>70</v>
      </c>
      <c r="N120" s="6" t="n">
        <v>1</v>
      </c>
      <c r="O120" s="6" t="n"/>
      <c r="P120" s="6" t="n">
        <v>5880</v>
      </c>
      <c r="Q120" s="6" t="n">
        <v>1</v>
      </c>
      <c r="R120">
        <f>M120+IF(N120&gt;1,N(O120)*(N120-1),0)</f>
        <v/>
      </c>
      <c r="S120">
        <f>IFERROR(L120*MAX(N120,1)/R120*IF(ISBLANK(K118),1,K118),0)</f>
        <v/>
      </c>
      <c r="AB120" s="7" t="inlineStr">
        <is>
          <t>^Warhead_CannonHE_Medium</t>
        </is>
      </c>
    </row>
    <row r="121">
      <c r="B121" s="7" t="inlineStr">
        <is>
          <t xml:space="preserve">  ↳ GDIPredatorTankMissiles</t>
        </is>
      </c>
      <c r="C121" s="7" t="inlineStr">
        <is>
          <t>Armament@SECONDARY</t>
        </is>
      </c>
      <c r="L121" s="6" t="n">
        <v>8000</v>
      </c>
      <c r="M121" s="6" t="n">
        <v>70</v>
      </c>
      <c r="N121" s="6" t="n">
        <v>1</v>
      </c>
      <c r="O121" s="6" t="n"/>
      <c r="P121" s="6" t="n">
        <v>5880</v>
      </c>
      <c r="Q121" s="6" t="n">
        <v>1</v>
      </c>
      <c r="R121">
        <f>M121+IF(N121&gt;1,N(O121)*(N121-1),0)</f>
        <v/>
      </c>
      <c r="S121">
        <f>IFERROR(L121*MAX(N121,1)/R121*IF(ISBLANK(K118),1,K118),0)</f>
        <v/>
      </c>
      <c r="AB121" s="7" t="inlineStr">
        <is>
          <t>^Warhead_MissileAP_Medium</t>
        </is>
      </c>
    </row>
    <row r="122">
      <c r="B122" s="7" t="inlineStr">
        <is>
          <t xml:space="preserve">  ↳ GDIPredatorTankMissilesAMT</t>
        </is>
      </c>
      <c r="C122" s="7" t="inlineStr">
        <is>
          <t>Armament@AdvancedMissileTargeting</t>
        </is>
      </c>
      <c r="L122" s="6" t="n">
        <v>8000</v>
      </c>
      <c r="M122" s="6" t="n">
        <v>70</v>
      </c>
      <c r="N122" s="6" t="n">
        <v>1</v>
      </c>
      <c r="O122" s="6" t="n"/>
      <c r="P122" s="6" t="n">
        <v>5880</v>
      </c>
      <c r="Q122" s="6" t="n">
        <v>1</v>
      </c>
      <c r="R122">
        <f>M122+IF(N122&gt;1,N(O122)*(N122-1),0)</f>
        <v/>
      </c>
      <c r="S122">
        <f>IFERROR(L122*MAX(N122,1)/R122*IF(ISBLANK(K118),1,K118),0)</f>
        <v/>
      </c>
      <c r="AB122" s="7" t="inlineStr">
        <is>
          <t>^Warhead_MissileAP_Medium</t>
        </is>
      </c>
    </row>
    <row r="123">
      <c r="B123" s="7" t="inlineStr">
        <is>
          <t xml:space="preserve">  ↳ GDIPredatorMachineGun</t>
        </is>
      </c>
      <c r="C123" s="7" t="inlineStr">
        <is>
          <t>Armament@MachineGun</t>
        </is>
      </c>
      <c r="L123" s="6" t="n">
        <v>2000</v>
      </c>
      <c r="M123" s="6" t="n">
        <v>70</v>
      </c>
      <c r="N123" s="6" t="n">
        <v>4</v>
      </c>
      <c r="O123" s="6" t="n"/>
      <c r="P123" s="6" t="n">
        <v>5880</v>
      </c>
      <c r="Q123" s="6" t="n">
        <v>1</v>
      </c>
      <c r="R123">
        <f>M123+IF(N123&gt;1,N(O123)*(N123-1),0)</f>
        <v/>
      </c>
      <c r="S123">
        <f>IFERROR(L123*MAX(N123,1)/R123*IF(ISBLANK(K118),1,K118),0)</f>
        <v/>
      </c>
      <c r="AB123" s="7" t="inlineStr">
        <is>
          <t>^Warhead_Bullet_Medium</t>
        </is>
      </c>
    </row>
    <row r="124">
      <c r="B124" s="7" t="inlineStr">
        <is>
          <t xml:space="preserve">  ↳ GDIPredatorBlueLaser</t>
        </is>
      </c>
      <c r="C124" s="7" t="inlineStr">
        <is>
          <t>Armament@Lights</t>
        </is>
      </c>
      <c r="L124" s="6" t="n"/>
      <c r="M124" s="6" t="n">
        <v>11</v>
      </c>
      <c r="N124" s="6" t="n">
        <v>1</v>
      </c>
      <c r="O124" s="6" t="n"/>
      <c r="P124" s="6" t="n">
        <v>5880</v>
      </c>
      <c r="Q124" s="6" t="n">
        <v>1</v>
      </c>
      <c r="R124">
        <f>M124+IF(N124&gt;1,N(O124)*(N124-1),0)</f>
        <v/>
      </c>
      <c r="S124">
        <f>IFERROR(L124*MAX(N124,1)/R124*IF(ISBLANK(K118),1,K118),0)</f>
        <v/>
      </c>
      <c r="AB124" s="7" t="inlineStr"/>
    </row>
    <row r="125">
      <c r="A125" t="inlineStr">
        <is>
          <t>tiberiandawn</t>
        </is>
      </c>
      <c r="B125" t="inlineStr">
        <is>
          <t>td_gdi_tiberiumharvester</t>
        </is>
      </c>
      <c r="C125" t="inlineStr">
        <is>
          <t>GDI Tiberium Harvester</t>
        </is>
      </c>
      <c r="D125" s="6" t="inlineStr">
        <is>
          <t>Harvester</t>
        </is>
      </c>
      <c r="E125" s="6" t="n">
        <v>150000</v>
      </c>
      <c r="F125" s="6" t="n">
        <v>60</v>
      </c>
      <c r="G125" t="inlineStr">
        <is>
          <t>Heavy</t>
        </is>
      </c>
      <c r="H125" s="6" t="n">
        <v>0.8919</v>
      </c>
      <c r="I125" s="6" t="n">
        <v>1</v>
      </c>
      <c r="J125" s="6" t="n">
        <v>1</v>
      </c>
      <c r="K125" s="6" t="n"/>
      <c r="X125" s="6" t="n">
        <v>1000</v>
      </c>
    </row>
    <row r="126">
      <c r="A126" s="4" t="inlineStr">
        <is>
          <t>AIRCRAFT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t="inlineStr">
        <is>
          <t>tiberiandawn</t>
        </is>
      </c>
      <c r="B127" t="inlineStr">
        <is>
          <t>A10</t>
        </is>
      </c>
      <c r="C127" t="inlineStr">
        <is>
          <t>A10 Bomber</t>
        </is>
      </c>
      <c r="D127" s="6" t="inlineStr">
        <is>
          <t>Bomber</t>
        </is>
      </c>
      <c r="E127" s="6" t="n">
        <v>50000</v>
      </c>
      <c r="F127" s="6" t="n">
        <v>250</v>
      </c>
      <c r="G127" t="inlineStr">
        <is>
          <t>Bomber</t>
        </is>
      </c>
      <c r="H127" s="6" t="n">
        <v>1</v>
      </c>
      <c r="I127" s="6" t="n">
        <v>1</v>
      </c>
      <c r="J127" s="6" t="n">
        <v>1</v>
      </c>
      <c r="K127" s="6" t="n"/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2500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Vulcan</t>
        </is>
      </c>
      <c r="C128" s="7" t="inlineStr">
        <is>
          <t>Armament@GUNS</t>
        </is>
      </c>
      <c r="L128" s="6" t="n">
        <v>12000</v>
      </c>
      <c r="M128" s="6" t="n">
        <v>125</v>
      </c>
      <c r="N128" s="6" t="n">
        <v>10</v>
      </c>
      <c r="O128" s="6" t="n">
        <v>2</v>
      </c>
      <c r="P128" s="6" t="n">
        <v>10000</v>
      </c>
      <c r="Q128" s="6" t="n">
        <v>1</v>
      </c>
      <c r="R128">
        <f>M128+IF(N128&gt;1,N(O128)*(N128-1),0)</f>
        <v/>
      </c>
      <c r="S128">
        <f>IFERROR(L128*MAX(N128,1)/R128*IF(ISBLANK(K127),1,K127),0)</f>
        <v/>
      </c>
      <c r="AB128" s="7" t="inlineStr">
        <is>
          <t>^Warhead_Bullet_Medium</t>
        </is>
      </c>
    </row>
    <row r="129">
      <c r="B129" s="7" t="inlineStr">
        <is>
          <t xml:space="preserve">  ↳ Napalm</t>
        </is>
      </c>
      <c r="C129" s="7" t="inlineStr">
        <is>
          <t>Armament@BOMBS</t>
        </is>
      </c>
      <c r="L129" s="6" t="n">
        <v>12000</v>
      </c>
      <c r="M129" s="6" t="n">
        <v>2</v>
      </c>
      <c r="N129" s="6" t="n">
        <v>1</v>
      </c>
      <c r="O129" s="6" t="n"/>
      <c r="P129" s="6" t="n">
        <v>2000</v>
      </c>
      <c r="Q129" s="6" t="n">
        <v>1.25</v>
      </c>
      <c r="R129">
        <f>M129+IF(N129&gt;1,N(O129)*(N129-1),0)</f>
        <v/>
      </c>
      <c r="S129">
        <f>IFERROR(L129*MAX(N129,1)/R129*IF(ISBLANK(K127),1,K127),0)</f>
        <v/>
      </c>
      <c r="AB129" s="7" t="inlineStr">
        <is>
          <t>^Warhead_Demolition_Heavy, ^Warhead_Flame_Heavy</t>
        </is>
      </c>
    </row>
    <row r="130">
      <c r="A130" t="inlineStr">
        <is>
          <t>tiberiandawn</t>
        </is>
      </c>
      <c r="B130" t="inlineStr">
        <is>
          <t>A10Carrier</t>
        </is>
      </c>
      <c r="C130" t="inlineStr">
        <is>
          <t>A10 Bomber</t>
        </is>
      </c>
      <c r="D130" s="6" t="inlineStr">
        <is>
          <t>Bomber</t>
        </is>
      </c>
      <c r="E130" s="6" t="n">
        <v>10000</v>
      </c>
      <c r="F130" s="6" t="n">
        <v>200</v>
      </c>
      <c r="G130" t="inlineStr">
        <is>
          <t>Bomber</t>
        </is>
      </c>
      <c r="H130" s="6" t="n">
        <v>1</v>
      </c>
      <c r="I130" s="6" t="n">
        <v>1</v>
      </c>
      <c r="J130" s="6" t="n">
        <v>1</v>
      </c>
      <c r="K130" s="6" t="n"/>
      <c r="P130">
        <f>MAX(P131,P132,P133)</f>
        <v/>
      </c>
      <c r="S130">
        <f>S131+S132+S133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270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VulcanA10Carrier</t>
        </is>
      </c>
      <c r="C131" s="7" t="inlineStr">
        <is>
          <t>Armament@GUNS</t>
        </is>
      </c>
      <c r="L131" s="6" t="n">
        <v>6000</v>
      </c>
      <c r="M131" s="6" t="n">
        <v>125</v>
      </c>
      <c r="N131" s="6" t="n">
        <v>10</v>
      </c>
      <c r="O131" s="6" t="n">
        <v>2</v>
      </c>
      <c r="P131" s="6" t="n">
        <v>5000</v>
      </c>
      <c r="Q131" s="6" t="n">
        <v>1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^Warhead_Bullet_Medium</t>
        </is>
      </c>
    </row>
    <row r="132">
      <c r="B132" s="7" t="inlineStr">
        <is>
          <t xml:space="preserve">  ↳ NapalmA10Carrier</t>
        </is>
      </c>
      <c r="C132" s="7" t="inlineStr">
        <is>
          <t>Armament@BOMBS</t>
        </is>
      </c>
      <c r="L132" s="6" t="n">
        <v>8000</v>
      </c>
      <c r="M132" s="6" t="n">
        <v>2</v>
      </c>
      <c r="N132" s="6" t="n">
        <v>1</v>
      </c>
      <c r="O132" s="6" t="n"/>
      <c r="P132" s="6" t="n">
        <v>1000</v>
      </c>
      <c r="Q132" s="6" t="n">
        <v>1.25</v>
      </c>
      <c r="R132">
        <f>M132+IF(N132&gt;1,N(O132)*(N132-1),0)</f>
        <v/>
      </c>
      <c r="S132">
        <f>IFERROR(L132*MAX(N132,1)/R132*IF(ISBLANK(K130),1,K130),0)</f>
        <v/>
      </c>
      <c r="AB132" s="7" t="inlineStr">
        <is>
          <t>^Warhead_Demolition_Heavy, ^Warhead_Flame_Heavy</t>
        </is>
      </c>
    </row>
    <row r="133">
      <c r="B133" s="7" t="inlineStr">
        <is>
          <t xml:space="preserve">  ↳ A10CarrierMissiles_AA</t>
        </is>
      </c>
      <c r="C133" s="7" t="inlineStr">
        <is>
          <t>Armament@AA</t>
        </is>
      </c>
      <c r="L133" s="6" t="n">
        <v>12000</v>
      </c>
      <c r="M133" s="6" t="n">
        <v>100</v>
      </c>
      <c r="N133" s="6" t="n">
        <v>2</v>
      </c>
      <c r="O133" s="6" t="n">
        <v>2</v>
      </c>
      <c r="P133" s="6" t="n">
        <v>5000</v>
      </c>
      <c r="Q133" s="6" t="n">
        <v>1.25</v>
      </c>
      <c r="R133">
        <f>M133+IF(N133&gt;1,N(O133)*(N133-1),0)</f>
        <v/>
      </c>
      <c r="S133">
        <f>IFERROR(L133*MAX(N133,1)/R133*IF(ISBLANK(K130),1,K130),0)</f>
        <v/>
      </c>
      <c r="AB133" s="7" t="inlineStr">
        <is>
          <t>^Warhead_MissileAP_Heavy</t>
        </is>
      </c>
    </row>
    <row r="134">
      <c r="A134" t="inlineStr">
        <is>
          <t>tiberiandawn</t>
        </is>
      </c>
      <c r="B134" t="inlineStr">
        <is>
          <t>gdirigdrone</t>
        </is>
      </c>
      <c r="C134" t="inlineStr">
        <is>
          <t>Scalpel</t>
        </is>
      </c>
      <c r="D134" s="6" t="inlineStr">
        <is>
          <t>Fighter</t>
        </is>
      </c>
      <c r="E134" s="6" t="n">
        <v>25000</v>
      </c>
      <c r="F134" s="6" t="n">
        <v>120</v>
      </c>
      <c r="G134" t="inlineStr">
        <is>
          <t>Fighter</t>
        </is>
      </c>
      <c r="H134" s="6" t="n">
        <v>1</v>
      </c>
      <c r="I134" s="6" t="n">
        <v>1</v>
      </c>
      <c r="J134" s="6" t="n">
        <v>1</v>
      </c>
      <c r="K134" s="6" t="n"/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500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GDIRigPDLaser</t>
        </is>
      </c>
      <c r="C135" s="7" t="inlineStr">
        <is>
          <t>Armament@pointdefense</t>
        </is>
      </c>
      <c r="L135" s="6" t="n">
        <v>2000</v>
      </c>
      <c r="M135" s="6" t="n">
        <v>25</v>
      </c>
      <c r="N135" s="6" t="n">
        <v>1</v>
      </c>
      <c r="O135" s="6" t="n"/>
      <c r="P135" s="6" t="n">
        <v>6000</v>
      </c>
      <c r="Q135" s="6" t="n">
        <v>1.25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^Warhead_Laser_Heavy</t>
        </is>
      </c>
    </row>
    <row r="136">
      <c r="B136" s="7" t="inlineStr">
        <is>
          <t xml:space="preserve">  ↳ GDIRigDroneRepair</t>
        </is>
      </c>
      <c r="C136" s="7" t="inlineStr">
        <is>
          <t>Armament@PRIMARY</t>
        </is>
      </c>
      <c r="L136" s="6" t="n">
        <v>-3000</v>
      </c>
      <c r="M136" s="6" t="n">
        <v>5</v>
      </c>
      <c r="N136" s="6" t="n">
        <v>1</v>
      </c>
      <c r="O136" s="6" t="n">
        <v>1</v>
      </c>
      <c r="P136" s="6" t="n">
        <v>6000</v>
      </c>
      <c r="Q136" s="6" t="n">
        <v>1</v>
      </c>
      <c r="R136">
        <f>M136+IF(N136&gt;1,N(O136)*(N136-1),0)</f>
        <v/>
      </c>
      <c r="S136">
        <f>IFERROR(L136*MAX(N136,1)/R136*IF(ISBLANK(K134),1,K134),0)</f>
        <v/>
      </c>
      <c r="AB136" s="7" t="inlineStr">
        <is>
          <t>^RepairWeapon</t>
        </is>
      </c>
    </row>
    <row r="137">
      <c r="A137" t="inlineStr">
        <is>
          <t>tiberiandawn</t>
        </is>
      </c>
      <c r="B137" t="inlineStr">
        <is>
          <t>td_gdi_chinooktransport</t>
        </is>
      </c>
      <c r="C137" t="inlineStr">
        <is>
          <t>GDI Chinook Transport</t>
        </is>
      </c>
      <c r="D137" s="6" t="inlineStr">
        <is>
          <t>UnarmedTransportHelicopter</t>
        </is>
      </c>
      <c r="E137" s="6" t="n">
        <v>100000</v>
      </c>
      <c r="F137" s="6" t="n">
        <v>150</v>
      </c>
      <c r="G137" t="inlineStr">
        <is>
          <t>Helicopter</t>
        </is>
      </c>
      <c r="H137" s="6" t="n">
        <v>0.7333</v>
      </c>
      <c r="I137" s="6" t="n">
        <v>1</v>
      </c>
      <c r="J137" s="6" t="n">
        <v>1</v>
      </c>
      <c r="K137" s="6" t="n"/>
      <c r="X137" s="6" t="n">
        <v>3000</v>
      </c>
    </row>
    <row r="138">
      <c r="A138" t="inlineStr">
        <is>
          <t>tiberiandawn</t>
        </is>
      </c>
      <c r="B138" t="inlineStr">
        <is>
          <t>td_gdi_firehawk</t>
        </is>
      </c>
      <c r="C138" t="inlineStr">
        <is>
          <t>Firehawk</t>
        </is>
      </c>
      <c r="D138" s="6" t="inlineStr">
        <is>
          <t>Bomber</t>
        </is>
      </c>
      <c r="E138" s="6" t="n">
        <v>180000</v>
      </c>
      <c r="F138" s="6" t="n">
        <v>180</v>
      </c>
      <c r="G138" t="inlineStr">
        <is>
          <t>Bomber</t>
        </is>
      </c>
      <c r="H138" s="6" t="n">
        <v>0.75</v>
      </c>
      <c r="I138" s="6" t="n">
        <v>1</v>
      </c>
      <c r="J138" s="6" t="n">
        <v>1</v>
      </c>
      <c r="K138" s="6" t="n">
        <v>0.012</v>
      </c>
      <c r="P138">
        <f>MAX(P139,P140,P141)</f>
        <v/>
      </c>
      <c r="S138">
        <f>S139+S140+S141</f>
        <v/>
      </c>
      <c r="T138">
        <f>(E138/100000+F138/100+(P138/1000)*J138/5+S138/200)*200*I138*H138</f>
        <v/>
      </c>
      <c r="U138">
        <f>((E138*F138/25000)+((P138/1000)*J138*S138/2.5))*I138*H138</f>
        <v/>
      </c>
      <c r="V138">
        <f>(E138*F138*(P138/1000)*J138*S138*I138*H138)/12500000</f>
        <v/>
      </c>
      <c r="W138">
        <f>(T138+U138+V138)/3</f>
        <v/>
      </c>
      <c r="X138" s="6" t="n">
        <v>2000</v>
      </c>
      <c r="Y138">
        <f>IFERROR(W138-X138,"")</f>
        <v/>
      </c>
      <c r="Z138">
        <f>IFERROR(ABS(Y138)/MAX(X138,1),"")</f>
        <v/>
      </c>
      <c r="AA138">
        <f>IFERROR((X138-(((E138/100000+F138/100+S138/200)*200*I138*H138)+((E138*F138/25000)*I138*H138))/3)/(((J138/5)*200*I138*H138)+((J138*S138/2.5)*I138*H138)+((E138*F138*J138*S138*I138*H138)/12500000))/3*1000,"")</f>
        <v/>
      </c>
    </row>
    <row r="139">
      <c r="B139" s="7" t="inlineStr">
        <is>
          <t xml:space="preserve">  ↳ FirehawkMissiles_AA</t>
        </is>
      </c>
      <c r="C139" s="7" t="inlineStr">
        <is>
          <t>Armament</t>
        </is>
      </c>
      <c r="L139" s="6" t="n">
        <v>20000</v>
      </c>
      <c r="M139" s="6" t="n">
        <v>50</v>
      </c>
      <c r="N139" s="6" t="n">
        <v>2</v>
      </c>
      <c r="O139" s="6" t="n">
        <v>5</v>
      </c>
      <c r="P139" s="6" t="n">
        <v>12500</v>
      </c>
      <c r="Q139" s="6" t="n">
        <v>1.25</v>
      </c>
      <c r="R139">
        <f>M139+IF(N139&gt;1,N(O139)*(N139-1),0)</f>
        <v/>
      </c>
      <c r="S139">
        <f>IFERROR(L139*MAX(N139,1)/R139*IF(ISBLANK(K138),1,K138),0)</f>
        <v/>
      </c>
      <c r="AB139" s="7" t="inlineStr">
        <is>
          <t>^Warhead_MissileAP_Heavy</t>
        </is>
      </c>
    </row>
    <row r="140">
      <c r="B140" s="7" t="inlineStr">
        <is>
          <t xml:space="preserve">  ↳ FirehawkMissiles_AA</t>
        </is>
      </c>
      <c r="C140" s="7" t="inlineStr">
        <is>
          <t>Armament@td_gdi_upgrade_advancedmissiletargeting</t>
        </is>
      </c>
      <c r="L140" s="6" t="n">
        <v>20000</v>
      </c>
      <c r="M140" s="6" t="n">
        <v>50</v>
      </c>
      <c r="N140" s="6" t="n">
        <v>2</v>
      </c>
      <c r="O140" s="6" t="n">
        <v>5</v>
      </c>
      <c r="P140" s="6" t="n">
        <v>12500</v>
      </c>
      <c r="Q140" s="6" t="n">
        <v>1.25</v>
      </c>
      <c r="R140">
        <f>M140+IF(N140&gt;1,N(O140)*(N140-1),0)</f>
        <v/>
      </c>
      <c r="S140">
        <f>IFERROR(L140*MAX(N140,1)/R140*IF(ISBLANK(K138),1,K138),0)</f>
        <v/>
      </c>
      <c r="AB140" s="7" t="inlineStr">
        <is>
          <t>^Warhead_MissileAP_Heavy</t>
        </is>
      </c>
    </row>
    <row r="141">
      <c r="B141" s="7" t="inlineStr">
        <is>
          <t xml:space="preserve">  ↳ FirehawkBomb</t>
        </is>
      </c>
      <c r="C141" s="7" t="inlineStr">
        <is>
          <t>Armament@BOMBS</t>
        </is>
      </c>
      <c r="L141" s="6" t="n">
        <v>40000</v>
      </c>
      <c r="M141" s="6" t="n">
        <v>50</v>
      </c>
      <c r="N141" s="6" t="n">
        <v>2</v>
      </c>
      <c r="O141" s="6" t="n">
        <v>2</v>
      </c>
      <c r="P141" s="6" t="n">
        <v>1250</v>
      </c>
      <c r="Q141" s="6" t="n">
        <v>1</v>
      </c>
      <c r="R141">
        <f>M141+IF(N141&gt;1,N(O141)*(N141-1),0)</f>
        <v/>
      </c>
      <c r="S141">
        <f>IFERROR(L141*MAX(N141,1)/R141*IF(ISBLANK(K138),1,K138),0)</f>
        <v/>
      </c>
      <c r="AB141" s="7" t="inlineStr">
        <is>
          <t>^HeavyBomb, ^NuclearWarhead, ^ShrapnelWeapon, ^MediumFlameWeapon</t>
        </is>
      </c>
    </row>
    <row r="142">
      <c r="A142" t="inlineStr">
        <is>
          <t>tiberiandawn</t>
        </is>
      </c>
      <c r="B142" t="inlineStr">
        <is>
          <t>td_gdi_orca</t>
        </is>
      </c>
      <c r="C142" t="inlineStr">
        <is>
          <t>Orca</t>
        </is>
      </c>
      <c r="D142" s="6" t="inlineStr">
        <is>
          <t>Helicopter</t>
        </is>
      </c>
      <c r="E142" s="6" t="n">
        <v>32500</v>
      </c>
      <c r="F142" s="6" t="n">
        <v>175</v>
      </c>
      <c r="G142" t="inlineStr">
        <is>
          <t>Helicopter</t>
        </is>
      </c>
      <c r="H142" s="6" t="n">
        <v>1</v>
      </c>
      <c r="I142" s="6" t="n">
        <v>1</v>
      </c>
      <c r="J142" s="6" t="n">
        <v>1</v>
      </c>
      <c r="K142" s="6" t="n"/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1700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OrcaMissiles</t>
        </is>
      </c>
      <c r="C143" s="7" t="inlineStr">
        <is>
          <t>Armament@PRIMARY</t>
        </is>
      </c>
      <c r="L143" s="6" t="n">
        <v>12000</v>
      </c>
      <c r="M143" s="6" t="n">
        <v>16</v>
      </c>
      <c r="N143" s="6" t="n">
        <v>1</v>
      </c>
      <c r="O143" s="6" t="n"/>
      <c r="P143" s="6" t="n">
        <v>5442</v>
      </c>
      <c r="Q143" s="6" t="n">
        <v>1</v>
      </c>
      <c r="R143">
        <f>M143+IF(N143&gt;1,N(O143)*(N143-1),0)</f>
        <v/>
      </c>
      <c r="S143">
        <f>IFERROR(L143*MAX(N143,1)/R143*IF(ISBLANK(K142),1,K142),0)</f>
        <v/>
      </c>
      <c r="AB143" s="7" t="inlineStr">
        <is>
          <t>^HeavyCannon, ^TankDestroyerCannon, ^ShrapnelWeapon, ^Grenade, ^HeavyMissile, ^MediumMissile</t>
        </is>
      </c>
    </row>
    <row r="144">
      <c r="B144" s="7" t="inlineStr">
        <is>
          <t xml:space="preserve">  ↳ OrcaMissilesAMT</t>
        </is>
      </c>
      <c r="C144" s="7" t="inlineStr">
        <is>
          <t>Armament@AdvancedMissileTargeting</t>
        </is>
      </c>
      <c r="L144" s="6" t="n">
        <v>12000</v>
      </c>
      <c r="M144" s="6" t="n">
        <v>16</v>
      </c>
      <c r="N144" s="6" t="n">
        <v>1</v>
      </c>
      <c r="O144" s="6" t="n"/>
      <c r="P144" s="6" t="n">
        <v>5442</v>
      </c>
      <c r="Q144" s="6" t="n">
        <v>1</v>
      </c>
      <c r="R144">
        <f>M144+IF(N144&gt;1,N(O144)*(N144-1),0)</f>
        <v/>
      </c>
      <c r="S144">
        <f>IFERROR(L144*MAX(N144,1)/R144*IF(ISBLANK(K142),1,K142),0)</f>
        <v/>
      </c>
      <c r="AB144" s="7" t="inlineStr">
        <is>
          <t>OrcaMissiles, ^AMTProjectile</t>
        </is>
      </c>
    </row>
    <row r="145">
      <c r="A145" s="4" t="inlineStr">
        <is>
          <t>NAVAL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t="inlineStr">
        <is>
          <t>tiberiandawn</t>
        </is>
      </c>
      <c r="B146" t="inlineStr">
        <is>
          <t>CNCCA</t>
        </is>
      </c>
      <c r="C146" t="inlineStr">
        <is>
          <t>Railgun Battleship</t>
        </is>
      </c>
      <c r="D146" s="6" t="inlineStr">
        <is>
          <t>BattleShip</t>
        </is>
      </c>
      <c r="E146" s="6" t="n">
        <v>167500</v>
      </c>
      <c r="F146" s="6" t="n">
        <v>50</v>
      </c>
      <c r="G146" t="inlineStr">
        <is>
          <t>Superheavy</t>
        </is>
      </c>
      <c r="H146" s="6" t="n">
        <v>0.6471</v>
      </c>
      <c r="I146" s="6" t="n">
        <v>1</v>
      </c>
      <c r="J146" s="6" t="n">
        <v>1</v>
      </c>
      <c r="K146" s="6" t="n"/>
      <c r="P146">
        <f>MAX(P147,P148)</f>
        <v/>
      </c>
      <c r="S146">
        <f>S147+S148</f>
        <v/>
      </c>
      <c r="T146">
        <f>(E146/100000+F146/100+(P146/1000)*J146/5+S146/200)*200*I146*H146</f>
        <v/>
      </c>
      <c r="U146">
        <f>((E146*F146/25000)+((P146/1000)*J146*S146/2.5))*I146*H146</f>
        <v/>
      </c>
      <c r="V146">
        <f>(E146*F146*(P146/1000)*J146*S146*I146*H146)/12500000</f>
        <v/>
      </c>
      <c r="W146">
        <f>(T146+U146+V146)/3</f>
        <v/>
      </c>
      <c r="X146" s="6" t="n">
        <v>2600</v>
      </c>
      <c r="Y146">
        <f>IFERROR(W146-X146,"")</f>
        <v/>
      </c>
      <c r="Z146">
        <f>IFERROR(ABS(Y146)/MAX(X146,1),"")</f>
        <v/>
      </c>
      <c r="AA146">
        <f>IFERROR((X146-(((E146/100000+F146/100+S146/200)*200*I146*H146)+((E146*F146/25000)*I146*H146))/3)/(((J146/5)*200*I146*H146)+((J146*S146/2.5)*I146*H146)+((E146*F146*J146*S146*I146*H146)/12500000))/3*1000,"")</f>
        <v/>
      </c>
    </row>
    <row r="147">
      <c r="B147" s="7" t="inlineStr">
        <is>
          <t xml:space="preserve">  ↳ GDIBattleshipRailgun</t>
        </is>
      </c>
      <c r="C147" s="7" t="inlineStr">
        <is>
          <t>Armament@PRIMARY</t>
        </is>
      </c>
      <c r="L147" s="6" t="n">
        <v>50000</v>
      </c>
      <c r="M147" s="6" t="n">
        <v>100</v>
      </c>
      <c r="N147" s="6" t="n">
        <v>1</v>
      </c>
      <c r="O147" s="6" t="n"/>
      <c r="P147" s="6" t="n">
        <v>10000</v>
      </c>
      <c r="Q147" s="6" t="n">
        <v>1.25</v>
      </c>
      <c r="R147">
        <f>M147+IF(N147&gt;1,N(O147)*(N147-1),0)</f>
        <v/>
      </c>
      <c r="S147">
        <f>IFERROR(L147*MAX(N147,1)/R147*IF(ISBLANK(K146),1,K146),0)</f>
        <v/>
      </c>
      <c r="AB147" s="7" t="inlineStr">
        <is>
          <t>^Warhead_Railgun_Heavy</t>
        </is>
      </c>
    </row>
    <row r="148">
      <c r="B148" s="7" t="inlineStr">
        <is>
          <t xml:space="preserve">  ↳ GDIBattleshipRailgun</t>
        </is>
      </c>
      <c r="C148" s="7" t="inlineStr">
        <is>
          <t>Armament@SECONDARY</t>
        </is>
      </c>
      <c r="L148" s="6" t="n">
        <v>50000</v>
      </c>
      <c r="M148" s="6" t="n">
        <v>100</v>
      </c>
      <c r="N148" s="6" t="n">
        <v>1</v>
      </c>
      <c r="O148" s="6" t="n"/>
      <c r="P148" s="6" t="n">
        <v>10000</v>
      </c>
      <c r="Q148" s="6" t="n">
        <v>1.25</v>
      </c>
      <c r="R148">
        <f>M148+IF(N148&gt;1,N(O148)*(N148-1),0)</f>
        <v/>
      </c>
      <c r="S148">
        <f>IFERROR(L148*MAX(N148,1)/R148*IF(ISBLANK(K146),1,K146),0)</f>
        <v/>
      </c>
      <c r="AB148" s="7" t="inlineStr">
        <is>
          <t>^Warhead_Railgun_Heavy</t>
        </is>
      </c>
    </row>
    <row r="149">
      <c r="A149" t="inlineStr">
        <is>
          <t>tiberiandawn</t>
        </is>
      </c>
      <c r="B149" t="inlineStr">
        <is>
          <t>CNCPT</t>
        </is>
      </c>
      <c r="C149" t="inlineStr">
        <is>
          <t>Missile Boat</t>
        </is>
      </c>
      <c r="D149" s="6" t="inlineStr">
        <is>
          <t>ScoutShip</t>
        </is>
      </c>
      <c r="E149" s="6" t="n">
        <v>75000</v>
      </c>
      <c r="F149" s="6" t="n">
        <v>100</v>
      </c>
      <c r="G149" t="inlineStr">
        <is>
          <t>Heavy</t>
        </is>
      </c>
      <c r="H149" s="6" t="n">
        <v>0.8048999999999999</v>
      </c>
      <c r="I149" s="6" t="n">
        <v>1</v>
      </c>
      <c r="J149" s="6" t="n">
        <v>1</v>
      </c>
      <c r="K149" s="6" t="n"/>
      <c r="P149">
        <f>MAX(P150,P151,P152,P153)</f>
        <v/>
      </c>
      <c r="S149">
        <f>S150+S151+S152+S153</f>
        <v/>
      </c>
      <c r="T149">
        <f>(E149/100000+F149/100+(P149/1000)*J149/5+S149/200)*200*I149*H149</f>
        <v/>
      </c>
      <c r="U149">
        <f>((E149*F149/25000)+((P149/1000)*J149*S149/2.5))*I149*H149</f>
        <v/>
      </c>
      <c r="V149">
        <f>(E149*F149*(P149/1000)*J149*S149*I149*H149)/12500000</f>
        <v/>
      </c>
      <c r="W149">
        <f>(T149+U149+V149)/3</f>
        <v/>
      </c>
      <c r="X149" s="6" t="n">
        <v>1600</v>
      </c>
      <c r="Y149">
        <f>IFERROR(W149-X149,"")</f>
        <v/>
      </c>
      <c r="Z149">
        <f>IFERROR(ABS(Y149)/MAX(X149,1),"")</f>
        <v/>
      </c>
      <c r="AA149">
        <f>IFERROR((X149-(((E149/100000+F149/100+S149/200)*200*I149*H149)+((E149*F149/25000)*I149*H149))/3)/(((J149/5)*200*I149*H149)+((J149*S149/2.5)*I149*H149)+((E149*F149*J149*S149*I149*H149)/12500000))/3*1000,"")</f>
        <v/>
      </c>
    </row>
    <row r="150">
      <c r="B150" s="7" t="inlineStr">
        <is>
          <t xml:space="preserve">  ↳ GunboatMissile</t>
        </is>
      </c>
      <c r="C150" s="7" t="inlineStr">
        <is>
          <t>Armament@Ground</t>
        </is>
      </c>
      <c r="L150" s="6" t="n">
        <v>18000</v>
      </c>
      <c r="M150" s="6" t="n">
        <v>33</v>
      </c>
      <c r="N150" s="6" t="n">
        <v>2</v>
      </c>
      <c r="O150" s="6" t="n">
        <v>11</v>
      </c>
      <c r="P150" s="6" t="n">
        <v>6666</v>
      </c>
      <c r="Q150" s="6" t="n">
        <v>1</v>
      </c>
      <c r="R150">
        <f>M150+IF(N150&gt;1,N(O150)*(N150-1),0)</f>
        <v/>
      </c>
      <c r="S150">
        <f>IFERROR(L150*MAX(N150,1)/R150*IF(ISBLANK(K149),1,K149),0)</f>
        <v/>
      </c>
      <c r="AB150" s="7" t="inlineStr">
        <is>
          <t>^Warhead_MissileAP_Medium</t>
        </is>
      </c>
    </row>
    <row r="151">
      <c r="B151" s="7" t="inlineStr">
        <is>
          <t xml:space="preserve">  ↳ GunboatMissileAMT</t>
        </is>
      </c>
      <c r="C151" s="7" t="inlineStr">
        <is>
          <t>Armament@AdvancedMissileTargeting</t>
        </is>
      </c>
      <c r="L151" s="6" t="n">
        <v>18000</v>
      </c>
      <c r="M151" s="6" t="n">
        <v>33</v>
      </c>
      <c r="N151" s="6" t="n">
        <v>2</v>
      </c>
      <c r="O151" s="6" t="n">
        <v>11</v>
      </c>
      <c r="P151" s="6" t="n">
        <v>6666</v>
      </c>
      <c r="Q151" s="6" t="n">
        <v>1</v>
      </c>
      <c r="R151">
        <f>M151+IF(N151&gt;1,N(O151)*(N151-1),0)</f>
        <v/>
      </c>
      <c r="S151">
        <f>IFERROR(L151*MAX(N151,1)/R151*IF(ISBLANK(K149),1,K149),0)</f>
        <v/>
      </c>
      <c r="AB151" s="7" t="inlineStr">
        <is>
          <t>^Warhead_MissileAP_Medium</t>
        </is>
      </c>
    </row>
    <row r="152">
      <c r="B152" s="7" t="inlineStr">
        <is>
          <t xml:space="preserve">  ↳ DepthCharge</t>
        </is>
      </c>
      <c r="C152" s="7" t="inlineStr">
        <is>
          <t>Armament@DC1</t>
        </is>
      </c>
      <c r="L152" s="6" t="n">
        <v>60000</v>
      </c>
      <c r="M152" s="6" t="n">
        <v>60</v>
      </c>
      <c r="N152" s="6" t="n">
        <v>1</v>
      </c>
      <c r="O152" s="6" t="n"/>
      <c r="P152" s="6" t="n">
        <v>6000</v>
      </c>
      <c r="Q152" s="6" t="n">
        <v>0.75</v>
      </c>
      <c r="R152">
        <f>M152+IF(N152&gt;1,N(O152)*(N152-1),0)</f>
        <v/>
      </c>
      <c r="S152">
        <f>IFERROR(L152*MAX(N152,1)/R152*IF(ISBLANK(K149),1,K149),0)</f>
        <v/>
      </c>
      <c r="AB152" s="7" t="inlineStr">
        <is>
          <t>^Warhead_Demolition_Light</t>
        </is>
      </c>
    </row>
    <row r="153">
      <c r="B153" s="7" t="inlineStr">
        <is>
          <t xml:space="preserve">  ↳ DepthCharge</t>
        </is>
      </c>
      <c r="C153" s="7" t="inlineStr">
        <is>
          <t>Armament@DC2</t>
        </is>
      </c>
      <c r="L153" s="6" t="n">
        <v>60000</v>
      </c>
      <c r="M153" s="6" t="n">
        <v>60</v>
      </c>
      <c r="N153" s="6" t="n">
        <v>1</v>
      </c>
      <c r="O153" s="6" t="n"/>
      <c r="P153" s="6" t="n">
        <v>6000</v>
      </c>
      <c r="Q153" s="6" t="n">
        <v>0.75</v>
      </c>
      <c r="R153">
        <f>M153+IF(N153&gt;1,N(O153)*(N153-1),0)</f>
        <v/>
      </c>
      <c r="S153">
        <f>IFERROR(L153*MAX(N153,1)/R153*IF(ISBLANK(K149),1,K149),0)</f>
        <v/>
      </c>
      <c r="AB153" s="7" t="inlineStr">
        <is>
          <t>^Warhead_Demolition_Light</t>
        </is>
      </c>
    </row>
    <row r="154">
      <c r="A154" t="inlineStr">
        <is>
          <t>tiberiandawn</t>
        </is>
      </c>
      <c r="B154" t="inlineStr">
        <is>
          <t>LST</t>
        </is>
      </c>
      <c r="C154" t="inlineStr">
        <is>
          <t>Landing Craft</t>
        </is>
      </c>
      <c r="D154" s="6" t="inlineStr">
        <is>
          <t>Ship</t>
        </is>
      </c>
      <c r="E154" s="6" t="n">
        <v>75000</v>
      </c>
      <c r="F154" s="6" t="n">
        <v>125</v>
      </c>
      <c r="G154" t="inlineStr">
        <is>
          <t>Medium</t>
        </is>
      </c>
      <c r="H154" s="6" t="n">
        <v>0.8048999999999999</v>
      </c>
      <c r="I154" s="6" t="n">
        <v>1</v>
      </c>
      <c r="J154" s="6" t="n">
        <v>1</v>
      </c>
      <c r="K154" s="6" t="n"/>
      <c r="X154" s="6" t="n">
        <v>500</v>
      </c>
    </row>
    <row r="155">
      <c r="A155" t="inlineStr">
        <is>
          <t>tiberiandawn</t>
        </is>
      </c>
      <c r="B155" t="inlineStr">
        <is>
          <t>gdicarrier</t>
        </is>
      </c>
      <c r="C155" t="inlineStr">
        <is>
          <t>GDI Super Carrier</t>
        </is>
      </c>
      <c r="D155" s="6" t="inlineStr">
        <is>
          <t>ArtilleryShip</t>
        </is>
      </c>
      <c r="E155" s="6" t="n">
        <v>300000</v>
      </c>
      <c r="F155" s="6" t="n">
        <v>50</v>
      </c>
      <c r="G155" t="inlineStr">
        <is>
          <t>Superheavy</t>
        </is>
      </c>
      <c r="H155" s="6" t="n">
        <v>0.3626</v>
      </c>
      <c r="I155" s="6" t="n">
        <v>1</v>
      </c>
      <c r="J155" s="6" t="n">
        <v>1</v>
      </c>
      <c r="K155" s="6" t="n"/>
      <c r="X155" s="6" t="n">
        <v>4000</v>
      </c>
    </row>
    <row r="156">
      <c r="B156" s="7" t="inlineStr">
        <is>
          <t xml:space="preserve">  ↳ JapanCarrierTarget</t>
        </is>
      </c>
      <c r="C156" s="7" t="inlineStr">
        <is>
          <t>Armament@PRIMARY</t>
        </is>
      </c>
      <c r="L156" s="6" t="n"/>
      <c r="M156" s="6" t="n">
        <v>25</v>
      </c>
      <c r="N156" s="6" t="n">
        <v>1</v>
      </c>
      <c r="O156" s="6" t="n"/>
      <c r="P156" s="6" t="n">
        <v>20000</v>
      </c>
      <c r="Q156" s="6" t="n">
        <v>1</v>
      </c>
      <c r="R156">
        <f>M156+IF(N156&gt;1,N(O156)*(N156-1),0)</f>
        <v/>
      </c>
      <c r="S156">
        <f>IFERROR(L156*MAX(N156,1)/R156*IF(ISBLANK(K155),1,K155),0)</f>
        <v/>
      </c>
      <c r="AB156" s="7" t="inlineStr"/>
    </row>
    <row r="157">
      <c r="A157" s="4" t="inlineStr">
        <is>
          <t>BUILDINGS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t="inlineStr">
        <is>
          <t>tiberiandawn</t>
        </is>
      </c>
      <c r="B158" t="inlineStr">
        <is>
          <t>CNCSYRD</t>
        </is>
      </c>
      <c r="C158" t="inlineStr">
        <is>
          <t>GDI Naval Yard</t>
        </is>
      </c>
      <c r="D158" s="6" t="inlineStr">
        <is>
          <t>Building</t>
        </is>
      </c>
      <c r="E158" s="6" t="n">
        <v>600000</v>
      </c>
      <c r="F158" s="6" t="n"/>
      <c r="G158" t="inlineStr">
        <is>
          <t>Concrete</t>
        </is>
      </c>
      <c r="H158" s="6" t="n">
        <v>1</v>
      </c>
      <c r="I158" s="6" t="n">
        <v>1</v>
      </c>
      <c r="J158" s="6" t="n">
        <v>1</v>
      </c>
      <c r="K158" s="6" t="n"/>
      <c r="X158" s="6" t="n">
        <v>3000</v>
      </c>
    </row>
    <row r="159">
      <c r="A159" t="inlineStr">
        <is>
          <t>tiberiandawn</t>
        </is>
      </c>
      <c r="B159" t="inlineStr">
        <is>
          <t>td_gdi_advancedcommunicationscenter</t>
        </is>
      </c>
      <c r="C159" t="inlineStr">
        <is>
          <t>Advanced Communications Center</t>
        </is>
      </c>
      <c r="D159" s="6" t="inlineStr">
        <is>
          <t>Building</t>
        </is>
      </c>
      <c r="E159" s="6" t="n">
        <v>1000000</v>
      </c>
      <c r="F159" s="6" t="n"/>
      <c r="G159" t="inlineStr">
        <is>
          <t>Concrete</t>
        </is>
      </c>
      <c r="H159" s="6" t="n">
        <v>0.8462</v>
      </c>
      <c r="I159" s="6" t="n">
        <v>1</v>
      </c>
      <c r="J159" s="6" t="n">
        <v>1</v>
      </c>
      <c r="K159" s="6" t="n"/>
      <c r="X159" s="6" t="n">
        <v>10000</v>
      </c>
    </row>
    <row r="160">
      <c r="A160" t="inlineStr">
        <is>
          <t>tiberiandawn</t>
        </is>
      </c>
      <c r="B160" t="inlineStr">
        <is>
          <t>td_gdi_advancedguardtower</t>
        </is>
      </c>
      <c r="C160" t="inlineStr">
        <is>
          <t>Advanced Guard Tower</t>
        </is>
      </c>
      <c r="D160" s="6" t="inlineStr">
        <is>
          <t>AdvancedDefense</t>
        </is>
      </c>
      <c r="E160" s="6" t="n">
        <v>140000</v>
      </c>
      <c r="F160" s="6" t="n"/>
      <c r="G160" t="inlineStr">
        <is>
          <t>Steel</t>
        </is>
      </c>
      <c r="H160" s="6" t="n">
        <v>1</v>
      </c>
      <c r="I160" s="6" t="n">
        <v>0.325</v>
      </c>
      <c r="J160" s="6" t="n">
        <v>1</v>
      </c>
      <c r="K160" s="6" t="n"/>
      <c r="X160" s="6" t="n">
        <v>1600</v>
      </c>
    </row>
    <row r="161">
      <c r="B161" s="7" t="inlineStr">
        <is>
          <t xml:space="preserve">  ↳ TowerMissile</t>
        </is>
      </c>
      <c r="C161" s="7" t="inlineStr">
        <is>
          <t>Armament@PRIMARY</t>
        </is>
      </c>
      <c r="L161" s="6" t="n">
        <v>14000</v>
      </c>
      <c r="M161" s="6" t="n">
        <v>25</v>
      </c>
      <c r="N161" s="6" t="n">
        <v>2</v>
      </c>
      <c r="O161" s="6" t="n">
        <v>5</v>
      </c>
      <c r="P161" s="6" t="n">
        <v>8772</v>
      </c>
      <c r="Q161" s="6" t="n">
        <v>1</v>
      </c>
      <c r="R161">
        <f>M161+IF(N161&gt;1,N(O161)*(N161-1),0)</f>
        <v/>
      </c>
      <c r="S161">
        <f>IFERROR(L161*MAX(N161,1)/R161*IF(ISBLANK(K160),1,K160),0)</f>
        <v/>
      </c>
      <c r="AB161" s="7" t="inlineStr">
        <is>
          <t>^TankDestroyerCannon, ^Grenade, ^ShrapnelWeapon, ^FlakWeapon, ^HeavyAAWeapon, ^HeavyMissile, ^MediumMissile</t>
        </is>
      </c>
    </row>
    <row r="162">
      <c r="B162" s="7" t="inlineStr">
        <is>
          <t xml:space="preserve">  ↳ TowerMissileAMT</t>
        </is>
      </c>
      <c r="C162" s="7" t="inlineStr">
        <is>
          <t>Armament@AdvancedMissileTargeting</t>
        </is>
      </c>
      <c r="L162" s="6" t="n">
        <v>14000</v>
      </c>
      <c r="M162" s="6" t="n">
        <v>25</v>
      </c>
      <c r="N162" s="6" t="n">
        <v>2</v>
      </c>
      <c r="O162" s="6" t="n">
        <v>5</v>
      </c>
      <c r="P162" s="6" t="n">
        <v>8772</v>
      </c>
      <c r="Q162" s="6" t="n">
        <v>1</v>
      </c>
      <c r="R162">
        <f>M162+IF(N162&gt;1,N(O162)*(N162-1),0)</f>
        <v/>
      </c>
      <c r="S162">
        <f>IFERROR(L162*MAX(N162,1)/R162*IF(ISBLANK(K160),1,K160),0)</f>
        <v/>
      </c>
      <c r="AB162" s="7" t="inlineStr">
        <is>
          <t>TowerMissile, ^AMTProjectile</t>
        </is>
      </c>
    </row>
    <row r="163">
      <c r="A163" t="inlineStr">
        <is>
          <t>tiberiandawn</t>
        </is>
      </c>
      <c r="B163" t="inlineStr">
        <is>
          <t>td_gdi_barracks</t>
        </is>
      </c>
      <c r="C163" t="inlineStr">
        <is>
          <t>GDI Barracks</t>
        </is>
      </c>
      <c r="D163" s="6" t="inlineStr">
        <is>
          <t>Building</t>
        </is>
      </c>
      <c r="E163" s="6" t="n">
        <v>200000</v>
      </c>
      <c r="F163" s="6" t="n"/>
      <c r="G163" t="inlineStr">
        <is>
          <t>Wood</t>
        </is>
      </c>
      <c r="H163" s="6" t="n">
        <v>1</v>
      </c>
      <c r="I163" s="6" t="n">
        <v>1</v>
      </c>
      <c r="J163" s="6" t="n">
        <v>1</v>
      </c>
      <c r="K163" s="6" t="n"/>
      <c r="X163" s="6" t="n">
        <v>1000</v>
      </c>
    </row>
    <row r="164">
      <c r="A164" t="inlineStr">
        <is>
          <t>tiberiandawn</t>
        </is>
      </c>
      <c r="B164" t="inlineStr">
        <is>
          <t>td_gdi_communicationscenter</t>
        </is>
      </c>
      <c r="C164" t="inlineStr">
        <is>
          <t>GDI Communications Center</t>
        </is>
      </c>
      <c r="D164" s="6" t="inlineStr">
        <is>
          <t>Building</t>
        </is>
      </c>
      <c r="E164" s="6" t="n">
        <v>250000</v>
      </c>
      <c r="F164" s="6" t="n"/>
      <c r="G164" t="inlineStr">
        <is>
          <t>Wood</t>
        </is>
      </c>
      <c r="H164" s="6" t="n">
        <v>1</v>
      </c>
      <c r="I164" s="6" t="n">
        <v>1</v>
      </c>
      <c r="J164" s="6" t="n">
        <v>1</v>
      </c>
      <c r="K164" s="6" t="n"/>
      <c r="X164" s="6" t="n">
        <v>2500</v>
      </c>
    </row>
    <row r="165">
      <c r="A165" t="inlineStr">
        <is>
          <t>tiberiandawn</t>
        </is>
      </c>
      <c r="B165" t="inlineStr">
        <is>
          <t>td_gdi_constructionyard</t>
        </is>
      </c>
      <c r="C165" t="inlineStr">
        <is>
          <t>GDI Construction Yard</t>
        </is>
      </c>
      <c r="D165" s="6" t="inlineStr">
        <is>
          <t>Building</t>
        </is>
      </c>
      <c r="E165" s="6" t="n">
        <v>1000000</v>
      </c>
      <c r="F165" s="6" t="n"/>
      <c r="G165" t="inlineStr">
        <is>
          <t>Concrete</t>
        </is>
      </c>
      <c r="H165" s="6" t="n">
        <v>1</v>
      </c>
      <c r="I165" s="6" t="n">
        <v>1</v>
      </c>
      <c r="J165" s="6" t="n">
        <v>1</v>
      </c>
      <c r="K165" s="6" t="n"/>
      <c r="X165" s="6" t="n">
        <v>5000</v>
      </c>
    </row>
    <row r="166">
      <c r="A166" t="inlineStr">
        <is>
          <t>tiberiandawn</t>
        </is>
      </c>
      <c r="B166" t="inlineStr">
        <is>
          <t>td_gdi_guardtower</t>
        </is>
      </c>
      <c r="C166" t="inlineStr">
        <is>
          <t>GDI Guard Tower</t>
        </is>
      </c>
      <c r="D166" s="6" t="inlineStr">
        <is>
          <t>BasicDefense</t>
        </is>
      </c>
      <c r="E166" s="6" t="n">
        <v>60000</v>
      </c>
      <c r="F166" s="6" t="n"/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K166" s="6" t="n"/>
      <c r="X166" s="6" t="n">
        <v>500</v>
      </c>
    </row>
    <row r="167">
      <c r="B167" s="7" t="inlineStr">
        <is>
          <t xml:space="preserve">  ↳ HighV</t>
        </is>
      </c>
      <c r="C167" s="7" t="inlineStr">
        <is>
          <t>Armament</t>
        </is>
      </c>
      <c r="L167" s="6" t="n">
        <v>2000</v>
      </c>
      <c r="M167" s="6" t="n">
        <v>22</v>
      </c>
      <c r="N167" s="6" t="n">
        <v>4</v>
      </c>
      <c r="O167" s="6" t="n">
        <v>2</v>
      </c>
      <c r="P167" s="6" t="n">
        <v>6720</v>
      </c>
      <c r="Q167" s="6" t="n">
        <v>1</v>
      </c>
      <c r="R167">
        <f>M167+IF(N167&gt;1,N(O167)*(N167-1),0)</f>
        <v/>
      </c>
      <c r="S167">
        <f>IFERROR(L167*MAX(N167,1)/R167*IF(ISBLANK(K166),1,K166),0)</f>
        <v/>
      </c>
      <c r="AB167" s="7" t="inlineStr">
        <is>
          <t>^Warhead_Bullet_Medium</t>
        </is>
      </c>
    </row>
    <row r="168">
      <c r="B168" s="7" t="inlineStr">
        <is>
          <t xml:space="preserve">  ↳ HighVAP</t>
        </is>
      </c>
      <c r="C168" s="7" t="inlineStr">
        <is>
          <t>Armament@Upgrade</t>
        </is>
      </c>
      <c r="L168" s="6" t="n">
        <v>4000</v>
      </c>
      <c r="M168" s="6" t="n">
        <v>22</v>
      </c>
      <c r="N168" s="6" t="n">
        <v>4</v>
      </c>
      <c r="O168" s="6" t="n">
        <v>2</v>
      </c>
      <c r="P168" s="6" t="n">
        <v>6720</v>
      </c>
      <c r="Q168" s="6" t="n">
        <v>1</v>
      </c>
      <c r="R168">
        <f>M168+IF(N168&gt;1,N(O168)*(N168-1),0)</f>
        <v/>
      </c>
      <c r="S168">
        <f>IFERROR(L168*MAX(N168,1)/R168*IF(ISBLANK(K166),1,K166),0)</f>
        <v/>
      </c>
      <c r="AB168" s="7" t="inlineStr">
        <is>
          <t>^Warhead_Bullet_Medium</t>
        </is>
      </c>
    </row>
    <row r="169">
      <c r="A169" t="inlineStr">
        <is>
          <t>tiberiandawn</t>
        </is>
      </c>
      <c r="B169" t="inlineStr">
        <is>
          <t>td_gdi_helipad</t>
        </is>
      </c>
      <c r="C169" t="inlineStr">
        <is>
          <t>GDI Helipad</t>
        </is>
      </c>
      <c r="D169" s="6" t="inlineStr">
        <is>
          <t>Building</t>
        </is>
      </c>
      <c r="E169" s="6" t="n">
        <v>300000</v>
      </c>
      <c r="F169" s="6" t="n"/>
      <c r="G169" t="inlineStr">
        <is>
          <t>Wood</t>
        </is>
      </c>
      <c r="H169" s="6" t="n">
        <v>0.8462</v>
      </c>
      <c r="I169" s="6" t="n">
        <v>1</v>
      </c>
      <c r="J169" s="6" t="n">
        <v>1</v>
      </c>
      <c r="K169" s="6" t="n"/>
      <c r="X169" s="6" t="n">
        <v>1500</v>
      </c>
    </row>
    <row r="170">
      <c r="A170" t="inlineStr">
        <is>
          <t>tiberiandawn</t>
        </is>
      </c>
      <c r="B170" t="inlineStr">
        <is>
          <t>td_gdi_ioncannonuplink</t>
        </is>
      </c>
      <c r="C170" t="inlineStr">
        <is>
          <t>Ion Cannon Uplink</t>
        </is>
      </c>
      <c r="D170" s="6" t="inlineStr">
        <is>
          <t>Building</t>
        </is>
      </c>
      <c r="E170" s="6" t="n"/>
      <c r="F170" s="6" t="n"/>
      <c r="H170" s="6" t="n">
        <v>0.4177</v>
      </c>
      <c r="I170" s="6" t="n">
        <v>1</v>
      </c>
      <c r="J170" s="6" t="n">
        <v>1</v>
      </c>
      <c r="K170" s="6" t="n"/>
      <c r="X170" s="6" t="n">
        <v>5000</v>
      </c>
    </row>
    <row r="171">
      <c r="A171" t="inlineStr">
        <is>
          <t>tiberiandawn</t>
        </is>
      </c>
      <c r="B171" t="inlineStr">
        <is>
          <t>td_gdi_repairfacility</t>
        </is>
      </c>
      <c r="C171" t="inlineStr">
        <is>
          <t>GDI Repair Facility</t>
        </is>
      </c>
      <c r="D171" s="6" t="inlineStr">
        <is>
          <t>Building</t>
        </is>
      </c>
      <c r="E171" s="6" t="n">
        <v>250000</v>
      </c>
      <c r="F171" s="6" t="n"/>
      <c r="G171" t="inlineStr">
        <is>
          <t>Concrete</t>
        </is>
      </c>
      <c r="H171" s="6" t="n">
        <v>0.8919</v>
      </c>
      <c r="I171" s="6" t="n">
        <v>1</v>
      </c>
      <c r="J171" s="6" t="n">
        <v>1</v>
      </c>
      <c r="K171" s="6" t="n"/>
      <c r="X171" s="6" t="n">
        <v>1000</v>
      </c>
    </row>
    <row r="172">
      <c r="A172" t="inlineStr">
        <is>
          <t>tiberiandawn</t>
        </is>
      </c>
      <c r="B172" t="inlineStr">
        <is>
          <t>td_gdi_skyshield</t>
        </is>
      </c>
      <c r="C172" t="inlineStr">
        <is>
          <t>Skyshield</t>
        </is>
      </c>
      <c r="D172" s="6" t="inlineStr">
        <is>
          <t>AntiAirDefense</t>
        </is>
      </c>
      <c r="E172" s="6" t="n">
        <v>93000</v>
      </c>
      <c r="F172" s="6" t="n"/>
      <c r="G172" t="inlineStr">
        <is>
          <t>Concrete</t>
        </is>
      </c>
      <c r="H172" s="6" t="n">
        <v>1</v>
      </c>
      <c r="I172" s="6" t="n">
        <v>0.225</v>
      </c>
      <c r="J172" s="6" t="n">
        <v>1</v>
      </c>
      <c r="K172" s="6" t="n"/>
      <c r="X172" s="6" t="n">
        <v>900</v>
      </c>
    </row>
    <row r="173">
      <c r="B173" s="7" t="inlineStr">
        <is>
          <t xml:space="preserve">  ↳ SkyshieldCannon</t>
        </is>
      </c>
      <c r="C173" s="7" t="inlineStr">
        <is>
          <t>Armament</t>
        </is>
      </c>
      <c r="L173" s="6" t="n">
        <v>8000</v>
      </c>
      <c r="M173" s="6" t="n">
        <v>11</v>
      </c>
      <c r="N173" s="6" t="n">
        <v>1</v>
      </c>
      <c r="O173" s="6" t="n"/>
      <c r="P173" s="6" t="n">
        <v>13800</v>
      </c>
      <c r="Q173" s="6" t="n">
        <v>1</v>
      </c>
      <c r="R173">
        <f>M173+IF(N173&gt;1,N(O173)*(N173-1),0)</f>
        <v/>
      </c>
      <c r="S173">
        <f>IFERROR(L173*MAX(N173,1)/R173*IF(ISBLANK(K172),1,K172),0)</f>
        <v/>
      </c>
      <c r="AB173" s="7" t="inlineStr">
        <is>
          <t>^SmallArms, ^LightMissile, ^Chaingun, ^FlakWeapon</t>
        </is>
      </c>
    </row>
    <row r="174">
      <c r="A174" t="inlineStr">
        <is>
          <t>tiberiandawn</t>
        </is>
      </c>
      <c r="B174" t="inlineStr">
        <is>
          <t>td_gdi_tiberiumrefinery</t>
        </is>
      </c>
      <c r="C174" t="inlineStr">
        <is>
          <t>GDI Tiberium Refinery</t>
        </is>
      </c>
      <c r="D174" s="6" t="inlineStr">
        <is>
          <t>Building</t>
        </is>
      </c>
      <c r="E174" s="6" t="n">
        <v>300000</v>
      </c>
      <c r="F174" s="6" t="n"/>
      <c r="G174" t="inlineStr">
        <is>
          <t>Concrete</t>
        </is>
      </c>
      <c r="H174" s="6" t="n">
        <v>1</v>
      </c>
      <c r="I174" s="6" t="n">
        <v>1</v>
      </c>
      <c r="J174" s="6" t="n">
        <v>1</v>
      </c>
      <c r="K174" s="6" t="n"/>
      <c r="X174" s="6" t="n">
        <v>3000</v>
      </c>
    </row>
    <row r="175">
      <c r="A175" t="inlineStr">
        <is>
          <t>tiberiandawn</t>
        </is>
      </c>
      <c r="B175" t="inlineStr">
        <is>
          <t>td_gdi_weaponsfactory</t>
        </is>
      </c>
      <c r="C175" t="inlineStr">
        <is>
          <t>GDI Weapons Factory</t>
        </is>
      </c>
      <c r="D175" s="6" t="inlineStr">
        <is>
          <t>Building</t>
        </is>
      </c>
      <c r="E175" s="6" t="n">
        <v>400000</v>
      </c>
      <c r="F175" s="6" t="n"/>
      <c r="G175" t="inlineStr">
        <is>
          <t>Concrete</t>
        </is>
      </c>
      <c r="H175" s="6" t="n">
        <v>1</v>
      </c>
      <c r="I175" s="6" t="n">
        <v>1</v>
      </c>
      <c r="J175" s="6" t="n">
        <v>1</v>
      </c>
      <c r="K175" s="6" t="n"/>
      <c r="X175" s="6" t="n">
        <v>2000</v>
      </c>
    </row>
    <row r="176">
      <c r="A176" s="4" t="inlineStr">
        <is>
          <t>UPGRADES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t="inlineStr">
        <is>
          <t>tiberiandawn</t>
        </is>
      </c>
      <c r="B177" t="inlineStr">
        <is>
          <t>td_gdi_upgrade_a10airstrike</t>
        </is>
      </c>
      <c r="C177" t="inlineStr">
        <is>
          <t>Unlock A10 Airstrike</t>
        </is>
      </c>
      <c r="D177" s="6" t="inlineStr">
        <is>
          <t>ResearchedUpgrade</t>
        </is>
      </c>
      <c r="E177" s="6" t="n"/>
      <c r="F177" s="6" t="n"/>
      <c r="H177" s="6" t="n">
        <v>0.8462</v>
      </c>
      <c r="I177" s="6" t="n">
        <v>1</v>
      </c>
      <c r="J177" s="6" t="n">
        <v>1</v>
      </c>
      <c r="K177" s="6" t="n"/>
      <c r="X177" s="6" t="n">
        <v>5000</v>
      </c>
    </row>
    <row r="178">
      <c r="A178" t="inlineStr">
        <is>
          <t>tiberiandawn</t>
        </is>
      </c>
      <c r="B178" t="inlineStr">
        <is>
          <t>td_gdi_upgrade_advancedmissiletargeting</t>
        </is>
      </c>
      <c r="C178" t="inlineStr">
        <is>
          <t>Advanced Missile Targeting</t>
        </is>
      </c>
      <c r="D178" s="6" t="inlineStr">
        <is>
          <t>ResearchedUpgrade</t>
        </is>
      </c>
      <c r="E178" s="6" t="n"/>
      <c r="F178" s="6" t="n"/>
      <c r="H178" s="6" t="n">
        <v>0.4177</v>
      </c>
      <c r="I178" s="6" t="n">
        <v>1</v>
      </c>
      <c r="J178" s="6" t="n">
        <v>1</v>
      </c>
      <c r="K178" s="6" t="n"/>
      <c r="X178" s="6" t="n">
        <v>7500</v>
      </c>
    </row>
    <row r="179">
      <c r="A179" t="inlineStr">
        <is>
          <t>tiberiandawn</t>
        </is>
      </c>
      <c r="B179" t="inlineStr">
        <is>
          <t>td_gdi_upgrade_armorpiercingbullets</t>
        </is>
      </c>
      <c r="C179" t="inlineStr">
        <is>
          <t>Armor Piercing Bullets</t>
        </is>
      </c>
      <c r="D179" s="6" t="inlineStr">
        <is>
          <t>ResearchedUpgrade</t>
        </is>
      </c>
      <c r="E179" s="6" t="n"/>
      <c r="F179" s="6" t="n"/>
      <c r="H179" s="6" t="n">
        <v>0.8462</v>
      </c>
      <c r="I179" s="6" t="n">
        <v>1</v>
      </c>
      <c r="J179" s="6" t="n">
        <v>1</v>
      </c>
      <c r="K179" s="6" t="n"/>
      <c r="X179" s="6" t="n">
        <v>5000</v>
      </c>
    </row>
    <row r="180">
      <c r="A180" t="inlineStr">
        <is>
          <t>tiberiandawn</t>
        </is>
      </c>
      <c r="B180" t="inlineStr">
        <is>
          <t>td_gdi_upgrade_cuttingedgeequipment</t>
        </is>
      </c>
      <c r="C180" t="inlineStr">
        <is>
          <t>Cutting Edge Equipment</t>
        </is>
      </c>
      <c r="D180" s="6" t="inlineStr">
        <is>
          <t>ResearchedUpgrade</t>
        </is>
      </c>
      <c r="E180" s="6" t="n"/>
      <c r="F180" s="6" t="n"/>
      <c r="H180" s="6" t="n">
        <v>0.4177</v>
      </c>
      <c r="I180" s="6" t="n">
        <v>1</v>
      </c>
      <c r="J180" s="6" t="n">
        <v>1</v>
      </c>
      <c r="K180" s="6" t="n"/>
      <c r="X180" s="6" t="n">
        <v>7500</v>
      </c>
    </row>
    <row r="181">
      <c r="A181" t="inlineStr">
        <is>
          <t>tiberiandawn</t>
        </is>
      </c>
      <c r="B181" t="inlineStr">
        <is>
          <t>td_gdi_upgrade_heavyaircraftarmorplating</t>
        </is>
      </c>
      <c r="C181" t="inlineStr">
        <is>
          <t>Heavy Aircraft Armor Plating</t>
        </is>
      </c>
      <c r="D181" s="6" t="inlineStr">
        <is>
          <t>ResearchedUpgrade</t>
        </is>
      </c>
      <c r="E181" s="6" t="n"/>
      <c r="F181" s="6" t="n"/>
      <c r="H181" s="6" t="n">
        <v>0.4177</v>
      </c>
      <c r="I181" s="6" t="n">
        <v>1</v>
      </c>
      <c r="J181" s="6" t="n">
        <v>1</v>
      </c>
      <c r="K181" s="6" t="n"/>
      <c r="X181" s="6" t="n">
        <v>7500</v>
      </c>
    </row>
    <row r="182">
      <c r="A182" t="inlineStr">
        <is>
          <t>tiberiandawn</t>
        </is>
      </c>
      <c r="B182" t="inlineStr">
        <is>
          <t>td_gdi_upgrade_highvelocitycannons</t>
        </is>
      </c>
      <c r="C182" t="inlineStr">
        <is>
          <t>High Velocity Cannons</t>
        </is>
      </c>
      <c r="D182" s="6" t="inlineStr">
        <is>
          <t>ResearchedUpgrade</t>
        </is>
      </c>
      <c r="E182" s="6" t="n"/>
      <c r="F182" s="6" t="n"/>
      <c r="H182" s="6" t="n">
        <v>0.4177</v>
      </c>
      <c r="I182" s="6" t="n">
        <v>1</v>
      </c>
      <c r="J182" s="6" t="n">
        <v>1</v>
      </c>
      <c r="K182" s="6" t="n"/>
      <c r="X182" s="6" t="n">
        <v>10000</v>
      </c>
    </row>
    <row r="183">
      <c r="A183" t="inlineStr">
        <is>
          <t>tiberiandawn</t>
        </is>
      </c>
      <c r="B183" t="inlineStr">
        <is>
          <t>td_gdi_upgrade_lightweightarmorplating</t>
        </is>
      </c>
      <c r="C183" t="inlineStr">
        <is>
          <t>Lightweight Armor Plating</t>
        </is>
      </c>
      <c r="D183" s="6" t="inlineStr">
        <is>
          <t>Upgrade</t>
        </is>
      </c>
      <c r="E183" s="6" t="n"/>
      <c r="F183" s="6" t="n"/>
      <c r="H183" s="6" t="n">
        <v>0.4177</v>
      </c>
      <c r="I183" s="6" t="n">
        <v>1</v>
      </c>
      <c r="J183" s="6" t="n">
        <v>1</v>
      </c>
      <c r="K183" s="6" t="n"/>
      <c r="X183" s="6" t="n">
        <v>12500</v>
      </c>
    </row>
    <row r="184">
      <c r="A184" t="inlineStr">
        <is>
          <t>tiberiandawn</t>
        </is>
      </c>
      <c r="B184" t="inlineStr">
        <is>
          <t>td_gdi_upgrade_longrangesensors</t>
        </is>
      </c>
      <c r="C184" t="inlineStr">
        <is>
          <t>Long Range Sensors</t>
        </is>
      </c>
      <c r="D184" s="6" t="inlineStr">
        <is>
          <t>ResearchedUpgrade</t>
        </is>
      </c>
      <c r="E184" s="6" t="n"/>
      <c r="F184" s="6" t="n"/>
      <c r="H184" s="6" t="n">
        <v>0.8462</v>
      </c>
      <c r="I184" s="6" t="n">
        <v>1</v>
      </c>
      <c r="J184" s="6" t="n">
        <v>1</v>
      </c>
      <c r="K184" s="6" t="n"/>
      <c r="X184" s="6" t="n">
        <v>5000</v>
      </c>
    </row>
    <row r="185">
      <c r="A185" t="inlineStr">
        <is>
          <t>tiberiandawn</t>
        </is>
      </c>
      <c r="B185" t="inlineStr">
        <is>
          <t>team_upgrade.up_lightweightarmorplating</t>
        </is>
      </c>
      <c r="C185" t="inlineStr">
        <is>
          <t>Lightweight Armor Plating</t>
        </is>
      </c>
      <c r="D185" s="6" t="inlineStr">
        <is>
          <t>ResearchedUpgrade</t>
        </is>
      </c>
      <c r="E185" s="6" t="n"/>
      <c r="F185" s="6" t="n"/>
      <c r="H185" s="6" t="n">
        <v>1</v>
      </c>
      <c r="I185" s="6" t="n">
        <v>1</v>
      </c>
      <c r="J185" s="6" t="n">
        <v>1</v>
      </c>
      <c r="K185" s="6" t="n"/>
      <c r="X185" s="6" t="n"/>
    </row>
    <row r="186">
      <c r="A186" s="4" t="inlineStr">
        <is>
          <t>PROMOTIONS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t="inlineStr">
        <is>
          <t>tiberiandawn</t>
        </is>
      </c>
      <c r="B187" t="inlineStr">
        <is>
          <t>td_gdi_promotion_assaultapc</t>
        </is>
      </c>
      <c r="C187" t="inlineStr">
        <is>
          <t>Unlock Assault APC</t>
        </is>
      </c>
      <c r="D187" s="6" t="inlineStr">
        <is>
          <t>PromotionUpgrade</t>
        </is>
      </c>
      <c r="E187" s="6" t="n"/>
      <c r="F187" s="6" t="n"/>
      <c r="H187" s="6" t="n">
        <v>1</v>
      </c>
      <c r="I187" s="6" t="n">
        <v>1</v>
      </c>
      <c r="J187" s="6" t="n">
        <v>1</v>
      </c>
      <c r="K187" s="6" t="n"/>
      <c r="X187" s="6" t="n"/>
    </row>
    <row r="188">
      <c r="A188" t="inlineStr">
        <is>
          <t>tiberiandawn</t>
        </is>
      </c>
      <c r="B188" t="inlineStr">
        <is>
          <t>td_gdi_promotion_empgrenadier</t>
        </is>
      </c>
      <c r="C188" t="inlineStr">
        <is>
          <t>Unlock EMP Grenadier</t>
        </is>
      </c>
      <c r="D188" s="6" t="inlineStr">
        <is>
          <t>PromotionUpgrade</t>
        </is>
      </c>
      <c r="E188" s="6" t="n"/>
      <c r="F188" s="6" t="n"/>
      <c r="H188" s="6" t="n">
        <v>1</v>
      </c>
      <c r="I188" s="6" t="n">
        <v>1</v>
      </c>
      <c r="J188" s="6" t="n">
        <v>1</v>
      </c>
      <c r="K188" s="6" t="n"/>
      <c r="X188" s="6" t="n"/>
    </row>
    <row r="189">
      <c r="A189" t="inlineStr">
        <is>
          <t>tiberiandawn</t>
        </is>
      </c>
      <c r="B189" t="inlineStr">
        <is>
          <t>td_gdi_promotion_firehawk</t>
        </is>
      </c>
      <c r="C189" t="inlineStr">
        <is>
          <t>Unlock Firehawk</t>
        </is>
      </c>
      <c r="D189" s="6" t="inlineStr">
        <is>
          <t>PromotionUpgrade</t>
        </is>
      </c>
      <c r="E189" s="6" t="n"/>
      <c r="F189" s="6" t="n"/>
      <c r="H189" s="6" t="n">
        <v>1</v>
      </c>
      <c r="I189" s="6" t="n">
        <v>1</v>
      </c>
      <c r="J189" s="6" t="n">
        <v>1</v>
      </c>
      <c r="K189" s="6" t="n"/>
      <c r="X189" s="6" t="n"/>
    </row>
    <row r="190">
      <c r="A190" t="inlineStr">
        <is>
          <t>tiberiandawn</t>
        </is>
      </c>
      <c r="B190" t="inlineStr">
        <is>
          <t>td_gdi_promotion_gdidefenserig</t>
        </is>
      </c>
      <c r="C190" t="inlineStr">
        <is>
          <t>Unlock GDI Defense Rig</t>
        </is>
      </c>
      <c r="D190" s="6" t="inlineStr">
        <is>
          <t>PromotionUpgrade</t>
        </is>
      </c>
      <c r="E190" s="6" t="n"/>
      <c r="F190" s="6" t="n"/>
      <c r="H190" s="6" t="n">
        <v>1</v>
      </c>
      <c r="I190" s="6" t="n">
        <v>1</v>
      </c>
      <c r="J190" s="6" t="n">
        <v>1</v>
      </c>
      <c r="K190" s="6" t="n"/>
      <c r="X190" s="6" t="n"/>
    </row>
    <row r="191">
      <c r="A191" t="inlineStr">
        <is>
          <t>tiberiandawn</t>
        </is>
      </c>
      <c r="B191" t="inlineStr">
        <is>
          <t>td_gdi_promotion_gdiofficer</t>
        </is>
      </c>
      <c r="C191" t="inlineStr">
        <is>
          <t>Unlock GDI Officer</t>
        </is>
      </c>
      <c r="D191" s="6" t="inlineStr">
        <is>
          <t>PromotionUpgrade</t>
        </is>
      </c>
      <c r="E191" s="6" t="n"/>
      <c r="F191" s="6" t="n"/>
      <c r="H191" s="6" t="n">
        <v>1</v>
      </c>
      <c r="I191" s="6" t="n">
        <v>1</v>
      </c>
      <c r="J191" s="6" t="n">
        <v>1</v>
      </c>
      <c r="K191" s="6" t="n"/>
      <c r="X191" s="6" t="n"/>
    </row>
    <row r="192">
      <c r="A192" t="inlineStr">
        <is>
          <t>tiberiandawn</t>
        </is>
      </c>
      <c r="B192" t="inlineStr">
        <is>
          <t>td_gdi_promotion_havocandexosuit</t>
        </is>
      </c>
      <c r="C192" t="inlineStr">
        <is>
          <t>Unlock Havoc and Exosuit</t>
        </is>
      </c>
      <c r="D192" s="6" t="inlineStr">
        <is>
          <t>PromotionUpgrade</t>
        </is>
      </c>
      <c r="E192" s="6" t="n"/>
      <c r="F192" s="6" t="n"/>
      <c r="H192" s="6" t="n">
        <v>1</v>
      </c>
      <c r="I192" s="6" t="n">
        <v>1</v>
      </c>
      <c r="J192" s="6" t="n">
        <v>1</v>
      </c>
      <c r="K192" s="6" t="n"/>
      <c r="X192" s="6" t="n"/>
    </row>
    <row r="193">
      <c r="A193" t="inlineStr">
        <is>
          <t>tiberiandawn</t>
        </is>
      </c>
      <c r="B193" t="inlineStr">
        <is>
          <t>td_gdi_promotion_humveemkii</t>
        </is>
      </c>
      <c r="C193" t="inlineStr">
        <is>
          <t>Unlock Humvee Mk. II</t>
        </is>
      </c>
      <c r="D193" s="6" t="inlineStr">
        <is>
          <t>PromotionUpgrade</t>
        </is>
      </c>
      <c r="E193" s="6" t="n"/>
      <c r="F193" s="6" t="n"/>
      <c r="H193" s="6" t="n">
        <v>1</v>
      </c>
      <c r="I193" s="6" t="n">
        <v>1</v>
      </c>
      <c r="J193" s="6" t="n">
        <v>1</v>
      </c>
      <c r="K193" s="6" t="n"/>
      <c r="X193" s="6" t="n"/>
    </row>
    <row r="194">
      <c r="A194" t="inlineStr">
        <is>
          <t>tiberiandawn</t>
        </is>
      </c>
      <c r="B194" t="inlineStr">
        <is>
          <t>td_gdi_promotion_mammothtankmk3</t>
        </is>
      </c>
      <c r="C194" t="inlineStr">
        <is>
          <t>Unlock Mammoth Tank Mk3</t>
        </is>
      </c>
      <c r="D194" s="6" t="inlineStr">
        <is>
          <t>PromotionUpgrade</t>
        </is>
      </c>
      <c r="E194" s="6" t="n"/>
      <c r="F194" s="6" t="n"/>
      <c r="H194" s="6" t="n">
        <v>1</v>
      </c>
      <c r="I194" s="6" t="n">
        <v>1</v>
      </c>
      <c r="J194" s="6" t="n">
        <v>1</v>
      </c>
      <c r="K194" s="6" t="n"/>
      <c r="X194" s="6" t="n"/>
    </row>
    <row r="195">
      <c r="A195" t="inlineStr">
        <is>
          <t>tiberiandawn</t>
        </is>
      </c>
      <c r="B195" t="inlineStr">
        <is>
          <t>td_gdi_promotion_missilesoldier</t>
        </is>
      </c>
      <c r="C195" t="inlineStr">
        <is>
          <t>Unlock Missile Soldier</t>
        </is>
      </c>
      <c r="D195" s="6" t="inlineStr">
        <is>
          <t>PromotionUpgrade</t>
        </is>
      </c>
      <c r="E195" s="6" t="n"/>
      <c r="F195" s="6" t="n"/>
      <c r="H195" s="6" t="n">
        <v>1</v>
      </c>
      <c r="I195" s="6" t="n">
        <v>1</v>
      </c>
      <c r="J195" s="6" t="n">
        <v>1</v>
      </c>
      <c r="K195" s="6" t="n"/>
      <c r="X195" s="6" t="n"/>
    </row>
    <row r="196">
      <c r="A196" t="inlineStr">
        <is>
          <t>tiberiandawn</t>
        </is>
      </c>
      <c r="B196" t="inlineStr">
        <is>
          <t>td_gdi_promotion_predatortank</t>
        </is>
      </c>
      <c r="C196" t="inlineStr">
        <is>
          <t>Unlock Predator Tank</t>
        </is>
      </c>
      <c r="D196" s="6" t="inlineStr">
        <is>
          <t>PromotionUpgrade</t>
        </is>
      </c>
      <c r="E196" s="6" t="n"/>
      <c r="F196" s="6" t="n"/>
      <c r="H196" s="6" t="n">
        <v>1</v>
      </c>
      <c r="I196" s="6" t="n">
        <v>1</v>
      </c>
      <c r="J196" s="6" t="n">
        <v>1</v>
      </c>
      <c r="K196" s="6" t="n"/>
      <c r="X196" s="6" t="n"/>
    </row>
    <row r="197">
      <c r="A197" t="inlineStr">
        <is>
          <t>tiberiandawn</t>
        </is>
      </c>
      <c r="B197" t="inlineStr">
        <is>
          <t>td_gdi_promotion_shotgunner</t>
        </is>
      </c>
      <c r="C197" t="inlineStr">
        <is>
          <t>Unlock Shotgunner</t>
        </is>
      </c>
      <c r="D197" s="6" t="inlineStr">
        <is>
          <t>PromotionUpgrade</t>
        </is>
      </c>
      <c r="E197" s="6" t="n"/>
      <c r="F197" s="6" t="n"/>
      <c r="H197" s="6" t="n">
        <v>1</v>
      </c>
      <c r="I197" s="6" t="n">
        <v>1</v>
      </c>
      <c r="J197" s="6" t="n">
        <v>1</v>
      </c>
      <c r="K197" s="6" t="n"/>
      <c r="X197" s="6" t="n"/>
    </row>
    <row r="198">
      <c r="A198" t="inlineStr">
        <is>
          <t>tiberiandawn</t>
        </is>
      </c>
      <c r="B198" t="inlineStr">
        <is>
          <t>td_gdi_promotion_sniper</t>
        </is>
      </c>
      <c r="C198" t="inlineStr">
        <is>
          <t>Unlock Sniper</t>
        </is>
      </c>
      <c r="D198" s="6" t="inlineStr">
        <is>
          <t>PromotionUpgrade</t>
        </is>
      </c>
      <c r="E198" s="6" t="n"/>
      <c r="F198" s="6" t="n"/>
      <c r="H198" s="6" t="n">
        <v>1</v>
      </c>
      <c r="I198" s="6" t="n">
        <v>1</v>
      </c>
      <c r="J198" s="6" t="n">
        <v>1</v>
      </c>
      <c r="K198" s="6" t="n"/>
      <c r="X198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td_nod_blackhandflamer</t>
        </is>
      </c>
      <c r="C3" t="inlineStr">
        <is>
          <t>Black Hand Flamer</t>
        </is>
      </c>
      <c r="D3" s="6" t="inlineStr">
        <is>
          <t>HeavyInfantry</t>
        </is>
      </c>
      <c r="E3" s="6" t="n">
        <v>36000</v>
      </c>
      <c r="F3" s="6" t="n">
        <v>66</v>
      </c>
      <c r="G3" t="inlineStr">
        <is>
          <t>Plate</t>
        </is>
      </c>
      <c r="H3" s="6" t="n">
        <v>1</v>
      </c>
      <c r="I3" s="6" t="n">
        <v>0.8</v>
      </c>
      <c r="J3" s="6" t="n">
        <v>1.25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600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BlackHandFlamer</t>
        </is>
      </c>
      <c r="C4" s="7" t="inlineStr">
        <is>
          <t>Armament@PRIMARY</t>
        </is>
      </c>
      <c r="L4" s="6" t="n">
        <v>4000</v>
      </c>
      <c r="M4" s="6" t="n">
        <v>46</v>
      </c>
      <c r="N4" s="6" t="n">
        <v>6</v>
      </c>
      <c r="O4" s="6" t="n">
        <v>4</v>
      </c>
      <c r="P4" s="6" t="n">
        <v>4988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^Warhead_Flame_Medium</t>
        </is>
      </c>
    </row>
    <row r="5">
      <c r="B5" s="7" t="inlineStr">
        <is>
          <t xml:space="preserve">  ↳ BlackHandFlamer</t>
        </is>
      </c>
      <c r="C5" s="7" t="inlineStr">
        <is>
          <t>Armament@Garrison</t>
        </is>
      </c>
      <c r="L5" s="6" t="n">
        <v>4000</v>
      </c>
      <c r="M5" s="6" t="n">
        <v>46</v>
      </c>
      <c r="N5" s="6" t="n">
        <v>6</v>
      </c>
      <c r="O5" s="6" t="n">
        <v>4</v>
      </c>
      <c r="P5" s="6" t="n">
        <v>4988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^Warhead_Flame_Medium</t>
        </is>
      </c>
    </row>
    <row r="6">
      <c r="A6" t="inlineStr">
        <is>
          <t>tiberiandawn</t>
        </is>
      </c>
      <c r="B6" t="inlineStr">
        <is>
          <t>td_nod_chemicalrocketsoldier</t>
        </is>
      </c>
      <c r="C6" t="inlineStr">
        <is>
          <t>Chemical Rocket Soldier</t>
        </is>
      </c>
      <c r="D6" s="6" t="inlineStr">
        <is>
          <t>AntiTankAntiAirInfantry</t>
        </is>
      </c>
      <c r="E6" s="6" t="n">
        <v>18000</v>
      </c>
      <c r="F6" s="6" t="n">
        <v>60</v>
      </c>
      <c r="G6" t="inlineStr">
        <is>
          <t>Flak</t>
        </is>
      </c>
      <c r="H6" s="6" t="n">
        <v>1</v>
      </c>
      <c r="I6" s="6" t="n">
        <v>0.5</v>
      </c>
      <c r="J6" s="6" t="n">
        <v>1</v>
      </c>
      <c r="K6" s="6" t="n"/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400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ChemRockets</t>
        </is>
      </c>
      <c r="C7" s="7" t="inlineStr">
        <is>
          <t>Armament@PRIMARY</t>
        </is>
      </c>
      <c r="L7" s="6" t="n">
        <v>36000</v>
      </c>
      <c r="M7" s="6" t="n">
        <v>54</v>
      </c>
      <c r="N7" s="6" t="n">
        <v>1</v>
      </c>
      <c r="O7" s="6" t="n"/>
      <c r="P7" s="6" t="n">
        <v>6006</v>
      </c>
      <c r="Q7" s="6" t="n">
        <v>1</v>
      </c>
      <c r="R7">
        <f>M7+IF(N7&gt;1,N(O7)*(N7-1),0)</f>
        <v/>
      </c>
      <c r="S7">
        <f>IFERROR(L7*MAX(N7,1)/R7*IF(ISBLANK(K6),1,K6),0)</f>
        <v/>
      </c>
      <c r="AB7" s="7" t="inlineStr">
        <is>
          <t>^Grenade, ^LightChemicalWeapon, ^LightMissile</t>
        </is>
      </c>
    </row>
    <row r="8">
      <c r="B8" s="7" t="inlineStr">
        <is>
          <t xml:space="preserve">  ↳ ChemRockets</t>
        </is>
      </c>
      <c r="C8" s="7" t="inlineStr">
        <is>
          <t>Armament@GARRISONED</t>
        </is>
      </c>
      <c r="L8" s="6" t="n">
        <v>36000</v>
      </c>
      <c r="M8" s="6" t="n">
        <v>54</v>
      </c>
      <c r="N8" s="6" t="n">
        <v>1</v>
      </c>
      <c r="O8" s="6" t="n"/>
      <c r="P8" s="6" t="n">
        <v>6006</v>
      </c>
      <c r="Q8" s="6" t="n">
        <v>1</v>
      </c>
      <c r="R8">
        <f>M8+IF(N8&gt;1,N(O8)*(N8-1),0)</f>
        <v/>
      </c>
      <c r="S8">
        <f>IFERROR(L8*MAX(N8,1)/R8*IF(ISBLANK(K6),1,K6),0)</f>
        <v/>
      </c>
      <c r="AB8" s="7" t="inlineStr">
        <is>
          <t>^Grenade, ^LightChemicalWeapon, ^LightMissile</t>
        </is>
      </c>
    </row>
    <row r="9">
      <c r="A9" t="inlineStr">
        <is>
          <t>tiberiandawn</t>
        </is>
      </c>
      <c r="B9" t="inlineStr">
        <is>
          <t>td_nod_chemicalwarrior</t>
        </is>
      </c>
      <c r="C9" t="inlineStr">
        <is>
          <t>Chemical Warrior</t>
        </is>
      </c>
      <c r="D9" s="6" t="inlineStr">
        <is>
          <t>MeleeInfantry</t>
        </is>
      </c>
      <c r="E9" s="6" t="n">
        <v>48000</v>
      </c>
      <c r="F9" s="6" t="n">
        <v>48</v>
      </c>
      <c r="G9" t="inlineStr">
        <is>
          <t>Plate</t>
        </is>
      </c>
      <c r="H9" s="6" t="n">
        <v>0.75</v>
      </c>
      <c r="I9" s="6" t="n">
        <v>0.75</v>
      </c>
      <c r="J9" s="6" t="n">
        <v>1</v>
      </c>
      <c r="K9" s="6" t="n"/>
      <c r="P9">
        <f>MAX(P10)</f>
        <v/>
      </c>
      <c r="S9">
        <f>S10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(T9+U9+V9)/3</f>
        <v/>
      </c>
      <c r="X9" s="6" t="n">
        <v>500</v>
      </c>
      <c r="Y9">
        <f>IFERROR(W9-X9,"")</f>
        <v/>
      </c>
      <c r="Z9">
        <f>IFERROR(ABS(Y9)/MAX(X9,1),"")</f>
        <v/>
      </c>
      <c r="AA9">
        <f>IFERROR((X9-(((E9/100000+F9/100+S9/200)*200*I9*H9)+((E9*F9/25000)*I9*H9))/3)/(((J9/5)*200*I9*H9)+((J9*S9/2.5)*I9*H9)+((E9*F9*J9*S9*I9*H9)/12500000))/3*1000,"")</f>
        <v/>
      </c>
    </row>
    <row r="10">
      <c r="B10" s="7" t="inlineStr">
        <is>
          <t xml:space="preserve">  ↳ Chemspray</t>
        </is>
      </c>
      <c r="C10" s="7" t="inlineStr">
        <is>
          <t>Armament</t>
        </is>
      </c>
      <c r="L10" s="6" t="n">
        <v>48000</v>
      </c>
      <c r="M10" s="6" t="n">
        <v>48</v>
      </c>
      <c r="N10" s="6" t="n">
        <v>1</v>
      </c>
      <c r="O10" s="6" t="n"/>
      <c r="P10" s="6" t="n">
        <v>3414</v>
      </c>
      <c r="Q10" s="6" t="n">
        <v>0.75</v>
      </c>
      <c r="R10">
        <f>M10+IF(N10&gt;1,N(O10)*(N10-1),0)</f>
        <v/>
      </c>
      <c r="S10">
        <f>IFERROR(L10*MAX(N10,1)/R10*IF(ISBLANK(K9),1,K9),0)</f>
        <v/>
      </c>
      <c r="AB10" s="7" t="inlineStr">
        <is>
          <t>^Warhead_Chemical_Light</t>
        </is>
      </c>
    </row>
    <row r="11">
      <c r="B11" s="7" t="inlineStr">
        <is>
          <t xml:space="preserve">  ↳ Chemspray</t>
        </is>
      </c>
      <c r="C11" s="7" t="inlineStr">
        <is>
          <t>Armament@GARRISONED</t>
        </is>
      </c>
      <c r="L11" s="6" t="n">
        <v>48000</v>
      </c>
      <c r="M11" s="6" t="n">
        <v>48</v>
      </c>
      <c r="N11" s="6" t="n">
        <v>1</v>
      </c>
      <c r="O11" s="6" t="n"/>
      <c r="P11" s="6" t="n">
        <v>3414</v>
      </c>
      <c r="Q11" s="6" t="n">
        <v>0.75</v>
      </c>
      <c r="R11">
        <f>M11+IF(N11&gt;1,N(O11)*(N11-1),0)</f>
        <v/>
      </c>
      <c r="S11">
        <f>IFERROR(L11*MAX(N11,1)/R11*IF(ISBLANK(K9),1,K9),0)</f>
        <v/>
      </c>
      <c r="AB11" s="7" t="inlineStr">
        <is>
          <t>^Warhead_Chemical_Light</t>
        </is>
      </c>
    </row>
    <row r="12">
      <c r="A12" t="inlineStr">
        <is>
          <t>tiberiandawn</t>
        </is>
      </c>
      <c r="B12" t="inlineStr">
        <is>
          <t>td_nod_commando</t>
        </is>
      </c>
      <c r="C12" t="inlineStr">
        <is>
          <t>Nod Commando</t>
        </is>
      </c>
      <c r="D12" s="6" t="inlineStr">
        <is>
          <t>HeroInfantry</t>
        </is>
      </c>
      <c r="E12" s="6" t="n">
        <v>80000</v>
      </c>
      <c r="F12" s="6" t="n">
        <v>65</v>
      </c>
      <c r="G12" t="inlineStr">
        <is>
          <t>Heroic</t>
        </is>
      </c>
      <c r="H12" s="6" t="n">
        <v>0.3976</v>
      </c>
      <c r="I12" s="6" t="n">
        <v>1</v>
      </c>
      <c r="J12" s="6" t="n">
        <v>1</v>
      </c>
      <c r="K12" s="6" t="n"/>
      <c r="P12">
        <f>MAX(P15)</f>
        <v/>
      </c>
      <c r="S12">
        <f>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3000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TanyaAttach</t>
        </is>
      </c>
      <c r="C13" s="7" t="inlineStr">
        <is>
          <t>Armament@c4</t>
        </is>
      </c>
      <c r="L13" s="6" t="n"/>
      <c r="M13" s="6" t="n">
        <v>20</v>
      </c>
      <c r="N13" s="6" t="n">
        <v>1</v>
      </c>
      <c r="O13" s="6" t="n"/>
      <c r="P13" s="6" t="n">
        <v>2000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IvanAttach</t>
        </is>
      </c>
    </row>
    <row r="14">
      <c r="B14" s="7" t="inlineStr">
        <is>
          <t xml:space="preserve">  ↳ GenericC4</t>
        </is>
      </c>
      <c r="C14" s="7" t="inlineStr">
        <is>
          <t>Armament@c4building</t>
        </is>
      </c>
      <c r="L14" s="6" t="n"/>
      <c r="M14" s="6" t="n">
        <v>20</v>
      </c>
      <c r="N14" s="6" t="n">
        <v>1</v>
      </c>
      <c r="O14" s="6" t="n"/>
      <c r="P14" s="6" t="n">
        <v>2000</v>
      </c>
      <c r="Q14" s="6" t="n">
        <v>1</v>
      </c>
      <c r="R14">
        <f>M14+IF(N14&gt;1,N(O14)*(N14-1),0)</f>
        <v/>
      </c>
      <c r="S14">
        <f>IFERROR(L14*MAX(N14,1)/R14*IF(ISBLANK(K12),1,K12),0)</f>
        <v/>
      </c>
      <c r="AB14" s="7" t="inlineStr"/>
    </row>
    <row r="15">
      <c r="B15" s="7" t="inlineStr">
        <is>
          <t xml:space="preserve">  ↳ td_gdi_commando_sniper</t>
        </is>
      </c>
      <c r="C15" s="7" t="inlineStr">
        <is>
          <t>Armament</t>
        </is>
      </c>
      <c r="L15" s="6" t="n">
        <v>40000</v>
      </c>
      <c r="M15" s="6" t="n">
        <v>25</v>
      </c>
      <c r="N15" s="6" t="n">
        <v>1</v>
      </c>
      <c r="O15" s="6" t="n"/>
      <c r="P15" s="6" t="n">
        <v>8086</v>
      </c>
      <c r="Q15" s="6" t="n">
        <v>0.75</v>
      </c>
      <c r="R15">
        <f>M15+IF(N15&gt;1,N(O15)*(N15-1),0)</f>
        <v/>
      </c>
      <c r="S15">
        <f>IFERROR(L15*MAX(N15,1)/R15*IF(ISBLANK(K12),1,K12),0)</f>
        <v/>
      </c>
      <c r="AB15" s="7" t="inlineStr">
        <is>
          <t>^Warhead_Sniper_Light</t>
        </is>
      </c>
    </row>
    <row r="16">
      <c r="B16" s="7" t="inlineStr">
        <is>
          <t xml:space="preserve">  ↳ td_gdi_commando_sniper</t>
        </is>
      </c>
      <c r="C16" s="7" t="inlineStr">
        <is>
          <t>Armament@GARRISONED</t>
        </is>
      </c>
      <c r="L16" s="6" t="n">
        <v>40000</v>
      </c>
      <c r="M16" s="6" t="n">
        <v>25</v>
      </c>
      <c r="N16" s="6" t="n">
        <v>1</v>
      </c>
      <c r="O16" s="6" t="n"/>
      <c r="P16" s="6" t="n">
        <v>8086</v>
      </c>
      <c r="Q16" s="6" t="n">
        <v>0.75</v>
      </c>
      <c r="R16">
        <f>M16+IF(N16&gt;1,N(O16)*(N16-1),0)</f>
        <v/>
      </c>
      <c r="S16">
        <f>IFERROR(L16*MAX(N16,1)/R16*IF(ISBLANK(K12),1,K12),0)</f>
        <v/>
      </c>
      <c r="AB16" s="7" t="inlineStr">
        <is>
          <t>^Warhead_Sniper_Light</t>
        </is>
      </c>
    </row>
    <row r="17">
      <c r="A17" t="inlineStr">
        <is>
          <t>tiberiandawn</t>
        </is>
      </c>
      <c r="B17" t="inlineStr">
        <is>
          <t>td_nod_flamethrower</t>
        </is>
      </c>
      <c r="C17" t="inlineStr">
        <is>
          <t>Nod Flamethrower</t>
        </is>
      </c>
      <c r="D17" s="6" t="inlineStr">
        <is>
          <t>MeleeInfantry</t>
        </is>
      </c>
      <c r="E17" s="6" t="n">
        <v>20000</v>
      </c>
      <c r="F17" s="6" t="n">
        <v>60</v>
      </c>
      <c r="G17" t="inlineStr">
        <is>
          <t>Plate</t>
        </is>
      </c>
      <c r="H17" s="6" t="n">
        <v>1</v>
      </c>
      <c r="I17" s="6" t="n">
        <v>0.75</v>
      </c>
      <c r="J17" s="6" t="n">
        <v>1</v>
      </c>
      <c r="K17" s="6" t="n"/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200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Flamethrower</t>
        </is>
      </c>
      <c r="C18" s="7" t="inlineStr">
        <is>
          <t>Armament</t>
        </is>
      </c>
      <c r="L18" s="6" t="n">
        <v>20000</v>
      </c>
      <c r="M18" s="6" t="n">
        <v>60</v>
      </c>
      <c r="N18" s="6" t="n">
        <v>1</v>
      </c>
      <c r="O18" s="6" t="n"/>
      <c r="P18" s="6" t="n">
        <v>2085</v>
      </c>
      <c r="Q18" s="6" t="n">
        <v>0.75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^Warhead_Flame_Light</t>
        </is>
      </c>
    </row>
    <row r="19">
      <c r="B19" s="7" t="inlineStr">
        <is>
          <t xml:space="preserve">  ↳ Flamethrower</t>
        </is>
      </c>
      <c r="C19" s="7" t="inlineStr">
        <is>
          <t>Armament@GARRISONED</t>
        </is>
      </c>
      <c r="L19" s="6" t="n">
        <v>20000</v>
      </c>
      <c r="M19" s="6" t="n">
        <v>60</v>
      </c>
      <c r="N19" s="6" t="n">
        <v>1</v>
      </c>
      <c r="O19" s="6" t="n"/>
      <c r="P19" s="6" t="n">
        <v>2085</v>
      </c>
      <c r="Q19" s="6" t="n">
        <v>0.75</v>
      </c>
      <c r="R19">
        <f>M19+IF(N19&gt;1,N(O19)*(N19-1),0)</f>
        <v/>
      </c>
      <c r="S19">
        <f>IFERROR(L19*MAX(N19,1)/R19*IF(ISBLANK(K17),1,K17),0)</f>
        <v/>
      </c>
      <c r="AB19" s="7" t="inlineStr">
        <is>
          <t>^Warhead_Flame_Light</t>
        </is>
      </c>
    </row>
    <row r="20">
      <c r="A20" t="inlineStr">
        <is>
          <t>tiberiandawn</t>
        </is>
      </c>
      <c r="B20" t="inlineStr">
        <is>
          <t>td_nod_lasercommando</t>
        </is>
      </c>
      <c r="C20" t="inlineStr">
        <is>
          <t>Laser Commando</t>
        </is>
      </c>
      <c r="D20" s="6" t="inlineStr">
        <is>
          <t>HeroInfantry</t>
        </is>
      </c>
      <c r="E20" s="6" t="n">
        <v>57000</v>
      </c>
      <c r="F20" s="6" t="n">
        <v>79</v>
      </c>
      <c r="G20" t="inlineStr">
        <is>
          <t>Heroic</t>
        </is>
      </c>
      <c r="H20" s="6" t="n">
        <v>0.75</v>
      </c>
      <c r="I20" s="6" t="n">
        <v>1</v>
      </c>
      <c r="J20" s="6" t="n">
        <v>2</v>
      </c>
      <c r="K20" s="6" t="n"/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NodCommandoLaser</t>
        </is>
      </c>
      <c r="C21" s="7" t="inlineStr">
        <is>
          <t>Armament@pointdefense</t>
        </is>
      </c>
      <c r="L21" s="6" t="n">
        <v>2000</v>
      </c>
      <c r="M21" s="6" t="n">
        <v>8</v>
      </c>
      <c r="N21" s="6" t="n">
        <v>1</v>
      </c>
      <c r="O21" s="6" t="n"/>
      <c r="P21" s="6" t="n">
        <v>6030</v>
      </c>
      <c r="Q21" s="6" t="n">
        <v>1.25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^Warhead_Laser_Heavy</t>
        </is>
      </c>
    </row>
    <row r="22">
      <c r="B22" s="7" t="inlineStr">
        <is>
          <t xml:space="preserve">  ↳ NodCommandoLaser</t>
        </is>
      </c>
      <c r="C22" s="7" t="inlineStr">
        <is>
          <t>Armament</t>
        </is>
      </c>
      <c r="L22" s="6" t="n">
        <v>2000</v>
      </c>
      <c r="M22" s="6" t="n">
        <v>8</v>
      </c>
      <c r="N22" s="6" t="n">
        <v>1</v>
      </c>
      <c r="O22" s="6" t="n"/>
      <c r="P22" s="6" t="n">
        <v>6030</v>
      </c>
      <c r="Q22" s="6" t="n">
        <v>1.25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^Warhead_Laser_Heavy</t>
        </is>
      </c>
    </row>
    <row r="23">
      <c r="B23" s="7" t="inlineStr">
        <is>
          <t xml:space="preserve">  ↳ NodCommandoLaser</t>
        </is>
      </c>
      <c r="C23" s="7" t="inlineStr">
        <is>
          <t>Armament@GARRISONED</t>
        </is>
      </c>
      <c r="L23" s="6" t="n">
        <v>2000</v>
      </c>
      <c r="M23" s="6" t="n">
        <v>8</v>
      </c>
      <c r="N23" s="6" t="n">
        <v>1</v>
      </c>
      <c r="O23" s="6" t="n"/>
      <c r="P23" s="6" t="n">
        <v>6030</v>
      </c>
      <c r="Q23" s="6" t="n">
        <v>1.25</v>
      </c>
      <c r="R23">
        <f>M23+IF(N23&gt;1,N(O23)*(N23-1),0)</f>
        <v/>
      </c>
      <c r="S23">
        <f>IFERROR(L23*MAX(N23,1)/R23*IF(ISBLANK(K20),1,K20),0)</f>
        <v/>
      </c>
      <c r="AB23" s="7" t="inlineStr">
        <is>
          <t>^Warhead_Laser_Heavy</t>
        </is>
      </c>
    </row>
    <row r="24">
      <c r="B24" s="7" t="inlineStr">
        <is>
          <t xml:space="preserve">  ↳ GenericC4</t>
        </is>
      </c>
      <c r="C24" s="7" t="inlineStr">
        <is>
          <t>Armament@c4</t>
        </is>
      </c>
      <c r="L24" s="6" t="n"/>
      <c r="M24" s="6" t="n">
        <v>20</v>
      </c>
      <c r="N24" s="6" t="n">
        <v>1</v>
      </c>
      <c r="O24" s="6" t="n"/>
      <c r="P24" s="6" t="n">
        <v>2000</v>
      </c>
      <c r="Q24" s="6" t="n">
        <v>1</v>
      </c>
      <c r="R24">
        <f>M24+IF(N24&gt;1,N(O24)*(N24-1),0)</f>
        <v/>
      </c>
      <c r="S24">
        <f>IFERROR(L24*MAX(N24,1)/R24*IF(ISBLANK(K20),1,K20),0)</f>
        <v/>
      </c>
      <c r="AB24" s="7" t="inlineStr"/>
    </row>
    <row r="25">
      <c r="A25" t="inlineStr">
        <is>
          <t>tiberiandawn</t>
        </is>
      </c>
      <c r="B25" t="inlineStr">
        <is>
          <t>td_nod_lasertrooper</t>
        </is>
      </c>
      <c r="C25" t="inlineStr">
        <is>
          <t>Laser Trooper</t>
        </is>
      </c>
      <c r="D25" s="6" t="inlineStr">
        <is>
          <t>SpecialForcesInfantry</t>
        </is>
      </c>
      <c r="E25" s="6" t="n">
        <v>59000</v>
      </c>
      <c r="F25" s="6" t="n">
        <v>51</v>
      </c>
      <c r="G25" t="inlineStr">
        <is>
          <t>Flak</t>
        </is>
      </c>
      <c r="H25" s="6" t="n">
        <v>0.5</v>
      </c>
      <c r="I25" s="6" t="n">
        <v>0.8</v>
      </c>
      <c r="J25" s="6" t="n">
        <v>1</v>
      </c>
      <c r="K25" s="6" t="n">
        <v>0.0108</v>
      </c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(((E25/15000)+(F25/50)+(S25/240)+((P25/6000)*J25))*200/4+(((E25/15000)*(F25/50))+(((P25/6000)*J25)*(S25/240)))*200/2+((E25/15000)*(F25/50)*((P25/6000)*J25)*(S25/240))*200)*(H25/1.0)/3</f>
        <v/>
      </c>
      <c r="X25" s="6" t="n">
        <v>750</v>
      </c>
      <c r="Y25">
        <f>IFERROR(W25-X25,"")</f>
        <v/>
      </c>
      <c r="Z25">
        <f>IFERROR(ABS(Y25)/MAX(X25,1),"")</f>
        <v/>
      </c>
      <c r="AA25">
        <f>IFERROR(ROUND(((3*X25-(((E25/15000)+(F25/50)+(S25/240))*200/4+((E25/15000)*(F25/50))*200/2)*(H25/1.0))/(200/4+((S25/240))*200/2+((E25/15000)*(F25/50)*(S25/240))*200)*(H25/1.0)*6000)/J25,-1),"")</f>
        <v/>
      </c>
    </row>
    <row r="26">
      <c r="B26" s="7" t="inlineStr">
        <is>
          <t xml:space="preserve">  ↳ BlackHandLaser</t>
        </is>
      </c>
      <c r="C26" s="7" t="inlineStr">
        <is>
          <t>Armament@PRIMARY</t>
        </is>
      </c>
      <c r="L26" s="6" t="n">
        <v>144000</v>
      </c>
      <c r="M26" s="6" t="n">
        <v>50</v>
      </c>
      <c r="N26" s="6" t="n">
        <v>1</v>
      </c>
      <c r="O26" s="6" t="n"/>
      <c r="P26" s="6" t="n">
        <v>5524</v>
      </c>
      <c r="Q26" s="6" t="n">
        <v>1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^TankDestroyerCannon, ^FlakWeapon, ^LaserWeapon</t>
        </is>
      </c>
    </row>
    <row r="27">
      <c r="B27" s="7" t="inlineStr">
        <is>
          <t xml:space="preserve">  ↳ BlackHandLaser</t>
        </is>
      </c>
      <c r="C27" s="7" t="inlineStr">
        <is>
          <t>Armament@Garrison</t>
        </is>
      </c>
      <c r="L27" s="6" t="n">
        <v>144000</v>
      </c>
      <c r="M27" s="6" t="n">
        <v>50</v>
      </c>
      <c r="N27" s="6" t="n">
        <v>1</v>
      </c>
      <c r="O27" s="6" t="n"/>
      <c r="P27" s="6" t="n">
        <v>5524</v>
      </c>
      <c r="Q27" s="6" t="n">
        <v>1</v>
      </c>
      <c r="R27">
        <f>M27+IF(N27&gt;1,N(O27)*(N27-1),0)</f>
        <v/>
      </c>
      <c r="S27">
        <f>IFERROR(L27*MAX(N27,1)/R27*IF(ISBLANK(K25),1,K25),0)</f>
        <v/>
      </c>
      <c r="AB27" s="7" t="inlineStr">
        <is>
          <t>^TankDestroyerCannon, ^FlakWeapon, ^LaserWeapon</t>
        </is>
      </c>
    </row>
    <row r="28">
      <c r="A28" t="inlineStr">
        <is>
          <t>tiberiandawn</t>
        </is>
      </c>
      <c r="B28" t="inlineStr">
        <is>
          <t>td_nod_minigunner</t>
        </is>
      </c>
      <c r="C28" t="inlineStr">
        <is>
          <t>Nod Minigunner</t>
        </is>
      </c>
      <c r="D28" s="6" t="inlineStr">
        <is>
          <t>ScoutInfantry</t>
        </is>
      </c>
      <c r="E28" s="6" t="n">
        <v>30000</v>
      </c>
      <c r="F28" s="6" t="n">
        <v>66</v>
      </c>
      <c r="G28" t="inlineStr">
        <is>
          <t>None</t>
        </is>
      </c>
      <c r="H28" s="6" t="n">
        <v>1</v>
      </c>
      <c r="I28" s="6" t="n">
        <v>1</v>
      </c>
      <c r="J28" s="6" t="n">
        <v>1</v>
      </c>
      <c r="K28" s="6" t="n">
        <v>0.0029</v>
      </c>
      <c r="P28">
        <f>MAX(P29,P31)</f>
        <v/>
      </c>
      <c r="S28">
        <f>S29+S31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(((E28/20000)+(F28/60)+(S28/60)+((P28/5000)*J28))*100/4+(((E28/20000)*(F28/60))+(((P28/5000)*J28)*(S28/60)))*100/2+((E28/20000)*(F28/60)*((P28/5000)*J28)*(S28/60))*100)*(H28/1.0)/3</f>
        <v/>
      </c>
      <c r="X28" s="6" t="n">
        <v>100</v>
      </c>
      <c r="Y28">
        <f>IFERROR(W28-X28,"")</f>
        <v/>
      </c>
      <c r="Z28">
        <f>IFERROR(ABS(Y28)/MAX(X28,1),"")</f>
        <v/>
      </c>
      <c r="AA28">
        <f>IFERROR(ROUND(((3*X28-(((E28/20000)+(F28/60)+(S28/60))*100/4+((E28/20000)*(F28/60))*100/2)*(H28/1.0))/(100/4+((S28/60))*100/2+((E28/20000)*(F28/60)*(S28/60))*100)*(H28/1.0)*5000)/J28,-1),"")</f>
        <v/>
      </c>
    </row>
    <row r="29">
      <c r="B29" s="7" t="inlineStr">
        <is>
          <t xml:space="preserve">  ↳ td_nod_minigunner_minigun</t>
        </is>
      </c>
      <c r="C29" s="7" t="inlineStr">
        <is>
          <t>Armament@PRIMARY</t>
        </is>
      </c>
      <c r="L29" s="6" t="n">
        <v>2000</v>
      </c>
      <c r="M29" s="6" t="n">
        <v>50</v>
      </c>
      <c r="N29" s="6" t="n">
        <v>4</v>
      </c>
      <c r="O29" s="6" t="n">
        <v>2</v>
      </c>
      <c r="P29" s="6" t="n">
        <v>4609</v>
      </c>
      <c r="Q29" s="6" t="n">
        <v>0.75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^Warhead_Bullet_Light</t>
        </is>
      </c>
    </row>
    <row r="30">
      <c r="B30" s="7" t="inlineStr">
        <is>
          <t xml:space="preserve">  ↳ td_nod_minigunner_minigun</t>
        </is>
      </c>
      <c r="C30" s="7" t="inlineStr">
        <is>
          <t>Armament@GARRISONED</t>
        </is>
      </c>
      <c r="L30" s="6" t="n">
        <v>2000</v>
      </c>
      <c r="M30" s="6" t="n">
        <v>50</v>
      </c>
      <c r="N30" s="6" t="n">
        <v>4</v>
      </c>
      <c r="O30" s="6" t="n">
        <v>2</v>
      </c>
      <c r="P30" s="6" t="n">
        <v>4609</v>
      </c>
      <c r="Q30" s="6" t="n">
        <v>0.75</v>
      </c>
      <c r="R30">
        <f>M30+IF(N30&gt;1,N(O30)*(N30-1),0)</f>
        <v/>
      </c>
      <c r="S30">
        <f>IFERROR(L30*MAX(N30,1)/R30*IF(ISBLANK(K28),1,K28),0)</f>
        <v/>
      </c>
      <c r="AB30" s="7" t="inlineStr">
        <is>
          <t>^Warhead_Bullet_Light</t>
        </is>
      </c>
    </row>
    <row r="31">
      <c r="B31" s="7" t="inlineStr">
        <is>
          <t xml:space="preserve">  ↳ td_nod_minigunner_minigun_laser</t>
        </is>
      </c>
      <c r="C31" s="7" t="inlineStr">
        <is>
          <t>Armament@Upgrade</t>
        </is>
      </c>
      <c r="L31" s="6" t="n">
        <v>6000</v>
      </c>
      <c r="M31" s="6" t="n">
        <v>40</v>
      </c>
      <c r="N31" s="6" t="n">
        <v>4</v>
      </c>
      <c r="O31" s="6" t="n">
        <v>2</v>
      </c>
      <c r="P31" s="6" t="n">
        <v>4500</v>
      </c>
      <c r="Q31" s="6" t="n">
        <v>1</v>
      </c>
      <c r="R31">
        <f>M31+IF(N31&gt;1,N(O31)*(N31-1),0)</f>
        <v/>
      </c>
      <c r="S31">
        <f>IFERROR(L31*MAX(N31,1)/R31*IF(ISBLANK(K28),1,K28),0)</f>
        <v/>
      </c>
      <c r="AB31" s="7" t="inlineStr">
        <is>
          <t>^SmallArms, ^Chaingun, ^LaserWeapon</t>
        </is>
      </c>
    </row>
    <row r="32">
      <c r="B32" s="7" t="inlineStr">
        <is>
          <t xml:space="preserve">  ↳ td_nod_minigunner_minigun_laser</t>
        </is>
      </c>
      <c r="C32" s="7" t="inlineStr">
        <is>
          <t>Armament@UpgradeGARRISONED</t>
        </is>
      </c>
      <c r="L32" s="6" t="n">
        <v>6000</v>
      </c>
      <c r="M32" s="6" t="n">
        <v>40</v>
      </c>
      <c r="N32" s="6" t="n">
        <v>4</v>
      </c>
      <c r="O32" s="6" t="n">
        <v>2</v>
      </c>
      <c r="P32" s="6" t="n">
        <v>4500</v>
      </c>
      <c r="Q32" s="6" t="n">
        <v>1</v>
      </c>
      <c r="R32">
        <f>M32+IF(N32&gt;1,N(O32)*(N32-1),0)</f>
        <v/>
      </c>
      <c r="S32">
        <f>IFERROR(L32*MAX(N32,1)/R32*IF(ISBLANK(K28),1,K28),0)</f>
        <v/>
      </c>
      <c r="AB32" s="7" t="inlineStr">
        <is>
          <t>^SmallArms, ^Chaingun, ^LaserWeapon</t>
        </is>
      </c>
    </row>
    <row r="33">
      <c r="A33" t="inlineStr">
        <is>
          <t>tiberiandawn</t>
        </is>
      </c>
      <c r="B33" t="inlineStr">
        <is>
          <t>td_nod_rocketsoldier</t>
        </is>
      </c>
      <c r="C33" t="inlineStr">
        <is>
          <t>Nod Rocket Soldier</t>
        </is>
      </c>
      <c r="D33" s="6" t="inlineStr">
        <is>
          <t>AntiTankAntiAirInfantry</t>
        </is>
      </c>
      <c r="E33" s="6" t="n">
        <v>9000</v>
      </c>
      <c r="F33" s="6" t="n">
        <v>50</v>
      </c>
      <c r="G33" t="inlineStr">
        <is>
          <t>Flak</t>
        </is>
      </c>
      <c r="H33" s="6" t="n">
        <v>1</v>
      </c>
      <c r="I33" s="6" t="n">
        <v>1</v>
      </c>
      <c r="J33" s="6" t="n">
        <v>1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300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Rockets</t>
        </is>
      </c>
      <c r="C34" s="7" t="inlineStr">
        <is>
          <t>Armament@PRIMARY</t>
        </is>
      </c>
      <c r="L34" s="6" t="n">
        <v>18000</v>
      </c>
      <c r="M34" s="6" t="n">
        <v>63</v>
      </c>
      <c r="N34" s="6" t="n">
        <v>1</v>
      </c>
      <c r="O34" s="6" t="n"/>
      <c r="P34" s="6" t="n">
        <v>6368</v>
      </c>
      <c r="Q34" s="6" t="n">
        <v>0.75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^Warhead_MissileAP_Light</t>
        </is>
      </c>
    </row>
    <row r="35">
      <c r="B35" s="7" t="inlineStr">
        <is>
          <t xml:space="preserve">  ↳ Rockets</t>
        </is>
      </c>
      <c r="C35" s="7" t="inlineStr">
        <is>
          <t>Armament@GARRISONED</t>
        </is>
      </c>
      <c r="L35" s="6" t="n">
        <v>18000</v>
      </c>
      <c r="M35" s="6" t="n">
        <v>63</v>
      </c>
      <c r="N35" s="6" t="n">
        <v>1</v>
      </c>
      <c r="O35" s="6" t="n"/>
      <c r="P35" s="6" t="n">
        <v>6368</v>
      </c>
      <c r="Q35" s="6" t="n">
        <v>0.75</v>
      </c>
      <c r="R35">
        <f>M35+IF(N35&gt;1,N(O35)*(N35-1),0)</f>
        <v/>
      </c>
      <c r="S35">
        <f>IFERROR(L35*MAX(N35,1)/R35*IF(ISBLANK(K33),1,K33),0)</f>
        <v/>
      </c>
      <c r="AB35" s="7" t="inlineStr">
        <is>
          <t>^Warhead_MissileAP_Light</t>
        </is>
      </c>
    </row>
    <row r="36">
      <c r="A36" t="inlineStr">
        <is>
          <t>tiberiandawn</t>
        </is>
      </c>
      <c r="B36" t="inlineStr">
        <is>
          <t>td_nod_stealthsoldier</t>
        </is>
      </c>
      <c r="C36" t="inlineStr">
        <is>
          <t>Stealth Soldier</t>
        </is>
      </c>
      <c r="D36" s="6" t="inlineStr">
        <is>
          <t>HeavyInfantry</t>
        </is>
      </c>
      <c r="E36" s="6" t="n">
        <v>25000</v>
      </c>
      <c r="F36" s="6" t="n">
        <v>72</v>
      </c>
      <c r="G36" t="inlineStr">
        <is>
          <t>Plate</t>
        </is>
      </c>
      <c r="H36" s="6" t="n">
        <v>0.75</v>
      </c>
      <c r="I36" s="6" t="n">
        <v>0.8</v>
      </c>
      <c r="J36" s="6" t="n">
        <v>1.5</v>
      </c>
      <c r="K36" s="6" t="n">
        <v>0.008100000000000001</v>
      </c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(((E36/15000)+(F36/50)+(S36/240)+((P36/6000)*J36))*200/4+(((E36/15000)*(F36/50))+(((P36/6000)*J36)*(S36/240)))*200/2+((E36/15000)*(F36/50)*((P36/6000)*J36)*(S36/240))*200)*(H36/1.0)/3</f>
        <v/>
      </c>
      <c r="X36" s="6" t="n">
        <v>753</v>
      </c>
      <c r="Y36">
        <f>IFERROR(W36-X36,"")</f>
        <v/>
      </c>
      <c r="Z36">
        <f>IFERROR(ABS(Y36)/MAX(X36,1),"")</f>
        <v/>
      </c>
      <c r="AA36">
        <f>IFERROR(ROUND(((3*X36-(((E36/15000)+(F36/50)+(S36/240))*200/4+((E36/15000)*(F36/50))*200/2)*(H36/1.0))/(200/4+((S36/240))*200/2+((E36/15000)*(F36/50)*(S36/240))*200)*(H36/1.0)*6000)/J36,-1),"")</f>
        <v/>
      </c>
    </row>
    <row r="37">
      <c r="B37" s="7" t="inlineStr">
        <is>
          <t xml:space="preserve">  ↳ BHRedDarts</t>
        </is>
      </c>
      <c r="C37" s="7" t="inlineStr">
        <is>
          <t>Armament@PRIMARY</t>
        </is>
      </c>
      <c r="L37" s="6" t="n">
        <v>20000</v>
      </c>
      <c r="M37" s="6" t="n">
        <v>90</v>
      </c>
      <c r="N37" s="6" t="n">
        <v>4</v>
      </c>
      <c r="O37" s="6" t="n">
        <v>5</v>
      </c>
      <c r="P37" s="6" t="n">
        <v>6480</v>
      </c>
      <c r="Q37" s="6" t="n">
        <v>1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^TeslaChargedWeapon, ^TankDestroyerCannon, ^Chaingun, ^ShrapnelWeapon, ^MediumMissile</t>
        </is>
      </c>
    </row>
    <row r="38">
      <c r="B38" s="7" t="inlineStr">
        <is>
          <t xml:space="preserve">  ↳ BHRedDarts</t>
        </is>
      </c>
      <c r="C38" s="7" t="inlineStr">
        <is>
          <t>Armament@Garrison</t>
        </is>
      </c>
      <c r="L38" s="6" t="n">
        <v>20000</v>
      </c>
      <c r="M38" s="6" t="n">
        <v>90</v>
      </c>
      <c r="N38" s="6" t="n">
        <v>4</v>
      </c>
      <c r="O38" s="6" t="n">
        <v>5</v>
      </c>
      <c r="P38" s="6" t="n">
        <v>6480</v>
      </c>
      <c r="Q38" s="6" t="n">
        <v>1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^TeslaChargedWeapon, ^TankDestroyerCannon, ^Chaingun, ^ShrapnelWeapon, ^MediumMissile</t>
        </is>
      </c>
    </row>
    <row r="39">
      <c r="A39" s="4" t="inlineStr">
        <is>
          <t>VEHICLES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tiberiandawn</t>
        </is>
      </c>
      <c r="B40" t="inlineStr">
        <is>
          <t>td_nod_artillery</t>
        </is>
      </c>
      <c r="C40" t="inlineStr">
        <is>
          <t>Nod Artillery</t>
        </is>
      </c>
      <c r="D40" s="6" t="inlineStr">
        <is>
          <t>Artillery</t>
        </is>
      </c>
      <c r="E40" s="6" t="n">
        <v>17500</v>
      </c>
      <c r="F40" s="6" t="n">
        <v>55</v>
      </c>
      <c r="G40" t="inlineStr">
        <is>
          <t>Light</t>
        </is>
      </c>
      <c r="H40" s="6" t="n">
        <v>1</v>
      </c>
      <c r="I40" s="6" t="n">
        <v>0.5</v>
      </c>
      <c r="J40" s="6" t="n">
        <v>1</v>
      </c>
      <c r="K40" s="6" t="n"/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(((E40/60000)+(F40/75)+(S40/500)+((P40/15000)*J40))*500/4+(((E40/60000)*(F40/75))+(((P40/15000)*J40)*(S40/500)))*500/2+((E40/60000)*(F40/75)*((P40/15000)*J40)*(S40/500))*500)*(H40/1.0)/3</f>
        <v/>
      </c>
      <c r="X40" s="6" t="n">
        <v>400</v>
      </c>
      <c r="Y40">
        <f>IFERROR(W40-X40,"")</f>
        <v/>
      </c>
      <c r="Z40">
        <f>IFERROR(ABS(Y40)/MAX(X40,1),"")</f>
        <v/>
      </c>
      <c r="AA40">
        <f>IFERROR(ROUND(((3*X40-(((E40/60000)+(F40/75)+(S40/500))*500/4+((E40/60000)*(F40/75))*500/2)*(H40/1.0))/(500/4+((S40/500))*500/2+((E40/60000)*(F40/75)*(S40/500))*500)*(H40/1.0)*15000)/J40,-1),"")</f>
        <v/>
      </c>
    </row>
    <row r="41">
      <c r="B41" s="7" t="inlineStr">
        <is>
          <t xml:space="preserve">  ↳ ArtilleryShell</t>
        </is>
      </c>
      <c r="C41" s="7" t="inlineStr">
        <is>
          <t>Armament</t>
        </is>
      </c>
      <c r="L41" s="6" t="n">
        <v>32000</v>
      </c>
      <c r="M41" s="6" t="n">
        <v>112</v>
      </c>
      <c r="N41" s="6" t="n">
        <v>1</v>
      </c>
      <c r="O41" s="6" t="n"/>
      <c r="P41" s="6" t="n">
        <v>12345</v>
      </c>
      <c r="Q41" s="6" t="n">
        <v>0.875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^Warhead_Demolition_Light, ^Warhead_Concussion_Medium</t>
        </is>
      </c>
    </row>
    <row r="42">
      <c r="B42" s="7" t="inlineStr">
        <is>
          <t xml:space="preserve">  ↳ ArtilleryShellUpgrade</t>
        </is>
      </c>
      <c r="C42" s="7" t="inlineStr">
        <is>
          <t>Armament@Upgrade</t>
        </is>
      </c>
      <c r="L42" s="6" t="n">
        <v>36000</v>
      </c>
      <c r="M42" s="6" t="n">
        <v>96</v>
      </c>
      <c r="N42" s="6" t="n">
        <v>1</v>
      </c>
      <c r="O42" s="6" t="n"/>
      <c r="P42" s="6" t="n">
        <v>12345</v>
      </c>
      <c r="Q42" s="6" t="n">
        <v>1</v>
      </c>
      <c r="R42">
        <f>M42+IF(N42&gt;1,N(O42)*(N42-1),0)</f>
        <v/>
      </c>
      <c r="S42">
        <f>IFERROR(L42*MAX(N42,1)/R42*IF(ISBLANK(K40),1,K40),0)</f>
        <v/>
      </c>
      <c r="AB42" s="7" t="inlineStr">
        <is>
          <t>^Grenade, ^ShrapnelWeapon, ^MediumChemicalWeapon, ^MediumFlameWeapon, ^MediumCannon, ^HeavyBomb</t>
        </is>
      </c>
    </row>
    <row r="43">
      <c r="A43" t="inlineStr">
        <is>
          <t>tiberiandawn</t>
        </is>
      </c>
      <c r="B43" t="inlineStr">
        <is>
          <t>td_nod_buggy</t>
        </is>
      </c>
      <c r="C43" t="inlineStr">
        <is>
          <t>Nod Buggy</t>
        </is>
      </c>
      <c r="D43" s="6" t="inlineStr">
        <is>
          <t>ScoutVehicle</t>
        </is>
      </c>
      <c r="E43" s="6" t="n">
        <v>20000</v>
      </c>
      <c r="F43" s="6" t="n">
        <v>200</v>
      </c>
      <c r="G43" t="inlineStr">
        <is>
          <t>Scout</t>
        </is>
      </c>
      <c r="H43" s="6" t="n">
        <v>1</v>
      </c>
      <c r="I43" s="6" t="n">
        <v>0.333</v>
      </c>
      <c r="J43" s="6" t="n">
        <v>1</v>
      </c>
      <c r="K43" s="6" t="n"/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(((E43/30000)+(F43/200)+(S43/450)+((P43/4500)*J43))*300/4+(((E43/30000)*(F43/200))+(((P43/4500)*J43)*(S43/450)))*300/2+((E43/30000)*(F43/200)*((P43/4500)*J43)*(S43/450))*300)*(H43/1.0)/3</f>
        <v/>
      </c>
      <c r="X43" s="6" t="n">
        <v>300</v>
      </c>
      <c r="Y43">
        <f>IFERROR(W43-X43,"")</f>
        <v/>
      </c>
      <c r="Z43">
        <f>IFERROR(ABS(Y43)/MAX(X43,1),"")</f>
        <v/>
      </c>
      <c r="AA43">
        <f>IFERROR(ROUND(((3*X43-(((E43/30000)+(F43/200)+(S43/450))*300/4+((E43/30000)*(F43/200))*300/2)*(H43/1.0))/(300/4+((S43/450))*300/2+((E43/30000)*(F43/200)*(S43/450))*300)*(H43/1.0)*4500)/J43,-1),"")</f>
        <v/>
      </c>
    </row>
    <row r="44">
      <c r="B44" s="7" t="inlineStr">
        <is>
          <t xml:space="preserve">  ↳ MachineGun</t>
        </is>
      </c>
      <c r="C44" s="7" t="inlineStr">
        <is>
          <t>Armament</t>
        </is>
      </c>
      <c r="L44" s="6" t="n">
        <v>4000</v>
      </c>
      <c r="M44" s="6" t="n">
        <v>10</v>
      </c>
      <c r="N44" s="6" t="n">
        <v>3</v>
      </c>
      <c r="O44" s="6" t="n">
        <v>5</v>
      </c>
      <c r="P44" s="6" t="n">
        <v>4540</v>
      </c>
      <c r="Q44" s="6" t="n">
        <v>0.75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FireballLauncherBuggy</t>
        </is>
      </c>
      <c r="C45" s="7" t="inlineStr">
        <is>
          <t>Armament@Upgrade</t>
        </is>
      </c>
      <c r="L45" s="6" t="n">
        <v>2000</v>
      </c>
      <c r="M45" s="6" t="n">
        <v>10</v>
      </c>
      <c r="N45" s="6" t="n">
        <v>3</v>
      </c>
      <c r="O45" s="6" t="n">
        <v>5</v>
      </c>
      <c r="P45" s="6" t="n">
        <v>4540</v>
      </c>
      <c r="Q45" s="6" t="n">
        <v>0.75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^Warhead_Flame_Light</t>
        </is>
      </c>
    </row>
    <row r="46">
      <c r="A46" t="inlineStr">
        <is>
          <t>tiberiandawn</t>
        </is>
      </c>
      <c r="B46" t="inlineStr">
        <is>
          <t>td_nod_buggymkii</t>
        </is>
      </c>
      <c r="C46" t="inlineStr">
        <is>
          <t>Nod Buggy Mk. II</t>
        </is>
      </c>
      <c r="D46" s="6" t="inlineStr">
        <is>
          <t>ScoutVehicle</t>
        </is>
      </c>
      <c r="E46" s="6" t="n">
        <v>25000</v>
      </c>
      <c r="F46" s="6" t="n">
        <v>120</v>
      </c>
      <c r="G46" t="inlineStr">
        <is>
          <t>Scout</t>
        </is>
      </c>
      <c r="H46" s="6" t="n">
        <v>0.9429</v>
      </c>
      <c r="I46" s="6" t="n">
        <v>1</v>
      </c>
      <c r="J46" s="6" t="n">
        <v>1</v>
      </c>
      <c r="K46" s="6" t="n">
        <v>0.005</v>
      </c>
      <c r="P46">
        <f>MAX(P47,P48,P49,P50,P51,P52,P53,P54,P55)</f>
        <v/>
      </c>
      <c r="S46">
        <f>S47+S48+S49+S50+S51+S52+S53+S54+S55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(((E46/30000)+(F46/200)+(S46/450)+((P46/4500)*J46))*300/4+(((E46/30000)*(F46/200))+(((P46/4500)*J46)*(S46/450)))*300/2+((E46/30000)*(F46/200)*((P46/4500)*J46)*(S46/450))*300)*(H46/1.0)/3</f>
        <v/>
      </c>
      <c r="X46" s="6" t="n">
        <v>500</v>
      </c>
      <c r="Y46">
        <f>IFERROR(W46-X46,"")</f>
        <v/>
      </c>
      <c r="Z46">
        <f>IFERROR(ABS(Y46)/MAX(X46,1),"")</f>
        <v/>
      </c>
      <c r="AA46">
        <f>IFERROR(ROUND(((3*X46-(((E46/30000)+(F46/200)+(S46/450))*300/4+((E46/30000)*(F46/200))*300/2)*(H46/1.0))/(300/4+((S46/450))*300/2+((E46/30000)*(F46/200)*(S46/450))*300)*(H46/1.0)*4500)/J46,-1),"")</f>
        <v/>
      </c>
    </row>
    <row r="47">
      <c r="B47" s="7" t="inlineStr">
        <is>
          <t xml:space="preserve">  ↳ MachineGunBuggy2</t>
        </is>
      </c>
      <c r="C47" s="7" t="inlineStr">
        <is>
          <t>Armament</t>
        </is>
      </c>
      <c r="L47" s="6" t="n">
        <v>6000</v>
      </c>
      <c r="M47" s="6" t="n">
        <v>60</v>
      </c>
      <c r="N47" s="6" t="n">
        <v>3</v>
      </c>
      <c r="O47" s="6" t="n">
        <v>4</v>
      </c>
      <c r="P47" s="6" t="n">
        <v>5274</v>
      </c>
      <c r="Q47" s="6" t="n">
        <v>1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^HeavyCannon, ^SmallArms, ^Chaingun</t>
        </is>
      </c>
    </row>
    <row r="48">
      <c r="B48" s="7" t="inlineStr">
        <is>
          <t xml:space="preserve">  ↳ FireballLauncherBuggy2</t>
        </is>
      </c>
      <c r="C48" s="7" t="inlineStr">
        <is>
          <t>Armament@Upgrade</t>
        </is>
      </c>
      <c r="L48" s="6" t="n">
        <v>6000</v>
      </c>
      <c r="M48" s="6" t="n">
        <v>60</v>
      </c>
      <c r="N48" s="6" t="n">
        <v>3</v>
      </c>
      <c r="O48" s="6" t="n">
        <v>4</v>
      </c>
      <c r="P48" s="6" t="n">
        <v>5274</v>
      </c>
      <c r="Q48" s="6" t="n">
        <v>1</v>
      </c>
      <c r="R48">
        <f>M48+IF(N48&gt;1,N(O48)*(N48-1),0)</f>
        <v/>
      </c>
      <c r="S48">
        <f>IFERROR(L48*MAX(N48,1)/R48*IF(ISBLANK(K46),1,K46),0)</f>
        <v/>
      </c>
      <c r="AB48" s="7" t="inlineStr">
        <is>
          <t>^Warhead_Flame_Light, ^Warhead_Flame_Heavy, ^Warhead_Flame_Medium</t>
        </is>
      </c>
    </row>
    <row r="49">
      <c r="B49" s="7" t="inlineStr">
        <is>
          <t xml:space="preserve">  ↳ MachineGunBuggy2_AA</t>
        </is>
      </c>
      <c r="C49" s="7" t="inlineStr">
        <is>
          <t>Armament@AA</t>
        </is>
      </c>
      <c r="L49" s="6" t="n">
        <v>6000</v>
      </c>
      <c r="M49" s="6" t="n">
        <v>60</v>
      </c>
      <c r="N49" s="6" t="n">
        <v>3</v>
      </c>
      <c r="O49" s="6" t="n">
        <v>4</v>
      </c>
      <c r="P49" s="6" t="n">
        <v>7911</v>
      </c>
      <c r="Q49" s="6" t="n">
        <v>1</v>
      </c>
      <c r="R49">
        <f>M49+IF(N49&gt;1,N(O49)*(N49-1),0)</f>
        <v/>
      </c>
      <c r="S49">
        <f>IFERROR(L49*MAX(N49,1)/R49*IF(ISBLANK(K46),1,K46),0)</f>
        <v/>
      </c>
      <c r="AB49" s="7" t="inlineStr">
        <is>
          <t>MachineGunBuggy2</t>
        </is>
      </c>
    </row>
    <row r="50">
      <c r="B50" s="7" t="inlineStr">
        <is>
          <t xml:space="preserve">  ↳ LaserBuggy2</t>
        </is>
      </c>
      <c r="C50" s="7" t="inlineStr">
        <is>
          <t>Armament@LaserBase</t>
        </is>
      </c>
      <c r="L50" s="6" t="n">
        <v>6000</v>
      </c>
      <c r="M50" s="6" t="n">
        <v>60</v>
      </c>
      <c r="N50" s="6" t="n">
        <v>3</v>
      </c>
      <c r="O50" s="6" t="n">
        <v>4</v>
      </c>
      <c r="P50" s="6" t="n">
        <v>5274</v>
      </c>
      <c r="Q50" s="6" t="n">
        <v>0.75</v>
      </c>
      <c r="R50">
        <f>M50+IF(N50&gt;1,N(O50)*(N50-1),0)</f>
        <v/>
      </c>
      <c r="S50">
        <f>IFERROR(L50*MAX(N50,1)/R50*IF(ISBLANK(K46),1,K46),0)</f>
        <v/>
      </c>
      <c r="AB50" s="7" t="inlineStr">
        <is>
          <t>^Warhead_Laser_Light</t>
        </is>
      </c>
    </row>
    <row r="51">
      <c r="B51" s="7" t="inlineStr">
        <is>
          <t xml:space="preserve">  ↳ LaserBuggy2Inferno</t>
        </is>
      </c>
      <c r="C51" s="7" t="inlineStr">
        <is>
          <t>Armament@LaserElite</t>
        </is>
      </c>
      <c r="L51" s="6" t="n">
        <v>6000</v>
      </c>
      <c r="M51" s="6" t="n">
        <v>60</v>
      </c>
      <c r="N51" s="6" t="n">
        <v>3</v>
      </c>
      <c r="O51" s="6" t="n">
        <v>4</v>
      </c>
      <c r="P51" s="6" t="n">
        <v>5274</v>
      </c>
      <c r="Q51" s="6" t="n">
        <v>0.75</v>
      </c>
      <c r="R51">
        <f>M51+IF(N51&gt;1,N(O51)*(N51-1),0)</f>
        <v/>
      </c>
      <c r="S51">
        <f>IFERROR(L51*MAX(N51,1)/R51*IF(ISBLANK(K46),1,K46),0)</f>
        <v/>
      </c>
      <c r="AB51" s="7" t="inlineStr">
        <is>
          <t>^Warhead_Inferno_Light</t>
        </is>
      </c>
    </row>
    <row r="52">
      <c r="B52" s="7" t="inlineStr">
        <is>
          <t xml:space="preserve">  ↳ LaserBuggy2Burning</t>
        </is>
      </c>
      <c r="C52" s="7" t="inlineStr">
        <is>
          <t>Armament@LaserBurning</t>
        </is>
      </c>
      <c r="L52" s="6" t="n">
        <v>6000</v>
      </c>
      <c r="M52" s="6" t="n">
        <v>60</v>
      </c>
      <c r="N52" s="6" t="n">
        <v>10</v>
      </c>
      <c r="O52" s="6" t="n">
        <v>1</v>
      </c>
      <c r="P52" s="6" t="n">
        <v>5274</v>
      </c>
      <c r="Q52" s="6" t="n">
        <v>0.75</v>
      </c>
      <c r="R52">
        <f>M52+IF(N52&gt;1,N(O52)*(N52-1),0)</f>
        <v/>
      </c>
      <c r="S52">
        <f>IFERROR(L52*MAX(N52,1)/R52*IF(ISBLANK(K46),1,K46),0)</f>
        <v/>
      </c>
      <c r="AB52" s="7" t="inlineStr">
        <is>
          <t>^Warhead_Inferno_Light</t>
        </is>
      </c>
    </row>
    <row r="53">
      <c r="B53" s="7" t="inlineStr">
        <is>
          <t xml:space="preserve">  ↳ LaserBuggy2_AA</t>
        </is>
      </c>
      <c r="C53" s="7" t="inlineStr">
        <is>
          <t>Armament@LaserAABase</t>
        </is>
      </c>
      <c r="L53" s="6" t="n">
        <v>6000</v>
      </c>
      <c r="M53" s="6" t="n">
        <v>60</v>
      </c>
      <c r="N53" s="6" t="n">
        <v>3</v>
      </c>
      <c r="O53" s="6" t="n">
        <v>4</v>
      </c>
      <c r="P53" s="6" t="n">
        <v>7911</v>
      </c>
      <c r="Q53" s="6" t="n">
        <v>0.75</v>
      </c>
      <c r="R53">
        <f>M53+IF(N53&gt;1,N(O53)*(N53-1),0)</f>
        <v/>
      </c>
      <c r="S53">
        <f>IFERROR(L53*MAX(N53,1)/R53*IF(ISBLANK(K46),1,K46),0)</f>
        <v/>
      </c>
      <c r="AB53" s="7" t="inlineStr">
        <is>
          <t>^Warhead_Laser_Light</t>
        </is>
      </c>
    </row>
    <row r="54">
      <c r="B54" s="7" t="inlineStr">
        <is>
          <t xml:space="preserve">  ↳ LaserBuggy2_AAInferno</t>
        </is>
      </c>
      <c r="C54" s="7" t="inlineStr">
        <is>
          <t>Armament@LaserAAElite</t>
        </is>
      </c>
      <c r="L54" s="6" t="n">
        <v>6000</v>
      </c>
      <c r="M54" s="6" t="n">
        <v>60</v>
      </c>
      <c r="N54" s="6" t="n">
        <v>3</v>
      </c>
      <c r="O54" s="6" t="n">
        <v>4</v>
      </c>
      <c r="P54" s="6" t="n">
        <v>7911</v>
      </c>
      <c r="Q54" s="6" t="n">
        <v>0.75</v>
      </c>
      <c r="R54">
        <f>M54+IF(N54&gt;1,N(O54)*(N54-1),0)</f>
        <v/>
      </c>
      <c r="S54">
        <f>IFERROR(L54*MAX(N54,1)/R54*IF(ISBLANK(K46),1,K46),0)</f>
        <v/>
      </c>
      <c r="AB54" s="7" t="inlineStr">
        <is>
          <t>^Warhead_Inferno_Light</t>
        </is>
      </c>
    </row>
    <row r="55">
      <c r="B55" s="7" t="inlineStr">
        <is>
          <t xml:space="preserve">  ↳ LaserBuggy2_AABurning</t>
        </is>
      </c>
      <c r="C55" s="7" t="inlineStr">
        <is>
          <t>Armament@LaserAABurning</t>
        </is>
      </c>
      <c r="L55" s="6" t="n">
        <v>6000</v>
      </c>
      <c r="M55" s="6" t="n">
        <v>60</v>
      </c>
      <c r="N55" s="6" t="n">
        <v>10</v>
      </c>
      <c r="O55" s="6" t="n">
        <v>1</v>
      </c>
      <c r="P55" s="6" t="n">
        <v>7911</v>
      </c>
      <c r="Q55" s="6" t="n">
        <v>0.75</v>
      </c>
      <c r="R55">
        <f>M55+IF(N55&gt;1,N(O55)*(N55-1),0)</f>
        <v/>
      </c>
      <c r="S55">
        <f>IFERROR(L55*MAX(N55,1)/R55*IF(ISBLANK(K46),1,K46),0)</f>
        <v/>
      </c>
      <c r="AB55" s="7" t="inlineStr">
        <is>
          <t>^Warhead_Inferno_Light</t>
        </is>
      </c>
    </row>
    <row r="56">
      <c r="A56" t="inlineStr">
        <is>
          <t>tiberiandawn</t>
        </is>
      </c>
      <c r="B56" t="inlineStr">
        <is>
          <t>td_nod_chemicalattackbike</t>
        </is>
      </c>
      <c r="C56" t="inlineStr">
        <is>
          <t>Chemical Attack Bike</t>
        </is>
      </c>
      <c r="D56" s="6" t="inlineStr">
        <is>
          <t>MissileVehicle</t>
        </is>
      </c>
      <c r="E56" s="6" t="n">
        <v>22500</v>
      </c>
      <c r="F56" s="6" t="n">
        <v>175</v>
      </c>
      <c r="G56" t="inlineStr">
        <is>
          <t>Light</t>
        </is>
      </c>
      <c r="H56" s="6" t="n">
        <v>1</v>
      </c>
      <c r="I56" s="6" t="n">
        <v>0.5</v>
      </c>
      <c r="J56" s="6" t="n">
        <v>1</v>
      </c>
      <c r="K56" s="6" t="n"/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(((E56/160000)+(F56/100)+(S56/1200)+((P56/8000)*J56))*1200/4+(((E56/160000)*(F56/100))+(((P56/8000)*J56)*(S56/1200)))*1200/2+((E56/160000)*(F56/100)*((P56/8000)*J56)*(S56/1200))*1200)*(H56/1.0)/3</f>
        <v/>
      </c>
      <c r="X56" s="6" t="n">
        <v>750</v>
      </c>
      <c r="Y56">
        <f>IFERROR(W56-X56,"")</f>
        <v/>
      </c>
      <c r="Z56">
        <f>IFERROR(ABS(Y56)/MAX(X56,1),"")</f>
        <v/>
      </c>
      <c r="AA56">
        <f>IFERROR(ROUND(((3*X56-(((E56/160000)+(F56/100)+(S56/1200))*1200/4+((E56/160000)*(F56/100))*1200/2)*(H56/1.0))/(1200/4+((S56/1200))*1200/2+((E56/160000)*(F56/100)*(S56/1200))*1200)*(H56/1.0)*8000)/J56,-1),"")</f>
        <v/>
      </c>
    </row>
    <row r="57">
      <c r="B57" s="7" t="inlineStr">
        <is>
          <t xml:space="preserve">  ↳ PDLaserBike</t>
        </is>
      </c>
      <c r="C57" s="7" t="inlineStr">
        <is>
          <t>Armament@pointdefense</t>
        </is>
      </c>
      <c r="L57" s="6" t="n">
        <v>1</v>
      </c>
      <c r="M57" s="6" t="n">
        <v>25</v>
      </c>
      <c r="N57" s="6" t="n">
        <v>1</v>
      </c>
      <c r="O57" s="6" t="n"/>
      <c r="P57" s="6" t="n">
        <v>6000</v>
      </c>
      <c r="Q57" s="6" t="n">
        <v>1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PDLaser</t>
        </is>
      </c>
    </row>
    <row r="58">
      <c r="B58" s="7" t="inlineStr">
        <is>
          <t xml:space="preserve">  ↳ ChemicalBikeRockets</t>
        </is>
      </c>
      <c r="C58" s="7" t="inlineStr">
        <is>
          <t>Armament</t>
        </is>
      </c>
      <c r="L58" s="6" t="n">
        <v>32000</v>
      </c>
      <c r="M58" s="6" t="n">
        <v>70</v>
      </c>
      <c r="N58" s="6" t="n">
        <v>2</v>
      </c>
      <c r="O58" s="6" t="n">
        <v>10</v>
      </c>
      <c r="P58" s="6" t="n">
        <v>6000</v>
      </c>
      <c r="Q58" s="6" t="n">
        <v>1</v>
      </c>
      <c r="R58">
        <f>M58+IF(N58&gt;1,N(O58)*(N58-1),0)</f>
        <v/>
      </c>
      <c r="S58">
        <f>IFERROR(L58*MAX(N58,1)/R58*IF(ISBLANK(K56),1,K56),0)</f>
        <v/>
      </c>
      <c r="AB58" s="7" t="inlineStr">
        <is>
          <t>^TankDestroyerCannon, ^LightChemicalWeapon, ^FlakWeapon, ^MediumMissile</t>
        </is>
      </c>
    </row>
    <row r="59">
      <c r="A59" t="inlineStr">
        <is>
          <t>tiberiandawn</t>
        </is>
      </c>
      <c r="B59" t="inlineStr">
        <is>
          <t>td_nod_chemicalssmlauncher</t>
        </is>
      </c>
      <c r="C59" t="inlineStr">
        <is>
          <t>Chemical SSM Launcher</t>
        </is>
      </c>
      <c r="D59" s="6" t="inlineStr">
        <is>
          <t>Artillery</t>
        </is>
      </c>
      <c r="E59" s="6" t="n">
        <v>32500</v>
      </c>
      <c r="F59" s="6" t="n">
        <v>75</v>
      </c>
      <c r="G59" t="inlineStr">
        <is>
          <t>Light</t>
        </is>
      </c>
      <c r="H59" s="6" t="n">
        <v>0.75</v>
      </c>
      <c r="I59" s="6" t="n">
        <v>0.5</v>
      </c>
      <c r="J59" s="6" t="n">
        <v>1</v>
      </c>
      <c r="K59" s="6" t="n"/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(((E59/60000)+(F59/75)+(S59/500)+((P59/15000)*J59))*500/4+(((E59/60000)*(F59/75))+(((P59/15000)*J59)*(S59/500)))*500/2+((E59/60000)*(F59/75)*((P59/15000)*J59)*(S59/500))*500)*(H59/1.0)/3</f>
        <v/>
      </c>
      <c r="X59" s="6" t="n">
        <v>1200</v>
      </c>
      <c r="Y59">
        <f>IFERROR(W59-X59,"")</f>
        <v/>
      </c>
      <c r="Z59">
        <f>IFERROR(ABS(Y59)/MAX(X59,1),"")</f>
        <v/>
      </c>
      <c r="AA59">
        <f>IFERROR(ROUND(((3*X59-(((E59/60000)+(F59/75)+(S59/500))*500/4+((E59/60000)*(F59/75))*500/2)*(H59/1.0))/(500/4+((S59/500))*500/2+((E59/60000)*(F59/75)*(S59/500))*500)*(H59/1.0)*15000)/J59,-1),"")</f>
        <v/>
      </c>
    </row>
    <row r="60">
      <c r="B60" s="7" t="inlineStr">
        <is>
          <t xml:space="preserve">  ↳ ChemicalHonestJohn</t>
        </is>
      </c>
      <c r="C60" s="7" t="inlineStr">
        <is>
          <t>Armament</t>
        </is>
      </c>
      <c r="L60" s="6" t="n">
        <v>120000</v>
      </c>
      <c r="M60" s="6" t="n">
        <v>142</v>
      </c>
      <c r="N60" s="6" t="n">
        <v>1</v>
      </c>
      <c r="O60" s="6" t="n"/>
      <c r="P60" s="6" t="n">
        <v>12345</v>
      </c>
      <c r="Q60" s="6" t="n">
        <v>1</v>
      </c>
      <c r="R60">
        <f>M60+IF(N60&gt;1,N(O60)*(N60-1),0)</f>
        <v/>
      </c>
      <c r="S60">
        <f>IFERROR(L60*MAX(N60,1)/R60*IF(ISBLANK(K59),1,K59),0)</f>
        <v/>
      </c>
      <c r="AB60" s="7" t="inlineStr">
        <is>
          <t>^HeavyMissile, ^HeavyBomb, ^HeavyFlameWeapon, ^HeavyChemicalWeapon</t>
        </is>
      </c>
    </row>
    <row r="61">
      <c r="A61" t="inlineStr">
        <is>
          <t>tiberiandawn</t>
        </is>
      </c>
      <c r="B61" t="inlineStr">
        <is>
          <t>td_nod_chemicalstealthtank</t>
        </is>
      </c>
      <c r="C61" t="inlineStr">
        <is>
          <t>Chemical Stealth Tank</t>
        </is>
      </c>
      <c r="D61" s="6" t="inlineStr">
        <is>
          <t>HighTechTank</t>
        </is>
      </c>
      <c r="E61" s="6" t="n">
        <v>90000</v>
      </c>
      <c r="F61" s="6" t="n">
        <v>120</v>
      </c>
      <c r="G61" t="inlineStr">
        <is>
          <t>Superheavy</t>
        </is>
      </c>
      <c r="H61" s="6" t="n">
        <v>0.75</v>
      </c>
      <c r="I61" s="6" t="n">
        <v>1</v>
      </c>
      <c r="J61" s="6" t="n">
        <v>1.25</v>
      </c>
      <c r="K61" s="6" t="n"/>
      <c r="P61">
        <f>MAX(P62)</f>
        <v/>
      </c>
      <c r="S61">
        <f>S62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(((E61/700000)+(F61/65)+(S61/2000)+((P61/6500)*J61))*2000/4+(((E61/700000)*(F61/65))+(((P61/6500)*J61)*(S61/2000)))*2000/2+((E61/700000)*(F61/65)*((P61/6500)*J61)*(S61/2000))*2000)*(H61/0.75)/3</f>
        <v/>
      </c>
      <c r="X61" s="6" t="n">
        <v>1800</v>
      </c>
      <c r="Y61">
        <f>IFERROR(W61-X61,"")</f>
        <v/>
      </c>
      <c r="Z61">
        <f>IFERROR(ABS(Y61)/MAX(X61,1),"")</f>
        <v/>
      </c>
      <c r="AA61">
        <f>IFERROR(ROUND(((3*X61-(((E61/700000)+(F61/65)+(S61/2000))*2000/4+((E61/700000)*(F61/65))*2000/2)*(H61/0.75))/(2000/4+((S61/2000))*2000/2+((E61/700000)*(F61/65)*(S61/2000))*2000)*(H61/0.75)*6500)/J61,-1),"")</f>
        <v/>
      </c>
    </row>
    <row r="62">
      <c r="B62" s="7" t="inlineStr">
        <is>
          <t xml:space="preserve">  ↳ ChemicalStealthTankMissiles</t>
        </is>
      </c>
      <c r="C62" s="7" t="inlineStr">
        <is>
          <t>Armament</t>
        </is>
      </c>
      <c r="L62" s="6" t="n">
        <v>30000</v>
      </c>
      <c r="M62" s="6" t="n">
        <v>60</v>
      </c>
      <c r="N62" s="6" t="n">
        <v>1</v>
      </c>
      <c r="O62" s="6" t="n"/>
      <c r="P62" s="6" t="n">
        <v>6962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^ShrapnelWeapon, ^MediumChemicalWeapon, ^MediumMissile</t>
        </is>
      </c>
    </row>
    <row r="63">
      <c r="A63" t="inlineStr">
        <is>
          <t>tiberiandawn</t>
        </is>
      </c>
      <c r="B63" t="inlineStr">
        <is>
          <t>td_nod_flametank</t>
        </is>
      </c>
      <c r="C63" t="inlineStr">
        <is>
          <t>Nod Flame Tank</t>
        </is>
      </c>
      <c r="D63" s="6" t="inlineStr">
        <is>
          <t>LineBreaker</t>
        </is>
      </c>
      <c r="E63" s="6" t="n">
        <v>100000</v>
      </c>
      <c r="F63" s="6" t="n">
        <v>80</v>
      </c>
      <c r="G63" t="inlineStr">
        <is>
          <t>Superheavy</t>
        </is>
      </c>
      <c r="H63" s="6" t="n">
        <v>1</v>
      </c>
      <c r="I63" s="6" t="n">
        <v>1</v>
      </c>
      <c r="J63" s="6" t="n">
        <v>1</v>
      </c>
      <c r="K63" s="6" t="n"/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(((E63/750000)+(F63/80)+(S63/1600)+((P63/2500)*J63))*1600/4+(((E63/750000)*(F63/80))+(((P63/2500)*J63)*(S63/1600)))*1600/2+((E63/750000)*(F63/80)*((P63/2500)*J63)*(S63/1600))*1600)*(H63/1.0)/3</f>
        <v/>
      </c>
      <c r="X63" s="6" t="n">
        <v>800</v>
      </c>
      <c r="Y63">
        <f>IFERROR(W63-X63,"")</f>
        <v/>
      </c>
      <c r="Z63">
        <f>IFERROR(ABS(Y63)/MAX(X63,1),"")</f>
        <v/>
      </c>
      <c r="AA63">
        <f>IFERROR(ROUND(((3*X63-(((E63/750000)+(F63/80)+(S63/1600))*1600/4+((E63/750000)*(F63/80))*1600/2)*(H63/1.0))/(1600/4+((S63/1600))*1600/2+((E63/750000)*(F63/80)*(S63/1600))*1600)*(H63/1.0)*2500)/J63,-1),"")</f>
        <v/>
      </c>
    </row>
    <row r="64">
      <c r="B64" s="7" t="inlineStr">
        <is>
          <t xml:space="preserve">  ↳ BigFlamer</t>
        </is>
      </c>
      <c r="C64" s="7" t="inlineStr">
        <is>
          <t>Armament</t>
        </is>
      </c>
      <c r="L64" s="6" t="n">
        <v>14000</v>
      </c>
      <c r="M64" s="6" t="n">
        <v>50</v>
      </c>
      <c r="N64" s="6" t="n">
        <v>2</v>
      </c>
      <c r="O64" s="6" t="n">
        <v>10</v>
      </c>
      <c r="P64" s="6" t="n">
        <v>2390</v>
      </c>
      <c r="Q64" s="6" t="n">
        <v>1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^Warhead_Flame_Medium</t>
        </is>
      </c>
    </row>
    <row r="65">
      <c r="A65" t="inlineStr">
        <is>
          <t>tiberiandawn</t>
        </is>
      </c>
      <c r="B65" t="inlineStr">
        <is>
          <t>td_nod_flametankmkii</t>
        </is>
      </c>
      <c r="C65" t="inlineStr">
        <is>
          <t>Flame Tank Mk. II</t>
        </is>
      </c>
      <c r="D65" s="6" t="inlineStr">
        <is>
          <t>LineBreaker</t>
        </is>
      </c>
      <c r="E65" s="6" t="n">
        <v>200000</v>
      </c>
      <c r="F65" s="6" t="n">
        <v>75</v>
      </c>
      <c r="G65" t="inlineStr">
        <is>
          <t>Superheavy</t>
        </is>
      </c>
      <c r="H65" s="6" t="n">
        <v>0.7333</v>
      </c>
      <c r="I65" s="6" t="n">
        <v>1</v>
      </c>
      <c r="J65" s="6" t="n">
        <v>1</v>
      </c>
      <c r="K65" s="6" t="n"/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(((E65/750000)+(F65/80)+(S65/1600)+((P65/2500)*J65))*1600/4+(((E65/750000)*(F65/80))+(((P65/2500)*J65)*(S65/1600)))*1600/2+((E65/750000)*(F65/80)*((P65/2500)*J65)*(S65/1600))*1600)*(H65/1.0)/3</f>
        <v/>
      </c>
      <c r="X65" s="6" t="n">
        <v>1300</v>
      </c>
      <c r="Y65">
        <f>IFERROR(W65-X65,"")</f>
        <v/>
      </c>
      <c r="Z65">
        <f>IFERROR(ABS(Y65)/MAX(X65,1),"")</f>
        <v/>
      </c>
      <c r="AA65">
        <f>IFERROR(ROUND(((3*X65-(((E65/750000)+(F65/80)+(S65/1600))*1600/4+((E65/750000)*(F65/80))*1600/2)*(H65/1.0))/(1600/4+((S65/1600))*1600/2+((E65/750000)*(F65/80)*(S65/1600))*1600)*(H65/1.0)*2500)/J65,-1),"")</f>
        <v/>
      </c>
    </row>
    <row r="66">
      <c r="B66" s="7" t="inlineStr">
        <is>
          <t xml:space="preserve">  ↳ BigFlamer2</t>
        </is>
      </c>
      <c r="C66" s="7" t="inlineStr">
        <is>
          <t>Armament</t>
        </is>
      </c>
      <c r="L66" s="6" t="n">
        <v>20000</v>
      </c>
      <c r="M66" s="6" t="n">
        <v>54</v>
      </c>
      <c r="N66" s="6" t="n">
        <v>2</v>
      </c>
      <c r="O66" s="6" t="n">
        <v>10</v>
      </c>
      <c r="P66" s="6" t="n">
        <v>2534</v>
      </c>
      <c r="Q66" s="6" t="n">
        <v>1.25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^Warhead_Flame_Heavy</t>
        </is>
      </c>
    </row>
    <row r="67">
      <c r="A67" t="inlineStr">
        <is>
          <t>tiberiandawn</t>
        </is>
      </c>
      <c r="B67" t="inlineStr">
        <is>
          <t>td_nod_lighttank</t>
        </is>
      </c>
      <c r="C67" t="inlineStr">
        <is>
          <t>Nod Light Tank</t>
        </is>
      </c>
      <c r="D67" s="6" t="inlineStr">
        <is>
          <t>LightTank</t>
        </is>
      </c>
      <c r="E67" s="6" t="n">
        <v>80000</v>
      </c>
      <c r="F67" s="6" t="n">
        <v>110</v>
      </c>
      <c r="G67" t="inlineStr">
        <is>
          <t>Medium</t>
        </is>
      </c>
      <c r="H67" s="6" t="n">
        <v>1</v>
      </c>
      <c r="I67" s="6" t="n">
        <v>1</v>
      </c>
      <c r="J67" s="6" t="n">
        <v>1</v>
      </c>
      <c r="K67" s="6" t="n"/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(((E67/100000)+(F67/125)+(S67/200)+((P67/5000)*J67))*400/4+(((E67/100000)*(F67/125))+(((P67/5000)*J67)*(S67/200)))*400/2+((E67/100000)*(F67/125)*((P67/5000)*J67)*(S67/200))*400)*(H67/1.0)/3</f>
        <v/>
      </c>
      <c r="X67" s="6" t="n">
        <v>600</v>
      </c>
      <c r="Y67">
        <f>IFERROR(W67-X67,"")</f>
        <v/>
      </c>
      <c r="Z67">
        <f>IFERROR(ABS(Y67)/MAX(X67,1),"")</f>
        <v/>
      </c>
      <c r="AA67">
        <f>IFERROR(ROUND(((3*X67-(((E67/100000)+(F67/125)+(S67/200))*400/4+((E67/100000)*(F67/125))*400/2)*(H67/1.0))/(400/4+((S67/200))*400/2+((E67/100000)*(F67/125)*(S67/200))*400)*(H67/1.0)*5000)/J67,-1),"")</f>
        <v/>
      </c>
    </row>
    <row r="68">
      <c r="B68" s="7" t="inlineStr">
        <is>
          <t xml:space="preserve">  ↳ 70mm</t>
        </is>
      </c>
      <c r="C68" s="7" t="inlineStr">
        <is>
          <t>Armament</t>
        </is>
      </c>
      <c r="L68" s="6" t="n">
        <v>6000</v>
      </c>
      <c r="M68" s="6" t="n">
        <v>45</v>
      </c>
      <c r="N68" s="6" t="n">
        <v>1</v>
      </c>
      <c r="O68" s="6" t="n"/>
      <c r="P68" s="6" t="n">
        <v>4993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^Warhead_CannonHE_Medium</t>
        </is>
      </c>
    </row>
    <row r="69">
      <c r="B69" s="7" t="inlineStr">
        <is>
          <t xml:space="preserve">  ↳ LTNKMissiles</t>
        </is>
      </c>
      <c r="C69" s="7" t="inlineStr">
        <is>
          <t>Armament@Missile</t>
        </is>
      </c>
      <c r="L69" s="6" t="n">
        <v>6000</v>
      </c>
      <c r="M69" s="6" t="n">
        <v>45</v>
      </c>
      <c r="N69" s="6" t="n">
        <v>1</v>
      </c>
      <c r="O69" s="6" t="n"/>
      <c r="P69" s="6" t="n">
        <v>4993</v>
      </c>
      <c r="Q69" s="6" t="n">
        <v>1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^Warhead_MissileAP_Medium</t>
        </is>
      </c>
    </row>
    <row r="70">
      <c r="A70" t="inlineStr">
        <is>
          <t>tiberiandawn</t>
        </is>
      </c>
      <c r="B70" t="inlineStr">
        <is>
          <t>td_nod_lighttankmkii</t>
        </is>
      </c>
      <c r="C70" t="inlineStr">
        <is>
          <t>Light Tank Mk. II</t>
        </is>
      </c>
      <c r="D70" s="6" t="inlineStr">
        <is>
          <t>LightTank</t>
        </is>
      </c>
      <c r="E70" s="6" t="n">
        <v>80000</v>
      </c>
      <c r="F70" s="6" t="n">
        <v>100</v>
      </c>
      <c r="G70" t="inlineStr">
        <is>
          <t>Medium</t>
        </is>
      </c>
      <c r="H70" s="6" t="n">
        <v>0.9429</v>
      </c>
      <c r="I70" s="6" t="n">
        <v>1</v>
      </c>
      <c r="J70" s="6" t="n">
        <v>1</v>
      </c>
      <c r="K70" s="6" t="n"/>
      <c r="P70">
        <f>MAX(P71,P72,P73)</f>
        <v/>
      </c>
      <c r="S70">
        <f>S71+S72+S73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(((E70/100000)+(F70/125)+(S70/200)+((P70/5000)*J70))*400/4+(((E70/100000)*(F70/125))+(((P70/5000)*J70)*(S70/200)))*400/2+((E70/100000)*(F70/125)*((P70/5000)*J70)*(S70/200))*400)*(H70/1.0)/3</f>
        <v/>
      </c>
      <c r="X70" s="6" t="n">
        <v>800</v>
      </c>
      <c r="Y70">
        <f>IFERROR(W70-X70,"")</f>
        <v/>
      </c>
      <c r="Z70">
        <f>IFERROR(ABS(Y70)/MAX(X70,1),"")</f>
        <v/>
      </c>
      <c r="AA70">
        <f>IFERROR(ROUND(((3*X70-(((E70/100000)+(F70/125)+(S70/200))*400/4+((E70/100000)*(F70/125))*400/2)*(H70/1.0))/(400/4+((S70/200))*400/2+((E70/100000)*(F70/125)*(S70/200))*400)*(H70/1.0)*5000)/J70,-1),"")</f>
        <v/>
      </c>
    </row>
    <row r="71">
      <c r="B71" s="7" t="inlineStr">
        <is>
          <t xml:space="preserve">  ↳ PDLaserLTNK2</t>
        </is>
      </c>
      <c r="C71" s="7" t="inlineStr">
        <is>
          <t>Armament@pointdefense</t>
        </is>
      </c>
      <c r="L71" s="6" t="n">
        <v>1</v>
      </c>
      <c r="M71" s="6" t="n">
        <v>25</v>
      </c>
      <c r="N71" s="6" t="n">
        <v>1</v>
      </c>
      <c r="O71" s="6" t="n"/>
      <c r="P71" s="6" t="n">
        <v>4903</v>
      </c>
      <c r="Q71" s="6" t="n">
        <v>1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PDLaser</t>
        </is>
      </c>
    </row>
    <row r="72">
      <c r="B72" s="7" t="inlineStr">
        <is>
          <t xml:space="preserve">  ↳ LightTank2Cannon</t>
        </is>
      </c>
      <c r="C72" s="7" t="inlineStr">
        <is>
          <t>Armament</t>
        </is>
      </c>
      <c r="L72" s="6" t="n">
        <v>8000</v>
      </c>
      <c r="M72" s="6" t="n">
        <v>35</v>
      </c>
      <c r="N72" s="6" t="n">
        <v>1</v>
      </c>
      <c r="O72" s="6" t="n"/>
      <c r="P72" s="6" t="n">
        <v>4903</v>
      </c>
      <c r="Q72" s="6" t="n">
        <v>1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^LightChemicalWeapon, ^MediumCannon</t>
        </is>
      </c>
    </row>
    <row r="73">
      <c r="B73" s="7" t="inlineStr">
        <is>
          <t xml:space="preserve">  ↳ LightTank2Missiles</t>
        </is>
      </c>
      <c r="C73" s="7" t="inlineStr">
        <is>
          <t>Armament@Missile</t>
        </is>
      </c>
      <c r="L73" s="6" t="n">
        <v>8000</v>
      </c>
      <c r="M73" s="6" t="n">
        <v>35</v>
      </c>
      <c r="N73" s="6" t="n">
        <v>1</v>
      </c>
      <c r="O73" s="6" t="n"/>
      <c r="P73" s="6" t="n">
        <v>4903</v>
      </c>
      <c r="Q73" s="6" t="n">
        <v>0.875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^Warhead_Flame_Light, ^Warhead_MissileAP_Medium</t>
        </is>
      </c>
    </row>
    <row r="74">
      <c r="A74" t="inlineStr">
        <is>
          <t>tiberiandawn</t>
        </is>
      </c>
      <c r="B74" t="inlineStr">
        <is>
          <t>td_nod_mobileconstructionvehicle</t>
        </is>
      </c>
      <c r="C74" t="inlineStr">
        <is>
          <t>Nod Mobile Construction Vehicle</t>
        </is>
      </c>
      <c r="D74" s="6" t="inlineStr">
        <is>
          <t>SupportVehicle</t>
        </is>
      </c>
      <c r="E74" s="6" t="n">
        <v>300000</v>
      </c>
      <c r="F74" s="6" t="n">
        <v>75</v>
      </c>
      <c r="G74" t="inlineStr">
        <is>
          <t>Medium</t>
        </is>
      </c>
      <c r="H74" s="6" t="n">
        <v>0.8462</v>
      </c>
      <c r="I74" s="6" t="n">
        <v>1</v>
      </c>
      <c r="J74" s="6" t="n">
        <v>1</v>
      </c>
      <c r="K74" s="6" t="n"/>
      <c r="X74" s="6" t="n">
        <v>5000</v>
      </c>
    </row>
    <row r="75">
      <c r="A75" t="inlineStr">
        <is>
          <t>tiberiandawn</t>
        </is>
      </c>
      <c r="B75" t="inlineStr">
        <is>
          <t>td_nod_reconbike</t>
        </is>
      </c>
      <c r="C75" t="inlineStr">
        <is>
          <t>Recon Bike</t>
        </is>
      </c>
      <c r="D75" s="6" t="inlineStr">
        <is>
          <t>MissileVehicle</t>
        </is>
      </c>
      <c r="E75" s="6" t="n">
        <v>17500</v>
      </c>
      <c r="F75" s="6" t="n">
        <v>200</v>
      </c>
      <c r="G75" t="inlineStr">
        <is>
          <t>Light</t>
        </is>
      </c>
      <c r="H75" s="6" t="n">
        <v>1</v>
      </c>
      <c r="I75" s="6" t="n">
        <v>0.5</v>
      </c>
      <c r="J75" s="6" t="n">
        <v>1</v>
      </c>
      <c r="K75" s="6" t="n"/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(((E75/160000)+(F75/100)+(S75/1200)+((P75/8000)*J75))*1200/4+(((E75/160000)*(F75/100))+(((P75/8000)*J75)*(S75/1200)))*1200/2+((E75/160000)*(F75/100)*((P75/8000)*J75)*(S75/1200))*1200)*(H75/1.0)/3</f>
        <v/>
      </c>
      <c r="X75" s="6" t="n">
        <v>500</v>
      </c>
      <c r="Y75">
        <f>IFERROR(W75-X75,"")</f>
        <v/>
      </c>
      <c r="Z75">
        <f>IFERROR(ABS(Y75)/MAX(X75,1),"")</f>
        <v/>
      </c>
      <c r="AA75">
        <f>IFERROR(ROUND(((3*X75-(((E75/160000)+(F75/100)+(S75/1200))*1200/4+((E75/160000)*(F75/100))*1200/2)*(H75/1.0))/(1200/4+((S75/1200))*1200/2+((E75/160000)*(F75/100)*(S75/1200))*1200)*(H75/1.0)*8000)/J75,-1),"")</f>
        <v/>
      </c>
    </row>
    <row r="76">
      <c r="B76" s="7" t="inlineStr">
        <is>
          <t xml:space="preserve">  ↳ PDLaserBike</t>
        </is>
      </c>
      <c r="C76" s="7" t="inlineStr">
        <is>
          <t>Armament@pointdefense</t>
        </is>
      </c>
      <c r="L76" s="6" t="n">
        <v>1</v>
      </c>
      <c r="M76" s="6" t="n">
        <v>25</v>
      </c>
      <c r="N76" s="6" t="n">
        <v>1</v>
      </c>
      <c r="O76" s="6" t="n"/>
      <c r="P76" s="6" t="n">
        <v>6000</v>
      </c>
      <c r="Q76" s="6" t="n">
        <v>1</v>
      </c>
      <c r="R76">
        <f>M76+IF(N76&gt;1,N(O76)*(N76-1),0)</f>
        <v/>
      </c>
      <c r="S76">
        <f>IFERROR(L76*MAX(N76,1)/R76*IF(ISBLANK(K75),1,K75),0)</f>
        <v/>
      </c>
      <c r="AB76" s="7" t="inlineStr">
        <is>
          <t>PDLaser</t>
        </is>
      </c>
    </row>
    <row r="77">
      <c r="B77" s="7" t="inlineStr">
        <is>
          <t xml:space="preserve">  ↳ BikeRockets</t>
        </is>
      </c>
      <c r="C77" s="7" t="inlineStr">
        <is>
          <t>Armament</t>
        </is>
      </c>
      <c r="L77" s="6" t="n">
        <v>16000</v>
      </c>
      <c r="M77" s="6" t="n">
        <v>55</v>
      </c>
      <c r="N77" s="6" t="n">
        <v>2</v>
      </c>
      <c r="O77" s="6" t="n">
        <v>10</v>
      </c>
      <c r="P77" s="6" t="n">
        <v>6000</v>
      </c>
      <c r="Q77" s="6" t="n">
        <v>1</v>
      </c>
      <c r="R77">
        <f>M77+IF(N77&gt;1,N(O77)*(N77-1),0)</f>
        <v/>
      </c>
      <c r="S77">
        <f>IFERROR(L77*MAX(N77,1)/R77*IF(ISBLANK(K75),1,K75),0)</f>
        <v/>
      </c>
      <c r="AB77" s="7" t="inlineStr">
        <is>
          <t>^TankDestroyerCannon, ^ShrapnelWeapon, ^FlakWeapon, ^LightMissile</t>
        </is>
      </c>
    </row>
    <row r="78">
      <c r="A78" t="inlineStr">
        <is>
          <t>tiberiandawn</t>
        </is>
      </c>
      <c r="B78" t="inlineStr">
        <is>
          <t>td_nod_specterartillery</t>
        </is>
      </c>
      <c r="C78" t="inlineStr">
        <is>
          <t>Specter Artillery</t>
        </is>
      </c>
      <c r="D78" s="6" t="inlineStr">
        <is>
          <t>Artillery</t>
        </is>
      </c>
      <c r="E78" s="6" t="n">
        <v>22500</v>
      </c>
      <c r="F78" s="6" t="n">
        <v>100</v>
      </c>
      <c r="G78" t="inlineStr">
        <is>
          <t>Light</t>
        </is>
      </c>
      <c r="H78" s="6" t="n">
        <v>0.7333</v>
      </c>
      <c r="I78" s="6" t="n">
        <v>1</v>
      </c>
      <c r="J78" s="6" t="n">
        <v>1</v>
      </c>
      <c r="K78" s="6" t="n"/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(((E78/60000)+(F78/75)+(S78/500)+((P78/15000)*J78))*500/4+(((E78/60000)*(F78/75))+(((P78/15000)*J78)*(S78/500)))*500/2+((E78/60000)*(F78/75)*((P78/15000)*J78)*(S78/500))*500)*(H78/1.0)/3</f>
        <v/>
      </c>
      <c r="X78" s="6" t="n">
        <v>900</v>
      </c>
      <c r="Y78">
        <f>IFERROR(W78-X78,"")</f>
        <v/>
      </c>
      <c r="Z78">
        <f>IFERROR(ABS(Y78)/MAX(X78,1),"")</f>
        <v/>
      </c>
      <c r="AA78">
        <f>IFERROR(ROUND(((3*X78-(((E78/60000)+(F78/75)+(S78/500))*500/4+((E78/60000)*(F78/75))*500/2)*(H78/1.0))/(500/4+((S78/500))*500/2+((E78/60000)*(F78/75)*(S78/500))*500)*(H78/1.0)*15000)/J78,-1),"")</f>
        <v/>
      </c>
    </row>
    <row r="79">
      <c r="B79" s="7" t="inlineStr">
        <is>
          <t xml:space="preserve">  ↳ SpecterArtilleryShell</t>
        </is>
      </c>
      <c r="C79" s="7" t="inlineStr">
        <is>
          <t>Armament</t>
        </is>
      </c>
      <c r="L79" s="6" t="n">
        <v>32000</v>
      </c>
      <c r="M79" s="6" t="n">
        <v>78</v>
      </c>
      <c r="N79" s="6" t="n">
        <v>1</v>
      </c>
      <c r="O79" s="6" t="n"/>
      <c r="P79" s="6" t="n">
        <v>12640</v>
      </c>
      <c r="Q79" s="6" t="n">
        <v>0.875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^Warhead_Demolition_Light, ^Warhead_Concussion_Medium</t>
        </is>
      </c>
    </row>
    <row r="80">
      <c r="B80" s="7" t="inlineStr">
        <is>
          <t xml:space="preserve">  ↳ SpecterArtilleryShellUpgrade</t>
        </is>
      </c>
      <c r="C80" s="7" t="inlineStr">
        <is>
          <t>Armament@Upgrade</t>
        </is>
      </c>
      <c r="L80" s="6" t="n">
        <v>32000</v>
      </c>
      <c r="M80" s="6" t="n">
        <v>78</v>
      </c>
      <c r="N80" s="6" t="n">
        <v>1</v>
      </c>
      <c r="O80" s="6" t="n"/>
      <c r="P80" s="6" t="n">
        <v>12640</v>
      </c>
      <c r="Q80" s="6" t="n">
        <v>0.875</v>
      </c>
      <c r="R80">
        <f>M80+IF(N80&gt;1,N(O80)*(N80-1),0)</f>
        <v/>
      </c>
      <c r="S80">
        <f>IFERROR(L80*MAX(N80,1)/R80*IF(ISBLANK(K78),1,K78),0)</f>
        <v/>
      </c>
      <c r="AB80" s="7" t="inlineStr">
        <is>
          <t>^Warhead_Demolition_Light, ^Warhead_Concussion_Medium</t>
        </is>
      </c>
    </row>
    <row r="81">
      <c r="A81" t="inlineStr">
        <is>
          <t>tiberiandawn</t>
        </is>
      </c>
      <c r="B81" t="inlineStr">
        <is>
          <t>td_nod_ssmlauncher</t>
        </is>
      </c>
      <c r="C81" t="inlineStr">
        <is>
          <t>SSM Launcher</t>
        </is>
      </c>
      <c r="D81" s="6" t="inlineStr">
        <is>
          <t>FireSupport</t>
        </is>
      </c>
      <c r="E81" s="6" t="n">
        <v>20000</v>
      </c>
      <c r="F81" s="6" t="n">
        <v>100</v>
      </c>
      <c r="G81" t="inlineStr">
        <is>
          <t>Light</t>
        </is>
      </c>
      <c r="H81" s="6" t="n">
        <v>0.75</v>
      </c>
      <c r="I81" s="6" t="n">
        <v>1</v>
      </c>
      <c r="J81" s="6" t="n">
        <v>1</v>
      </c>
      <c r="K81" s="6" t="n"/>
      <c r="P81">
        <f>MAX(P82)</f>
        <v/>
      </c>
      <c r="S81">
        <f>S82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(((E81/120000)+(F81/90)+(S81/2100)+((P81/10000)*J81))*1400/4+(((E81/120000)*(F81/90))+(((P81/10000)*J81)*(S81/2100)))*1400/2+((E81/120000)*(F81/90)*((P81/10000)*J81)*(S81/2100))*1400)*(H81/0.6735)/3</f>
        <v/>
      </c>
      <c r="X81" s="6" t="n">
        <v>800</v>
      </c>
      <c r="Y81">
        <f>IFERROR(W81-X81,"")</f>
        <v/>
      </c>
      <c r="Z81">
        <f>IFERROR(ABS(Y81)/MAX(X81,1),"")</f>
        <v/>
      </c>
      <c r="AA81">
        <f>IFERROR(ROUND(((3*X81-(((E81/120000)+(F81/90)+(S81/2100))*1400/4+((E81/120000)*(F81/90))*1400/2)*(H81/0.6735))/(1400/4+((S81/2100))*1400/2+((E81/120000)*(F81/90)*(S81/2100))*1400)*(H81/0.6735)*10000)/J81,-1),"")</f>
        <v/>
      </c>
    </row>
    <row r="82">
      <c r="B82" s="7" t="inlineStr">
        <is>
          <t xml:space="preserve">  ↳ HonestJohn</t>
        </is>
      </c>
      <c r="C82" s="7" t="inlineStr">
        <is>
          <t>Armament</t>
        </is>
      </c>
      <c r="L82" s="6" t="n">
        <v>50000</v>
      </c>
      <c r="M82" s="6" t="n">
        <v>225</v>
      </c>
      <c r="N82" s="6" t="n">
        <v>2</v>
      </c>
      <c r="O82" s="6" t="n">
        <v>25</v>
      </c>
      <c r="P82" s="6" t="n">
        <v>8940</v>
      </c>
      <c r="Q82" s="6" t="n">
        <v>1.25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^Warhead_FireMissile_Heavy</t>
        </is>
      </c>
    </row>
    <row r="83">
      <c r="A83" t="inlineStr">
        <is>
          <t>tiberiandawn</t>
        </is>
      </c>
      <c r="B83" t="inlineStr">
        <is>
          <t>td_nod_stealthharvester</t>
        </is>
      </c>
      <c r="C83" t="inlineStr">
        <is>
          <t>Stealth Harvester</t>
        </is>
      </c>
      <c r="D83" s="6" t="inlineStr">
        <is>
          <t>Harvester</t>
        </is>
      </c>
      <c r="E83" s="6" t="n">
        <v>125000</v>
      </c>
      <c r="F83" s="6" t="n">
        <v>75</v>
      </c>
      <c r="G83" t="inlineStr">
        <is>
          <t>Heavy</t>
        </is>
      </c>
      <c r="H83" s="6" t="n">
        <v>0.9429</v>
      </c>
      <c r="I83" s="6" t="n">
        <v>1</v>
      </c>
      <c r="J83" s="6" t="n">
        <v>1</v>
      </c>
      <c r="K83" s="6" t="n"/>
      <c r="X83" s="6" t="n">
        <v>1000</v>
      </c>
    </row>
    <row r="84">
      <c r="A84" t="inlineStr">
        <is>
          <t>tiberiandawn</t>
        </is>
      </c>
      <c r="B84" t="inlineStr">
        <is>
          <t>td_nod_stealthtank</t>
        </is>
      </c>
      <c r="C84" t="inlineStr">
        <is>
          <t>Stealth Tank</t>
        </is>
      </c>
      <c r="D84" s="6" t="inlineStr">
        <is>
          <t>MissileVehicle</t>
        </is>
      </c>
      <c r="E84" s="6" t="n">
        <v>25000</v>
      </c>
      <c r="F84" s="6" t="n">
        <v>150</v>
      </c>
      <c r="G84" t="inlineStr">
        <is>
          <t>Light</t>
        </is>
      </c>
      <c r="H84" s="6" t="n">
        <v>0.3882</v>
      </c>
      <c r="I84" s="6" t="n">
        <v>1</v>
      </c>
      <c r="J84" s="6" t="n">
        <v>1</v>
      </c>
      <c r="K84" s="6" t="n">
        <v>0.013</v>
      </c>
      <c r="P84">
        <f>MAX(P85,P86)</f>
        <v/>
      </c>
      <c r="S84">
        <f>S85+S86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(((E84/160000)+(F84/100)+(S84/1200)+((P84/8000)*J84))*1200/4+(((E84/160000)*(F84/100))+(((P84/8000)*J84)*(S84/1200)))*1200/2+((E84/160000)*(F84/100)*((P84/8000)*J84)*(S84/1200))*1200)*(H84/1.0)/3</f>
        <v/>
      </c>
      <c r="X84" s="6" t="n">
        <v>900</v>
      </c>
      <c r="Y84">
        <f>IFERROR(W84-X84,"")</f>
        <v/>
      </c>
      <c r="Z84">
        <f>IFERROR(ABS(Y84)/MAX(X84,1),"")</f>
        <v/>
      </c>
      <c r="AA84">
        <f>IFERROR(ROUND(((3*X84-(((E84/160000)+(F84/100)+(S84/1200))*1200/4+((E84/160000)*(F84/100))*1200/2)*(H84/1.0))/(1200/4+((S84/1200))*1200/2+((E84/160000)*(F84/100)*(S84/1200))*1200)*(H84/1.0)*8000)/J84,-1),"")</f>
        <v/>
      </c>
    </row>
    <row r="85">
      <c r="B85" s="7" t="inlineStr">
        <is>
          <t xml:space="preserve">  ↳ StealthTankMissiles</t>
        </is>
      </c>
      <c r="C85" s="7" t="inlineStr">
        <is>
          <t>Armament</t>
        </is>
      </c>
      <c r="L85" s="6" t="n">
        <v>12000</v>
      </c>
      <c r="M85" s="6" t="n">
        <v>58</v>
      </c>
      <c r="N85" s="6" t="n">
        <v>2</v>
      </c>
      <c r="O85" s="6" t="n">
        <v>8</v>
      </c>
      <c r="P85" s="6" t="n">
        <v>7432</v>
      </c>
      <c r="Q85" s="6" t="n">
        <v>1</v>
      </c>
      <c r="R85">
        <f>M85+IF(N85&gt;1,N(O85)*(N85-1),0)</f>
        <v/>
      </c>
      <c r="S85">
        <f>IFERROR(L85*MAX(N85,1)/R85*IF(ISBLANK(K84),1,K84),0)</f>
        <v/>
      </c>
      <c r="AB85" s="7" t="inlineStr">
        <is>
          <t>^Warhead_MissileAP_Medium</t>
        </is>
      </c>
    </row>
    <row r="86">
      <c r="B86" s="7" t="inlineStr">
        <is>
          <t xml:space="preserve">  ↳ StealthTankMissilesBlackMarket</t>
        </is>
      </c>
      <c r="C86" s="7" t="inlineStr">
        <is>
          <t>Armament@Upgrade</t>
        </is>
      </c>
      <c r="L86" s="6" t="n">
        <v>12000</v>
      </c>
      <c r="M86" s="6" t="n">
        <v>58</v>
      </c>
      <c r="N86" s="6" t="n">
        <v>2</v>
      </c>
      <c r="O86" s="6" t="n">
        <v>8</v>
      </c>
      <c r="P86" s="6" t="n">
        <v>7432</v>
      </c>
      <c r="Q86" s="6" t="n">
        <v>1</v>
      </c>
      <c r="R86">
        <f>M86+IF(N86&gt;1,N(O86)*(N86-1),0)</f>
        <v/>
      </c>
      <c r="S86">
        <f>IFERROR(L86*MAX(N86,1)/R86*IF(ISBLANK(K84),1,K84),0)</f>
        <v/>
      </c>
      <c r="AB86" s="7" t="inlineStr">
        <is>
          <t>^Warhead_MissileAP_Medium</t>
        </is>
      </c>
    </row>
    <row r="87">
      <c r="A87" t="inlineStr">
        <is>
          <t>tiberiandawn</t>
        </is>
      </c>
      <c r="B87" t="inlineStr">
        <is>
          <t>td_nod_tiberiumharvester</t>
        </is>
      </c>
      <c r="C87" t="inlineStr">
        <is>
          <t>Nod Tiberium Harvester</t>
        </is>
      </c>
      <c r="D87" s="6" t="inlineStr">
        <is>
          <t>Harvester</t>
        </is>
      </c>
      <c r="E87" s="6" t="n">
        <v>150000</v>
      </c>
      <c r="F87" s="6" t="n">
        <v>60</v>
      </c>
      <c r="G87" t="inlineStr">
        <is>
          <t>Heavy</t>
        </is>
      </c>
      <c r="H87" s="6" t="n">
        <v>0.9429</v>
      </c>
      <c r="I87" s="6" t="n">
        <v>1</v>
      </c>
      <c r="J87" s="6" t="n">
        <v>1</v>
      </c>
      <c r="K87" s="6" t="n"/>
      <c r="X87" s="6" t="n">
        <v>1000</v>
      </c>
    </row>
    <row r="88">
      <c r="A88" s="4" t="inlineStr">
        <is>
          <t>AIRCRAFT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t="inlineStr">
        <is>
          <t>tiberiandawn</t>
        </is>
      </c>
      <c r="B89" t="inlineStr">
        <is>
          <t>td_nod_apacheattackhelicopter</t>
        </is>
      </c>
      <c r="C89" t="inlineStr">
        <is>
          <t>Apache Attack Helicopter</t>
        </is>
      </c>
      <c r="D89" s="6" t="inlineStr">
        <is>
          <t>Helicopter</t>
        </is>
      </c>
      <c r="E89" s="6" t="n">
        <v>45000</v>
      </c>
      <c r="F89" s="6" t="n">
        <v>160</v>
      </c>
      <c r="G89" t="inlineStr">
        <is>
          <t>Helicopter</t>
        </is>
      </c>
      <c r="H89" s="6" t="n">
        <v>0.7333</v>
      </c>
      <c r="I89" s="6" t="n">
        <v>1</v>
      </c>
      <c r="J89" s="6" t="n">
        <v>1</v>
      </c>
      <c r="K89" s="6" t="n"/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1600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HeliGun</t>
        </is>
      </c>
      <c r="C90" s="7" t="inlineStr">
        <is>
          <t>Armament@PRIMARY</t>
        </is>
      </c>
      <c r="L90" s="6" t="n">
        <v>4000</v>
      </c>
      <c r="M90" s="6" t="n">
        <v>16</v>
      </c>
      <c r="N90" s="6" t="n">
        <v>4</v>
      </c>
      <c r="O90" s="6" t="n">
        <v>2</v>
      </c>
      <c r="P90" s="6" t="n">
        <v>4501</v>
      </c>
      <c r="Q90" s="6" t="n">
        <v>1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^Warhead_Bullet_Medium</t>
        </is>
      </c>
    </row>
    <row r="91">
      <c r="B91" s="7" t="inlineStr">
        <is>
          <t xml:space="preserve">  ↳ HeliMissiles</t>
        </is>
      </c>
      <c r="C91" s="7" t="inlineStr">
        <is>
          <t>Armament@Upgrade</t>
        </is>
      </c>
      <c r="L91" s="6" t="n">
        <v>2000</v>
      </c>
      <c r="M91" s="6" t="n">
        <v>16</v>
      </c>
      <c r="N91" s="6" t="n">
        <v>4</v>
      </c>
      <c r="O91" s="6" t="n">
        <v>2</v>
      </c>
      <c r="P91" s="6" t="n">
        <v>4501</v>
      </c>
      <c r="Q91" s="6" t="n">
        <v>1</v>
      </c>
      <c r="R91">
        <f>M91+IF(N91&gt;1,N(O91)*(N91-1),0)</f>
        <v/>
      </c>
      <c r="S91">
        <f>IFERROR(L91*MAX(N91,1)/R91*IF(ISBLANK(K89),1,K89),0)</f>
        <v/>
      </c>
      <c r="AB91" s="7" t="inlineStr">
        <is>
          <t>^Warhead_MissileAP_Medium</t>
        </is>
      </c>
    </row>
    <row r="92">
      <c r="A92" t="inlineStr">
        <is>
          <t>tiberiandawn</t>
        </is>
      </c>
      <c r="B92" t="inlineStr">
        <is>
          <t>td_nod_chinooktransport</t>
        </is>
      </c>
      <c r="C92" t="inlineStr">
        <is>
          <t>Nod Chinook Transport</t>
        </is>
      </c>
      <c r="D92" s="6" t="inlineStr">
        <is>
          <t>UnarmedTransportHelicopter</t>
        </is>
      </c>
      <c r="E92" s="6" t="n">
        <v>100000</v>
      </c>
      <c r="F92" s="6" t="n">
        <v>150</v>
      </c>
      <c r="G92" t="inlineStr">
        <is>
          <t>Helicopter</t>
        </is>
      </c>
      <c r="H92" s="6" t="n">
        <v>0.7333</v>
      </c>
      <c r="I92" s="6" t="n">
        <v>1</v>
      </c>
      <c r="J92" s="6" t="n">
        <v>1</v>
      </c>
      <c r="K92" s="6" t="n"/>
      <c r="X92" s="6" t="n">
        <v>3100</v>
      </c>
    </row>
    <row r="93">
      <c r="A93" t="inlineStr">
        <is>
          <t>tiberiandawn</t>
        </is>
      </c>
      <c r="B93" t="inlineStr">
        <is>
          <t>td_nod_venom</t>
        </is>
      </c>
      <c r="C93" t="inlineStr">
        <is>
          <t>Venom</t>
        </is>
      </c>
      <c r="D93" s="6" t="inlineStr">
        <is>
          <t>Helicopter</t>
        </is>
      </c>
      <c r="E93" s="6" t="n">
        <v>27500</v>
      </c>
      <c r="F93" s="6" t="n">
        <v>200</v>
      </c>
      <c r="G93" t="inlineStr">
        <is>
          <t>Helicopter</t>
        </is>
      </c>
      <c r="H93" s="6" t="n">
        <v>0.75</v>
      </c>
      <c r="I93" s="6" t="n">
        <v>1</v>
      </c>
      <c r="J93" s="6" t="n">
        <v>1.5</v>
      </c>
      <c r="K93" s="6" t="n"/>
      <c r="P93">
        <f>MAX(P94,P95,P96)</f>
        <v/>
      </c>
      <c r="S93">
        <f>S94+S95+S96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900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VenomLaser</t>
        </is>
      </c>
      <c r="C94" s="7" t="inlineStr">
        <is>
          <t>Armament@Base</t>
        </is>
      </c>
      <c r="L94" s="6" t="n">
        <v>8000</v>
      </c>
      <c r="M94" s="6" t="n">
        <v>18</v>
      </c>
      <c r="N94" s="6" t="n">
        <v>1</v>
      </c>
      <c r="O94" s="6" t="n"/>
      <c r="P94" s="6" t="n">
        <v>4000</v>
      </c>
      <c r="Q94" s="6" t="n">
        <v>1</v>
      </c>
      <c r="R94">
        <f>M94+IF(N94&gt;1,N(O94)*(N94-1),0)</f>
        <v/>
      </c>
      <c r="S94">
        <f>IFERROR(L94*MAX(N94,1)/R94*IF(ISBLANK(K93),1,K93),0)</f>
        <v/>
      </c>
      <c r="AB94" s="7" t="inlineStr">
        <is>
          <t>^Warhead_Laser_Medium</t>
        </is>
      </c>
    </row>
    <row r="95">
      <c r="B95" s="7" t="inlineStr">
        <is>
          <t xml:space="preserve">  ↳ VenomLaserInferno</t>
        </is>
      </c>
      <c r="C95" s="7" t="inlineStr">
        <is>
          <t>Armament@Elite</t>
        </is>
      </c>
      <c r="L95" s="6" t="n">
        <v>8000</v>
      </c>
      <c r="M95" s="6" t="n">
        <v>18</v>
      </c>
      <c r="N95" s="6" t="n">
        <v>1</v>
      </c>
      <c r="O95" s="6" t="n"/>
      <c r="P95" s="6" t="n">
        <v>4000</v>
      </c>
      <c r="Q95" s="6" t="n">
        <v>1</v>
      </c>
      <c r="R95">
        <f>M95+IF(N95&gt;1,N(O95)*(N95-1),0)</f>
        <v/>
      </c>
      <c r="S95">
        <f>IFERROR(L95*MAX(N95,1)/R95*IF(ISBLANK(K93),1,K93),0)</f>
        <v/>
      </c>
      <c r="AB95" s="7" t="inlineStr">
        <is>
          <t>^Warhead_Inferno_Medium</t>
        </is>
      </c>
    </row>
    <row r="96">
      <c r="B96" s="7" t="inlineStr">
        <is>
          <t xml:space="preserve">  ↳ VenomLaserBurning</t>
        </is>
      </c>
      <c r="C96" s="7" t="inlineStr">
        <is>
          <t>Armament@Burning</t>
        </is>
      </c>
      <c r="L96" s="6" t="n">
        <v>8000</v>
      </c>
      <c r="M96" s="6" t="n">
        <v>18</v>
      </c>
      <c r="N96" s="6" t="n">
        <v>10</v>
      </c>
      <c r="O96" s="6" t="n">
        <v>1</v>
      </c>
      <c r="P96" s="6" t="n">
        <v>4000</v>
      </c>
      <c r="Q96" s="6" t="n">
        <v>1</v>
      </c>
      <c r="R96">
        <f>M96+IF(N96&gt;1,N(O96)*(N96-1),0)</f>
        <v/>
      </c>
      <c r="S96">
        <f>IFERROR(L96*MAX(N96,1)/R96*IF(ISBLANK(K93),1,K93),0)</f>
        <v/>
      </c>
      <c r="AB96" s="7" t="inlineStr">
        <is>
          <t>^Warhead_Inferno_Medium</t>
        </is>
      </c>
    </row>
    <row r="97">
      <c r="A97" s="4" t="inlineStr">
        <is>
          <t>NAVAL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t="inlineStr">
        <is>
          <t>tiberiandawn</t>
        </is>
      </c>
      <c r="B98" t="inlineStr">
        <is>
          <t>CNCRSS</t>
        </is>
      </c>
      <c r="C98" t="inlineStr">
        <is>
          <t>Transport Submarine</t>
        </is>
      </c>
      <c r="D98" s="6" t="inlineStr">
        <is>
          <t>Ship</t>
        </is>
      </c>
      <c r="E98" s="6" t="n">
        <v>50000</v>
      </c>
      <c r="F98" s="6" t="n">
        <v>150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K98" s="6" t="n"/>
      <c r="X98" s="6" t="n">
        <v>500</v>
      </c>
    </row>
    <row r="99">
      <c r="A99" t="inlineStr">
        <is>
          <t>tiberiandawn</t>
        </is>
      </c>
      <c r="B99" t="inlineStr">
        <is>
          <t>CNCSS</t>
        </is>
      </c>
      <c r="C99" t="inlineStr">
        <is>
          <t>Nod Attack Submarine</t>
        </is>
      </c>
      <c r="D99" s="6" t="inlineStr">
        <is>
          <t>ScoutShip</t>
        </is>
      </c>
      <c r="E99" s="6" t="n">
        <v>160000</v>
      </c>
      <c r="F99" s="6" t="n">
        <v>80</v>
      </c>
      <c r="G99" t="inlineStr">
        <is>
          <t>Heavy</t>
        </is>
      </c>
      <c r="H99" s="6" t="n">
        <v>1</v>
      </c>
      <c r="I99" s="6" t="n">
        <v>1</v>
      </c>
      <c r="J99" s="6" t="n">
        <v>1</v>
      </c>
      <c r="K99" s="6" t="n"/>
      <c r="P99">
        <f>MAX(P100,P101)</f>
        <v/>
      </c>
      <c r="S99">
        <f>S100+S101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(T99+U99+V99)/3</f>
        <v/>
      </c>
      <c r="X99" s="6" t="n">
        <v>1600</v>
      </c>
      <c r="Y99">
        <f>IFERROR(W99-X99,"")</f>
        <v/>
      </c>
      <c r="Z99">
        <f>IFERROR(ABS(Y99)/MAX(X99,1),"")</f>
        <v/>
      </c>
      <c r="AA99">
        <f>IFERROR((X99-(((E99/100000+F99/100+S99/200)*200*I99*H99)+((E99*F99/25000)*I99*H99))/3)/(((J99/5)*200*I99*H99)+((J99*S99/2.5)*I99*H99)+((E99*F99*J99*S99*I99*H99)/12500000))/3*1000,"")</f>
        <v/>
      </c>
    </row>
    <row r="100">
      <c r="B100" s="7" t="inlineStr">
        <is>
          <t xml:space="preserve">  ↳ NodTorpTube</t>
        </is>
      </c>
      <c r="C100" s="7" t="inlineStr">
        <is>
          <t>Armament@PRIMARY</t>
        </is>
      </c>
      <c r="L100" s="6" t="n">
        <v>16000</v>
      </c>
      <c r="M100" s="6" t="n">
        <v>64</v>
      </c>
      <c r="N100" s="6" t="n">
        <v>2</v>
      </c>
      <c r="O100" s="6" t="n">
        <v>8</v>
      </c>
      <c r="P100" s="6" t="n">
        <v>8000</v>
      </c>
      <c r="Q100" s="6" t="n">
        <v>1</v>
      </c>
      <c r="R100">
        <f>M100+IF(N100&gt;1,N(O100)*(N100-1),0)</f>
        <v/>
      </c>
      <c r="S100">
        <f>IFERROR(L100*MAX(N100,1)/R100*IF(ISBLANK(K99),1,K99),0)</f>
        <v/>
      </c>
      <c r="AB100" s="7" t="inlineStr">
        <is>
          <t>^Warhead_Concussion_Light, ^Warhead_MissileHE_Heavy</t>
        </is>
      </c>
    </row>
    <row r="101">
      <c r="B101" s="7" t="inlineStr">
        <is>
          <t xml:space="preserve">  ↳ NodTorpTubeBlackMarket</t>
        </is>
      </c>
      <c r="C101" s="7" t="inlineStr">
        <is>
          <t>Armament@Upgrade</t>
        </is>
      </c>
      <c r="L101" s="6" t="n">
        <v>16000</v>
      </c>
      <c r="M101" s="6" t="n">
        <v>64</v>
      </c>
      <c r="N101" s="6" t="n">
        <v>2</v>
      </c>
      <c r="O101" s="6" t="n">
        <v>8</v>
      </c>
      <c r="P101" s="6" t="n">
        <v>8000</v>
      </c>
      <c r="Q101" s="6" t="n">
        <v>1.25</v>
      </c>
      <c r="R101">
        <f>M101+IF(N101&gt;1,N(O101)*(N101-1),0)</f>
        <v/>
      </c>
      <c r="S101">
        <f>IFERROR(L101*MAX(N101,1)/R101*IF(ISBLANK(K99),1,K99),0)</f>
        <v/>
      </c>
      <c r="AB101" s="7" t="inlineStr">
        <is>
          <t>^Warhead_Demolition_Heavy, ^Warhead_MissileHE_Heavy</t>
        </is>
      </c>
    </row>
    <row r="102">
      <c r="A102" t="inlineStr">
        <is>
          <t>tiberiandawn</t>
        </is>
      </c>
      <c r="B102" t="inlineStr">
        <is>
          <t>nodlasercorvette</t>
        </is>
      </c>
      <c r="C102" t="inlineStr">
        <is>
          <t>Nod Laser Corvette</t>
        </is>
      </c>
      <c r="D102" s="6" t="inlineStr">
        <is>
          <t>BattleShip</t>
        </is>
      </c>
      <c r="E102" s="6" t="n">
        <v>150000</v>
      </c>
      <c r="F102" s="6" t="n">
        <v>60</v>
      </c>
      <c r="G102" t="inlineStr">
        <is>
          <t>Medium</t>
        </is>
      </c>
      <c r="H102" s="6" t="n">
        <v>0.4015</v>
      </c>
      <c r="I102" s="6" t="n">
        <v>1</v>
      </c>
      <c r="J102" s="6" t="n">
        <v>1</v>
      </c>
      <c r="K102" s="6" t="n"/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2300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CorvetteLaserObelisk</t>
        </is>
      </c>
      <c r="C103" s="7" t="inlineStr">
        <is>
          <t>Armament@PRIMARY</t>
        </is>
      </c>
      <c r="L103" s="6" t="n">
        <v>120000</v>
      </c>
      <c r="M103" s="6" t="n">
        <v>90</v>
      </c>
      <c r="N103" s="6" t="n">
        <v>1</v>
      </c>
      <c r="O103" s="6" t="n"/>
      <c r="P103" s="6" t="n">
        <v>9550</v>
      </c>
      <c r="Q103" s="6" t="n">
        <v>1.25</v>
      </c>
      <c r="R103">
        <f>M103+IF(N103&gt;1,N(O103)*(N103-1),0)</f>
        <v/>
      </c>
      <c r="S103">
        <f>IFERROR(L103*MAX(N103,1)/R103*IF(ISBLANK(K102),1,K102),0)</f>
        <v/>
      </c>
      <c r="AB103" s="7" t="inlineStr">
        <is>
          <t>^Warhead_Laser_Heavy</t>
        </is>
      </c>
    </row>
    <row r="104">
      <c r="B104" s="7" t="inlineStr">
        <is>
          <t xml:space="preserve">  ↳ CorvetteDragon</t>
        </is>
      </c>
      <c r="C104" s="7" t="inlineStr">
        <is>
          <t>Armament@SECONDARY</t>
        </is>
      </c>
      <c r="L104" s="6" t="n">
        <v>10000</v>
      </c>
      <c r="M104" s="6" t="n">
        <v>35</v>
      </c>
      <c r="N104" s="6" t="n">
        <v>2</v>
      </c>
      <c r="O104" s="6" t="n">
        <v>7</v>
      </c>
      <c r="P104" s="6" t="n">
        <v>9550</v>
      </c>
      <c r="Q104" s="6" t="n">
        <v>1.25</v>
      </c>
      <c r="R104">
        <f>M104+IF(N104&gt;1,N(O104)*(N104-1),0)</f>
        <v/>
      </c>
      <c r="S104">
        <f>IFERROR(L104*MAX(N104,1)/R104*IF(ISBLANK(K102),1,K102),0)</f>
        <v/>
      </c>
      <c r="AB104" s="7" t="inlineStr">
        <is>
          <t>^Warhead_MissileAP_Heavy</t>
        </is>
      </c>
    </row>
    <row r="105">
      <c r="A105" t="inlineStr">
        <is>
          <t>tiberiandawn</t>
        </is>
      </c>
      <c r="B105" t="inlineStr">
        <is>
          <t>ssmsub</t>
        </is>
      </c>
      <c r="C105" t="inlineStr">
        <is>
          <t>Ballistic Missile Submarine</t>
        </is>
      </c>
      <c r="D105" s="6" t="inlineStr">
        <is>
          <t>ArtilleryShip</t>
        </is>
      </c>
      <c r="E105" s="6" t="n">
        <v>200000</v>
      </c>
      <c r="F105" s="6" t="n">
        <v>60</v>
      </c>
      <c r="G105" t="inlineStr">
        <is>
          <t>Medium</t>
        </is>
      </c>
      <c r="H105" s="6" t="n">
        <v>0.782</v>
      </c>
      <c r="I105" s="6" t="n">
        <v>1</v>
      </c>
      <c r="J105" s="6" t="n">
        <v>1</v>
      </c>
      <c r="K105" s="6" t="n">
        <v>0.02</v>
      </c>
      <c r="P105">
        <f>MAX(P106)</f>
        <v/>
      </c>
      <c r="S105">
        <f>S106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(T105+U105+V105)/3</f>
        <v/>
      </c>
      <c r="X105" s="6" t="n">
        <v>2800</v>
      </c>
      <c r="Y105">
        <f>IFERROR(W105-X105,"")</f>
        <v/>
      </c>
      <c r="Z105">
        <f>IFERROR(ABS(Y105)/MAX(X105,1),"")</f>
        <v/>
      </c>
      <c r="AA105">
        <f>IFERROR((X105-(((E105/100000+F105/100+S105/200)*200*I105*H105)+((E105*F105/25000)*I105*H105))/3)/(((J105/5)*200*I105*H105)+((J105*S105/2.5)*I105*H105)+((E105*F105*J105*S105*I105*H105)/12500000))/3*1000,"")</f>
        <v/>
      </c>
    </row>
    <row r="106">
      <c r="B106" s="7" t="inlineStr">
        <is>
          <t xml:space="preserve">  ↳ HonestJohn</t>
        </is>
      </c>
      <c r="C106" s="7" t="inlineStr">
        <is>
          <t>Armament</t>
        </is>
      </c>
      <c r="L106" s="6" t="n">
        <v>50000</v>
      </c>
      <c r="M106" s="6" t="n">
        <v>225</v>
      </c>
      <c r="N106" s="6" t="n">
        <v>2</v>
      </c>
      <c r="O106" s="6" t="n">
        <v>25</v>
      </c>
      <c r="P106" s="6" t="n">
        <v>8940</v>
      </c>
      <c r="Q106" s="6" t="n">
        <v>1.25</v>
      </c>
      <c r="R106">
        <f>M106+IF(N106&gt;1,N(O106)*(N106-1),0)</f>
        <v/>
      </c>
      <c r="S106">
        <f>IFERROR(L106*MAX(N106,1)/R106*IF(ISBLANK(K105),1,K105),0)</f>
        <v/>
      </c>
      <c r="AB106" s="7" t="inlineStr">
        <is>
          <t>^Warhead_FireMissile_Heavy</t>
        </is>
      </c>
    </row>
    <row r="107">
      <c r="A107" s="4" t="inlineStr">
        <is>
          <t>BUILDINGS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tiberiandawn</t>
        </is>
      </c>
      <c r="B108" t="inlineStr">
        <is>
          <t>CNCSPEN</t>
        </is>
      </c>
      <c r="C108" t="inlineStr">
        <is>
          <t>Nod Sub Pen</t>
        </is>
      </c>
      <c r="D108" s="6" t="inlineStr">
        <is>
          <t>Building</t>
        </is>
      </c>
      <c r="E108" s="6" t="n">
        <v>600000</v>
      </c>
      <c r="F108" s="6" t="n"/>
      <c r="G108" t="inlineStr">
        <is>
          <t>Concrete</t>
        </is>
      </c>
      <c r="H108" s="6" t="n">
        <v>1</v>
      </c>
      <c r="I108" s="6" t="n">
        <v>1</v>
      </c>
      <c r="J108" s="6" t="n">
        <v>1</v>
      </c>
      <c r="K108" s="6" t="n"/>
      <c r="X108" s="6" t="n">
        <v>800</v>
      </c>
    </row>
    <row r="109">
      <c r="A109" t="inlineStr">
        <is>
          <t>tiberiandawn</t>
        </is>
      </c>
      <c r="B109" t="inlineStr">
        <is>
          <t>td_nod_airstrip</t>
        </is>
      </c>
      <c r="C109" t="inlineStr">
        <is>
          <t>Nod Airstrip</t>
        </is>
      </c>
      <c r="D109" s="6" t="inlineStr">
        <is>
          <t>Building</t>
        </is>
      </c>
      <c r="E109" s="6" t="n">
        <v>400000</v>
      </c>
      <c r="F109" s="6" t="n"/>
      <c r="G109" t="inlineStr">
        <is>
          <t>Concrete</t>
        </is>
      </c>
      <c r="H109" s="6" t="n">
        <v>1</v>
      </c>
      <c r="I109" s="6" t="n">
        <v>1</v>
      </c>
      <c r="J109" s="6" t="n">
        <v>1</v>
      </c>
      <c r="K109" s="6" t="n"/>
      <c r="X109" s="6" t="n">
        <v>1500</v>
      </c>
    </row>
    <row r="110">
      <c r="A110" t="inlineStr">
        <is>
          <t>tiberiandawn</t>
        </is>
      </c>
      <c r="B110" t="inlineStr">
        <is>
          <t>td_nod_communicationscenter</t>
        </is>
      </c>
      <c r="C110" t="inlineStr">
        <is>
          <t>Nod Communications Center</t>
        </is>
      </c>
      <c r="D110" s="6" t="inlineStr">
        <is>
          <t>Building</t>
        </is>
      </c>
      <c r="E110" s="6" t="n">
        <v>250000</v>
      </c>
      <c r="F110" s="6" t="n"/>
      <c r="G110" t="inlineStr">
        <is>
          <t>Wood</t>
        </is>
      </c>
      <c r="H110" s="6" t="n">
        <v>1</v>
      </c>
      <c r="I110" s="6" t="n">
        <v>1</v>
      </c>
      <c r="J110" s="6" t="n">
        <v>1</v>
      </c>
      <c r="K110" s="6" t="n"/>
      <c r="X110" s="6" t="n">
        <v>2500</v>
      </c>
    </row>
    <row r="111">
      <c r="A111" t="inlineStr">
        <is>
          <t>tiberiandawn</t>
        </is>
      </c>
      <c r="B111" t="inlineStr">
        <is>
          <t>td_nod_constructionyard</t>
        </is>
      </c>
      <c r="C111" t="inlineStr">
        <is>
          <t>Nod Construction Yard</t>
        </is>
      </c>
      <c r="D111" s="6" t="inlineStr">
        <is>
          <t>Building</t>
        </is>
      </c>
      <c r="E111" s="6" t="n">
        <v>1000000</v>
      </c>
      <c r="F111" s="6" t="n"/>
      <c r="G111" t="inlineStr">
        <is>
          <t>Concrete</t>
        </is>
      </c>
      <c r="H111" s="6" t="n">
        <v>1</v>
      </c>
      <c r="I111" s="6" t="n">
        <v>1</v>
      </c>
      <c r="J111" s="6" t="n">
        <v>1</v>
      </c>
      <c r="K111" s="6" t="n"/>
      <c r="X111" s="6" t="n">
        <v>5000</v>
      </c>
    </row>
    <row r="112">
      <c r="A112" t="inlineStr">
        <is>
          <t>tiberiandawn</t>
        </is>
      </c>
      <c r="B112" t="inlineStr">
        <is>
          <t>td_nod_gunturret</t>
        </is>
      </c>
      <c r="C112" t="inlineStr">
        <is>
          <t>Nod Gun Turret</t>
        </is>
      </c>
      <c r="D112" s="6" t="inlineStr">
        <is>
          <t>BasicDefense</t>
        </is>
      </c>
      <c r="E112" s="6" t="n">
        <v>150000</v>
      </c>
      <c r="F112" s="6" t="n"/>
      <c r="G112" t="inlineStr">
        <is>
          <t>Concrete</t>
        </is>
      </c>
      <c r="H112" s="6" t="n">
        <v>1</v>
      </c>
      <c r="I112" s="6" t="n">
        <v>0.35</v>
      </c>
      <c r="J112" s="6" t="n">
        <v>1</v>
      </c>
      <c r="K112" s="6" t="n"/>
      <c r="X112" s="6" t="n">
        <v>700</v>
      </c>
    </row>
    <row r="113">
      <c r="B113" s="7" t="inlineStr">
        <is>
          <t xml:space="preserve">  ↳ TurretGun</t>
        </is>
      </c>
      <c r="C113" s="7" t="inlineStr">
        <is>
          <t>Armament</t>
        </is>
      </c>
      <c r="L113" s="6" t="n">
        <v>19000</v>
      </c>
      <c r="M113" s="6" t="n">
        <v>61</v>
      </c>
      <c r="N113" s="6" t="n">
        <v>1</v>
      </c>
      <c r="O113" s="6" t="n"/>
      <c r="P113" s="6" t="n">
        <v>7711</v>
      </c>
      <c r="Q113" s="6" t="n">
        <v>1</v>
      </c>
      <c r="R113">
        <f>M113+IF(N113&gt;1,N(O113)*(N113-1),0)</f>
        <v/>
      </c>
      <c r="S113">
        <f>IFERROR(L113*MAX(N113,1)/R113*IF(ISBLANK(K112),1,K112),0)</f>
        <v/>
      </c>
      <c r="AB113" s="7" t="inlineStr">
        <is>
          <t>^ShrapnelWeapon, ^Grenade, ^MediumCannon, ^TankDestroyerCannon</t>
        </is>
      </c>
    </row>
    <row r="114">
      <c r="B114" s="7" t="inlineStr">
        <is>
          <t xml:space="preserve">  ↳ TurretGunBlackMarket</t>
        </is>
      </c>
      <c r="C114" s="7" t="inlineStr">
        <is>
          <t>Armament@Upgrade</t>
        </is>
      </c>
      <c r="L114" s="6" t="n">
        <v>31000</v>
      </c>
      <c r="M114" s="6" t="n">
        <v>61</v>
      </c>
      <c r="N114" s="6" t="n">
        <v>1</v>
      </c>
      <c r="O114" s="6" t="n"/>
      <c r="P114" s="6" t="n">
        <v>7711</v>
      </c>
      <c r="Q114" s="6" t="n">
        <v>1</v>
      </c>
      <c r="R114">
        <f>M114+IF(N114&gt;1,N(O114)*(N114-1),0)</f>
        <v/>
      </c>
      <c r="S114">
        <f>IFERROR(L114*MAX(N114,1)/R114*IF(ISBLANK(K112),1,K112),0)</f>
        <v/>
      </c>
      <c r="AB114" s="7" t="inlineStr">
        <is>
          <t>^HeavyBomb, ^HeavyCannon, TurretGun</t>
        </is>
      </c>
    </row>
    <row r="115">
      <c r="A115" t="inlineStr">
        <is>
          <t>tiberiandawn</t>
        </is>
      </c>
      <c r="B115" t="inlineStr">
        <is>
          <t>td_nod_handofnod</t>
        </is>
      </c>
      <c r="C115" t="inlineStr">
        <is>
          <t>Hand of Nod</t>
        </is>
      </c>
      <c r="D115" s="6" t="inlineStr">
        <is>
          <t>Building</t>
        </is>
      </c>
      <c r="E115" s="6" t="n">
        <v>200000</v>
      </c>
      <c r="F115" s="6" t="n"/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K115" s="6" t="n"/>
      <c r="X115" s="6" t="n">
        <v>1000</v>
      </c>
    </row>
    <row r="116">
      <c r="A116" t="inlineStr">
        <is>
          <t>tiberiandawn</t>
        </is>
      </c>
      <c r="B116" t="inlineStr">
        <is>
          <t>td_nod_helipad</t>
        </is>
      </c>
      <c r="C116" t="inlineStr">
        <is>
          <t>Nod Helipad</t>
        </is>
      </c>
      <c r="D116" s="6" t="inlineStr">
        <is>
          <t>Building</t>
        </is>
      </c>
      <c r="E116" s="6" t="n">
        <v>300000</v>
      </c>
      <c r="F116" s="6" t="n"/>
      <c r="G116" t="inlineStr">
        <is>
          <t>Wood</t>
        </is>
      </c>
      <c r="H116" s="6" t="n">
        <v>0.8462</v>
      </c>
      <c r="I116" s="6" t="n">
        <v>1</v>
      </c>
      <c r="J116" s="6" t="n">
        <v>1</v>
      </c>
      <c r="K116" s="6" t="n"/>
      <c r="X116" s="6" t="n">
        <v>1500</v>
      </c>
    </row>
    <row r="117">
      <c r="A117" t="inlineStr">
        <is>
          <t>tiberiandawn</t>
        </is>
      </c>
      <c r="B117" t="inlineStr">
        <is>
          <t>td_nod_laserturret</t>
        </is>
      </c>
      <c r="C117" t="inlineStr">
        <is>
          <t>Nod Laser Turret</t>
        </is>
      </c>
      <c r="D117" s="6" t="inlineStr">
        <is>
          <t>BasicDefense</t>
        </is>
      </c>
      <c r="E117" s="6" t="n">
        <v>72500</v>
      </c>
      <c r="F117" s="6" t="n"/>
      <c r="G117" t="inlineStr">
        <is>
          <t>Concrete</t>
        </is>
      </c>
      <c r="H117" s="6" t="n">
        <v>1</v>
      </c>
      <c r="I117" s="6" t="n">
        <v>0.35</v>
      </c>
      <c r="J117" s="6" t="n">
        <v>1</v>
      </c>
      <c r="K117" s="6" t="n"/>
      <c r="X117" s="6" t="n">
        <v>1000</v>
      </c>
    </row>
    <row r="118">
      <c r="B118" s="7" t="inlineStr">
        <is>
          <t xml:space="preserve">  ↳ NodTurretLaser</t>
        </is>
      </c>
      <c r="C118" s="7" t="inlineStr">
        <is>
          <t>Armament@Base</t>
        </is>
      </c>
      <c r="L118" s="6" t="n">
        <v>12000</v>
      </c>
      <c r="M118" s="6" t="n">
        <v>20</v>
      </c>
      <c r="N118" s="6" t="n">
        <v>2</v>
      </c>
      <c r="O118" s="6" t="n">
        <v>4</v>
      </c>
      <c r="P118" s="6" t="n">
        <v>6800</v>
      </c>
      <c r="Q118" s="6" t="n">
        <v>1</v>
      </c>
      <c r="R118">
        <f>M118+IF(N118&gt;1,N(O118)*(N118-1),0)</f>
        <v/>
      </c>
      <c r="S118">
        <f>IFERROR(L118*MAX(N118,1)/R118*IF(ISBLANK(K117),1,K117),0)</f>
        <v/>
      </c>
      <c r="AB118" s="7" t="inlineStr">
        <is>
          <t>^Warhead_Laser_Medium</t>
        </is>
      </c>
    </row>
    <row r="119">
      <c r="B119" s="7" t="inlineStr">
        <is>
          <t xml:space="preserve">  ↳ NodTurretLaserInferno</t>
        </is>
      </c>
      <c r="C119" s="7" t="inlineStr">
        <is>
          <t>Armament@Elite</t>
        </is>
      </c>
      <c r="L119" s="6" t="n">
        <v>12000</v>
      </c>
      <c r="M119" s="6" t="n">
        <v>20</v>
      </c>
      <c r="N119" s="6" t="n">
        <v>2</v>
      </c>
      <c r="O119" s="6" t="n">
        <v>4</v>
      </c>
      <c r="P119" s="6" t="n">
        <v>6800</v>
      </c>
      <c r="Q119" s="6" t="n">
        <v>1</v>
      </c>
      <c r="R119">
        <f>M119+IF(N119&gt;1,N(O119)*(N119-1),0)</f>
        <v/>
      </c>
      <c r="S119">
        <f>IFERROR(L119*MAX(N119,1)/R119*IF(ISBLANK(K117),1,K117),0)</f>
        <v/>
      </c>
      <c r="AB119" s="7" t="inlineStr">
        <is>
          <t>^Warhead_Inferno_Medium</t>
        </is>
      </c>
    </row>
    <row r="120">
      <c r="B120" s="7" t="inlineStr">
        <is>
          <t xml:space="preserve">  ↳ NodTurretLaserBurning</t>
        </is>
      </c>
      <c r="C120" s="7" t="inlineStr">
        <is>
          <t>Armament@Burning</t>
        </is>
      </c>
      <c r="L120" s="6" t="n">
        <v>12000</v>
      </c>
      <c r="M120" s="6" t="n">
        <v>20</v>
      </c>
      <c r="N120" s="6" t="n">
        <v>10</v>
      </c>
      <c r="O120" s="6" t="n">
        <v>1</v>
      </c>
      <c r="P120" s="6" t="n">
        <v>6800</v>
      </c>
      <c r="Q120" s="6" t="n">
        <v>1</v>
      </c>
      <c r="R120">
        <f>M120+IF(N120&gt;1,N(O120)*(N120-1),0)</f>
        <v/>
      </c>
      <c r="S120">
        <f>IFERROR(L120*MAX(N120,1)/R120*IF(ISBLANK(K117),1,K117),0)</f>
        <v/>
      </c>
      <c r="AB120" s="7" t="inlineStr">
        <is>
          <t>^Warhead_Inferno_Medium</t>
        </is>
      </c>
    </row>
    <row r="121">
      <c r="A121" t="inlineStr">
        <is>
          <t>tiberiandawn</t>
        </is>
      </c>
      <c r="B121" t="inlineStr">
        <is>
          <t>td_nod_nuclearmissilesilo</t>
        </is>
      </c>
      <c r="C121" t="inlineStr">
        <is>
          <t>Nuclear Missile Silo</t>
        </is>
      </c>
      <c r="D121" s="6" t="inlineStr">
        <is>
          <t>Building</t>
        </is>
      </c>
      <c r="E121" s="6" t="n"/>
      <c r="F121" s="6" t="n"/>
      <c r="H121" s="6" t="n">
        <v>0.4177</v>
      </c>
      <c r="I121" s="6" t="n">
        <v>1</v>
      </c>
      <c r="J121" s="6" t="n">
        <v>1</v>
      </c>
      <c r="K121" s="6" t="n"/>
      <c r="X121" s="6" t="n">
        <v>5000</v>
      </c>
    </row>
    <row r="122">
      <c r="A122" t="inlineStr">
        <is>
          <t>tiberiandawn</t>
        </is>
      </c>
      <c r="B122" t="inlineStr">
        <is>
          <t>td_nod_obeliskoflight</t>
        </is>
      </c>
      <c r="C122" t="inlineStr">
        <is>
          <t>Obelisk of Light</t>
        </is>
      </c>
      <c r="D122" s="6" t="inlineStr">
        <is>
          <t>AdvancedDefense</t>
        </is>
      </c>
      <c r="E122" s="6" t="n">
        <v>242500</v>
      </c>
      <c r="F122" s="6" t="n"/>
      <c r="G122" t="inlineStr">
        <is>
          <t>Steel</t>
        </is>
      </c>
      <c r="H122" s="6" t="n">
        <v>0.4177</v>
      </c>
      <c r="I122" s="6" t="n">
        <v>1</v>
      </c>
      <c r="J122" s="6" t="n">
        <v>1</v>
      </c>
      <c r="K122" s="6" t="n">
        <v>0.016</v>
      </c>
      <c r="X122" s="6" t="n">
        <v>1800</v>
      </c>
    </row>
    <row r="123">
      <c r="B123" s="7" t="inlineStr">
        <is>
          <t xml:space="preserve">  ↳ LaserObelisk</t>
        </is>
      </c>
      <c r="C123" s="7" t="inlineStr">
        <is>
          <t>Armament@Base</t>
        </is>
      </c>
      <c r="L123" s="6" t="n">
        <v>96000</v>
      </c>
      <c r="M123" s="6" t="n">
        <v>96</v>
      </c>
      <c r="N123" s="6" t="n">
        <v>1</v>
      </c>
      <c r="O123" s="6" t="n"/>
      <c r="P123" s="6" t="n">
        <v>9600</v>
      </c>
      <c r="Q123" s="6" t="n">
        <v>1.25</v>
      </c>
      <c r="R123">
        <f>M123+IF(N123&gt;1,N(O123)*(N123-1),0)</f>
        <v/>
      </c>
      <c r="S123">
        <f>IFERROR(L123*MAX(N123,1)/R123*IF(ISBLANK(K122),1,K122),0)</f>
        <v/>
      </c>
      <c r="AB123" s="7" t="inlineStr">
        <is>
          <t>^Warhead_Laser_Heavy</t>
        </is>
      </c>
    </row>
    <row r="124">
      <c r="B124" s="7" t="inlineStr">
        <is>
          <t xml:space="preserve">  ↳ LaserObelisk</t>
        </is>
      </c>
      <c r="C124" s="7" t="inlineStr">
        <is>
          <t>Armament@Elite</t>
        </is>
      </c>
      <c r="L124" s="6" t="n">
        <v>96000</v>
      </c>
      <c r="M124" s="6" t="n">
        <v>96</v>
      </c>
      <c r="N124" s="6" t="n">
        <v>1</v>
      </c>
      <c r="O124" s="6" t="n"/>
      <c r="P124" s="6" t="n">
        <v>9600</v>
      </c>
      <c r="Q124" s="6" t="n">
        <v>1.25</v>
      </c>
      <c r="R124">
        <f>M124+IF(N124&gt;1,N(O124)*(N124-1),0)</f>
        <v/>
      </c>
      <c r="S124">
        <f>IFERROR(L124*MAX(N124,1)/R124*IF(ISBLANK(K122),1,K122),0)</f>
        <v/>
      </c>
      <c r="AB124" s="7" t="inlineStr">
        <is>
          <t>^Warhead_Laser_Heavy</t>
        </is>
      </c>
    </row>
    <row r="125">
      <c r="B125" s="7" t="inlineStr">
        <is>
          <t xml:space="preserve">  ↳ LaserObeliskBurning</t>
        </is>
      </c>
      <c r="C125" s="7" t="inlineStr">
        <is>
          <t>Armament@Burning</t>
        </is>
      </c>
      <c r="L125" s="6" t="n">
        <v>120000</v>
      </c>
      <c r="M125" s="6" t="n">
        <v>96</v>
      </c>
      <c r="N125" s="6" t="n">
        <v>10</v>
      </c>
      <c r="O125" s="6" t="n">
        <v>1</v>
      </c>
      <c r="P125" s="6" t="n">
        <v>9600</v>
      </c>
      <c r="Q125" s="6" t="n">
        <v>1.25</v>
      </c>
      <c r="R125">
        <f>M125+IF(N125&gt;1,N(O125)*(N125-1),0)</f>
        <v/>
      </c>
      <c r="S125">
        <f>IFERROR(L125*MAX(N125,1)/R125*IF(ISBLANK(K122),1,K122),0)</f>
        <v/>
      </c>
      <c r="AB125" s="7" t="inlineStr">
        <is>
          <t>^Warhead_Laser_Heavy, ^Warhead_Inferno_Heavy</t>
        </is>
      </c>
    </row>
    <row r="126">
      <c r="A126" t="inlineStr">
        <is>
          <t>tiberiandawn</t>
        </is>
      </c>
      <c r="B126" t="inlineStr">
        <is>
          <t>td_nod_repairfacility</t>
        </is>
      </c>
      <c r="C126" t="inlineStr">
        <is>
          <t>Nod Repair Facility</t>
        </is>
      </c>
      <c r="D126" s="6" t="inlineStr">
        <is>
          <t>Building</t>
        </is>
      </c>
      <c r="E126" s="6" t="n">
        <v>250000</v>
      </c>
      <c r="F126" s="6" t="n"/>
      <c r="G126" t="inlineStr">
        <is>
          <t>Concrete</t>
        </is>
      </c>
      <c r="H126" s="6" t="n">
        <v>0.9429</v>
      </c>
      <c r="I126" s="6" t="n">
        <v>1</v>
      </c>
      <c r="J126" s="6" t="n">
        <v>1</v>
      </c>
      <c r="K126" s="6" t="n"/>
      <c r="X126" s="6" t="n">
        <v>1000</v>
      </c>
    </row>
    <row r="127">
      <c r="A127" t="inlineStr">
        <is>
          <t>tiberiandawn</t>
        </is>
      </c>
      <c r="B127" t="inlineStr">
        <is>
          <t>td_nod_samsite</t>
        </is>
      </c>
      <c r="C127" t="inlineStr">
        <is>
          <t>Nod SAM Site</t>
        </is>
      </c>
      <c r="D127" s="6" t="inlineStr">
        <is>
          <t>AntiAirDefense</t>
        </is>
      </c>
      <c r="E127" s="6" t="n">
        <v>100000</v>
      </c>
      <c r="F127" s="6" t="n"/>
      <c r="G127" t="inlineStr">
        <is>
          <t>Concrete</t>
        </is>
      </c>
      <c r="H127" s="6" t="n">
        <v>1</v>
      </c>
      <c r="I127" s="6" t="n">
        <v>0.225</v>
      </c>
      <c r="J127" s="6" t="n">
        <v>1</v>
      </c>
      <c r="K127" s="6" t="n"/>
      <c r="X127" s="6" t="n">
        <v>800</v>
      </c>
    </row>
    <row r="128">
      <c r="B128" s="7" t="inlineStr">
        <is>
          <t xml:space="preserve">  ↳ Dragon</t>
        </is>
      </c>
      <c r="C128" s="7" t="inlineStr">
        <is>
          <t>Armament</t>
        </is>
      </c>
      <c r="L128" s="6" t="n">
        <v>12000</v>
      </c>
      <c r="M128" s="6" t="n">
        <v>40</v>
      </c>
      <c r="N128" s="6" t="n">
        <v>2</v>
      </c>
      <c r="O128" s="6" t="n">
        <v>10</v>
      </c>
      <c r="P128" s="6" t="n">
        <v>12193</v>
      </c>
      <c r="Q128" s="6" t="n">
        <v>1</v>
      </c>
      <c r="R128">
        <f>M128+IF(N128&gt;1,N(O128)*(N128-1),0)</f>
        <v/>
      </c>
      <c r="S128">
        <f>IFERROR(L128*MAX(N128,1)/R128*IF(ISBLANK(K127),1,K127),0)</f>
        <v/>
      </c>
      <c r="AB128" s="7" t="inlineStr">
        <is>
          <t>^HeavyAAWeapon, ^ImpactGlow, ^HeavyMissile</t>
        </is>
      </c>
    </row>
    <row r="129">
      <c r="A129" t="inlineStr">
        <is>
          <t>tiberiandawn</t>
        </is>
      </c>
      <c r="B129" t="inlineStr">
        <is>
          <t>td_nod_templeofnod</t>
        </is>
      </c>
      <c r="C129" t="inlineStr">
        <is>
          <t>Temple of Nod</t>
        </is>
      </c>
      <c r="D129" s="6" t="inlineStr">
        <is>
          <t>Building</t>
        </is>
      </c>
      <c r="E129" s="6" t="n">
        <v>1000000</v>
      </c>
      <c r="F129" s="6" t="n"/>
      <c r="G129" t="inlineStr">
        <is>
          <t>Concrete</t>
        </is>
      </c>
      <c r="H129" s="6" t="n">
        <v>0.8462</v>
      </c>
      <c r="I129" s="6" t="n">
        <v>1</v>
      </c>
      <c r="J129" s="6" t="n">
        <v>1</v>
      </c>
      <c r="K129" s="6" t="n"/>
      <c r="X129" s="6" t="n">
        <v>10000</v>
      </c>
    </row>
    <row r="130">
      <c r="A130" t="inlineStr">
        <is>
          <t>tiberiandawn</t>
        </is>
      </c>
      <c r="B130" t="inlineStr">
        <is>
          <t>td_nod_templeprime</t>
        </is>
      </c>
      <c r="C130" t="inlineStr">
        <is>
          <t>Temple Prime</t>
        </is>
      </c>
      <c r="D130" s="6" t="inlineStr">
        <is>
          <t>Building</t>
        </is>
      </c>
      <c r="E130" s="6" t="n">
        <v>500000</v>
      </c>
      <c r="F130" s="6" t="n"/>
      <c r="G130" t="inlineStr">
        <is>
          <t>Concrete</t>
        </is>
      </c>
      <c r="H130" s="6" t="n">
        <v>0.4177</v>
      </c>
      <c r="I130" s="6" t="n">
        <v>1</v>
      </c>
      <c r="J130" s="6" t="n">
        <v>1</v>
      </c>
      <c r="K130" s="6" t="n"/>
      <c r="X130" s="6" t="n">
        <v>5000</v>
      </c>
    </row>
    <row r="131">
      <c r="A131" t="inlineStr">
        <is>
          <t>tiberiandawn</t>
        </is>
      </c>
      <c r="B131" t="inlineStr">
        <is>
          <t>td_nod_tiberiumrefinery</t>
        </is>
      </c>
      <c r="C131" t="inlineStr">
        <is>
          <t>Nod Tiberium Refinery</t>
        </is>
      </c>
      <c r="D131" s="6" t="inlineStr">
        <is>
          <t>Building</t>
        </is>
      </c>
      <c r="E131" s="6" t="n">
        <v>300000</v>
      </c>
      <c r="F131" s="6" t="n"/>
      <c r="G131" t="inlineStr">
        <is>
          <t>Concrete</t>
        </is>
      </c>
      <c r="H131" s="6" t="n">
        <v>1</v>
      </c>
      <c r="I131" s="6" t="n">
        <v>1</v>
      </c>
      <c r="J131" s="6" t="n">
        <v>1</v>
      </c>
      <c r="K131" s="6" t="n"/>
      <c r="X131" s="6" t="n">
        <v>3000</v>
      </c>
    </row>
    <row r="132">
      <c r="A132" s="4" t="inlineStr">
        <is>
          <t>UPGRADES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tiberiandawn</t>
        </is>
      </c>
      <c r="B133" t="inlineStr">
        <is>
          <t>td_nod_upgrade_advancedguerillatactics</t>
        </is>
      </c>
      <c r="C133" t="inlineStr">
        <is>
          <t>Advanced Guerilla Tactics</t>
        </is>
      </c>
      <c r="D133" s="6" t="inlineStr">
        <is>
          <t>Upgrade</t>
        </is>
      </c>
      <c r="E133" s="6" t="n"/>
      <c r="F133" s="6" t="n"/>
      <c r="H133" s="6" t="n">
        <v>0.3333</v>
      </c>
      <c r="I133" s="6" t="n">
        <v>1</v>
      </c>
      <c r="J133" s="6" t="n">
        <v>1</v>
      </c>
      <c r="K133" s="6" t="n"/>
      <c r="X133" s="6" t="n">
        <v>12500</v>
      </c>
    </row>
    <row r="134">
      <c r="A134" t="inlineStr">
        <is>
          <t>tiberiandawn</t>
        </is>
      </c>
      <c r="B134" t="inlineStr">
        <is>
          <t>td_nod_upgrade_blackmarketupgrades</t>
        </is>
      </c>
      <c r="C134" t="inlineStr">
        <is>
          <t>Black Market Upgrades</t>
        </is>
      </c>
      <c r="D134" s="6" t="inlineStr">
        <is>
          <t>ResearchedUpgrade</t>
        </is>
      </c>
      <c r="E134" s="6" t="n"/>
      <c r="F134" s="6" t="n"/>
      <c r="H134" s="6" t="n">
        <v>0.4177</v>
      </c>
      <c r="I134" s="6" t="n">
        <v>1</v>
      </c>
      <c r="J134" s="6" t="n">
        <v>1</v>
      </c>
      <c r="K134" s="6" t="n"/>
      <c r="X134" s="6" t="n">
        <v>7500</v>
      </c>
    </row>
    <row r="135">
      <c r="A135" t="inlineStr">
        <is>
          <t>tiberiandawn</t>
        </is>
      </c>
      <c r="B135" t="inlineStr">
        <is>
          <t>td_nod_upgrade_burninglasers</t>
        </is>
      </c>
      <c r="C135" t="inlineStr">
        <is>
          <t>Burning Lasers</t>
        </is>
      </c>
      <c r="D135" s="6" t="inlineStr">
        <is>
          <t>ResearchedUpgrade</t>
        </is>
      </c>
      <c r="E135" s="6" t="n"/>
      <c r="F135" s="6" t="n"/>
      <c r="H135" s="6" t="n">
        <v>0.3333</v>
      </c>
      <c r="I135" s="6" t="n">
        <v>1</v>
      </c>
      <c r="J135" s="6" t="n">
        <v>1</v>
      </c>
      <c r="K135" s="6" t="n"/>
      <c r="X135" s="6" t="n">
        <v>10000</v>
      </c>
    </row>
    <row r="136">
      <c r="A136" t="inlineStr">
        <is>
          <t>tiberiandawn</t>
        </is>
      </c>
      <c r="B136" t="inlineStr">
        <is>
          <t>td_nod_upgrade_cyberneticmodifications</t>
        </is>
      </c>
      <c r="C136" t="inlineStr">
        <is>
          <t>Cybernetic Modifications</t>
        </is>
      </c>
      <c r="D136" s="6" t="inlineStr">
        <is>
          <t>ResearchedUpgrade</t>
        </is>
      </c>
      <c r="E136" s="6" t="n"/>
      <c r="F136" s="6" t="n"/>
      <c r="H136" s="6" t="n">
        <v>0.3333</v>
      </c>
      <c r="I136" s="6" t="n">
        <v>1</v>
      </c>
      <c r="J136" s="6" t="n">
        <v>1</v>
      </c>
      <c r="K136" s="6" t="n"/>
      <c r="X136" s="6" t="n">
        <v>10000</v>
      </c>
    </row>
    <row r="137">
      <c r="A137" t="inlineStr">
        <is>
          <t>tiberiandawn</t>
        </is>
      </c>
      <c r="B137" t="inlineStr">
        <is>
          <t>td_nod_upgrade_elementalwarfare</t>
        </is>
      </c>
      <c r="C137" t="inlineStr">
        <is>
          <t>Elemental Warfare</t>
        </is>
      </c>
      <c r="D137" s="6" t="inlineStr">
        <is>
          <t>ResearchedUpgrade</t>
        </is>
      </c>
      <c r="E137" s="6" t="n"/>
      <c r="F137" s="6" t="n"/>
      <c r="H137" s="6" t="n">
        <v>0.4177</v>
      </c>
      <c r="I137" s="6" t="n">
        <v>1</v>
      </c>
      <c r="J137" s="6" t="n">
        <v>1</v>
      </c>
      <c r="K137" s="6" t="n"/>
      <c r="X137" s="6" t="n">
        <v>7500</v>
      </c>
    </row>
    <row r="138">
      <c r="A138" t="inlineStr">
        <is>
          <t>tiberiandawn</t>
        </is>
      </c>
      <c r="B138" t="inlineStr">
        <is>
          <t>td_nod_upgrade_elitecapacitors</t>
        </is>
      </c>
      <c r="C138" t="inlineStr">
        <is>
          <t>Elite Capacitors</t>
        </is>
      </c>
      <c r="D138" s="6" t="inlineStr">
        <is>
          <t>ResearchedUpgrade</t>
        </is>
      </c>
      <c r="E138" s="6" t="n"/>
      <c r="F138" s="6" t="n"/>
      <c r="H138" s="6" t="n">
        <v>0.3333</v>
      </c>
      <c r="I138" s="6" t="n">
        <v>1</v>
      </c>
      <c r="J138" s="6" t="n">
        <v>1</v>
      </c>
      <c r="K138" s="6" t="n"/>
      <c r="X138" s="6" t="n">
        <v>10000</v>
      </c>
    </row>
    <row r="139">
      <c r="A139" t="inlineStr">
        <is>
          <t>tiberiandawn</t>
        </is>
      </c>
      <c r="B139" t="inlineStr">
        <is>
          <t>td_nod_upgrade_guerillatactics</t>
        </is>
      </c>
      <c r="C139" t="inlineStr">
        <is>
          <t>Guerilla Tactics</t>
        </is>
      </c>
      <c r="D139" s="6" t="inlineStr">
        <is>
          <t>ResearchedUpgrade</t>
        </is>
      </c>
      <c r="E139" s="6" t="n"/>
      <c r="F139" s="6" t="n"/>
      <c r="H139" s="6" t="n">
        <v>0.8462</v>
      </c>
      <c r="I139" s="6" t="n">
        <v>1</v>
      </c>
      <c r="J139" s="6" t="n">
        <v>1</v>
      </c>
      <c r="K139" s="6" t="n"/>
      <c r="X139" s="6" t="n">
        <v>5000</v>
      </c>
    </row>
    <row r="140">
      <c r="A140" t="inlineStr">
        <is>
          <t>tiberiandawn</t>
        </is>
      </c>
      <c r="B140" t="inlineStr">
        <is>
          <t>td_nod_upgrade_improvedartilleries</t>
        </is>
      </c>
      <c r="C140" t="inlineStr">
        <is>
          <t>Improved Artilleries</t>
        </is>
      </c>
      <c r="D140" s="6" t="inlineStr">
        <is>
          <t>ResearchedUpgrade</t>
        </is>
      </c>
      <c r="E140" s="6" t="n"/>
      <c r="F140" s="6" t="n"/>
      <c r="H140" s="6" t="n">
        <v>0.8462</v>
      </c>
      <c r="I140" s="6" t="n">
        <v>1</v>
      </c>
      <c r="J140" s="6" t="n">
        <v>1</v>
      </c>
      <c r="K140" s="6" t="n"/>
      <c r="X140" s="6" t="n">
        <v>5000</v>
      </c>
    </row>
    <row r="141">
      <c r="A141" t="inlineStr">
        <is>
          <t>tiberiandawn</t>
        </is>
      </c>
      <c r="B141" t="inlineStr">
        <is>
          <t>td_nod_upgrade_tiberiuminfusion</t>
        </is>
      </c>
      <c r="C141" t="inlineStr">
        <is>
          <t>Tiberium Infusion</t>
        </is>
      </c>
      <c r="D141" s="6" t="inlineStr">
        <is>
          <t>ResearchedUpgrade</t>
        </is>
      </c>
      <c r="E141" s="6" t="n"/>
      <c r="F141" s="6" t="n"/>
      <c r="H141" s="6" t="n">
        <v>0.8462</v>
      </c>
      <c r="I141" s="6" t="n">
        <v>1</v>
      </c>
      <c r="J141" s="6" t="n">
        <v>1</v>
      </c>
      <c r="K141" s="6" t="n"/>
      <c r="X141" s="6" t="n">
        <v>5000</v>
      </c>
    </row>
    <row r="142">
      <c r="A142" t="inlineStr">
        <is>
          <t>tiberiandawn</t>
        </is>
      </c>
      <c r="B142" t="inlineStr">
        <is>
          <t>team_upgrade.up_advancedguerillatactics</t>
        </is>
      </c>
      <c r="C142" t="inlineStr">
        <is>
          <t>Advanced Guerrilla Tactics</t>
        </is>
      </c>
      <c r="D142" s="6" t="inlineStr">
        <is>
          <t>ResearchedUpgrade</t>
        </is>
      </c>
      <c r="E142" s="6" t="n"/>
      <c r="F142" s="6" t="n"/>
      <c r="H142" s="6" t="n">
        <v>1</v>
      </c>
      <c r="I142" s="6" t="n">
        <v>1</v>
      </c>
      <c r="J142" s="6" t="n">
        <v>1</v>
      </c>
      <c r="K142" s="6" t="n"/>
      <c r="X142" s="6" t="n"/>
    </row>
    <row r="143">
      <c r="A143" s="4" t="inlineStr">
        <is>
          <t>PROMOTIONS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t="inlineStr">
        <is>
          <t>tiberiandawn</t>
        </is>
      </c>
      <c r="B144" t="inlineStr">
        <is>
          <t>td_nod_promotion_blackhandflamer</t>
        </is>
      </c>
      <c r="C144" t="inlineStr">
        <is>
          <t>Unlock Black Hand Flamer</t>
        </is>
      </c>
      <c r="D144" s="6" t="inlineStr">
        <is>
          <t>PromotionUpgrade</t>
        </is>
      </c>
      <c r="E144" s="6" t="n"/>
      <c r="F144" s="6" t="n"/>
      <c r="H144" s="6" t="n">
        <v>1</v>
      </c>
      <c r="I144" s="6" t="n">
        <v>1</v>
      </c>
      <c r="J144" s="6" t="n">
        <v>1</v>
      </c>
      <c r="K144" s="6" t="n"/>
      <c r="X144" s="6" t="n"/>
    </row>
    <row r="145">
      <c r="A145" t="inlineStr">
        <is>
          <t>tiberiandawn</t>
        </is>
      </c>
      <c r="B145" t="inlineStr">
        <is>
          <t>td_nod_promotion_buggymkii</t>
        </is>
      </c>
      <c r="C145" t="inlineStr">
        <is>
          <t>Unlock Buggy Mk. II</t>
        </is>
      </c>
      <c r="D145" s="6" t="inlineStr">
        <is>
          <t>PromotionUpgrade</t>
        </is>
      </c>
      <c r="E145" s="6" t="n"/>
      <c r="F145" s="6" t="n"/>
      <c r="H145" s="6" t="n">
        <v>1</v>
      </c>
      <c r="I145" s="6" t="n">
        <v>1</v>
      </c>
      <c r="J145" s="6" t="n">
        <v>1</v>
      </c>
      <c r="K145" s="6" t="n"/>
      <c r="X145" s="6" t="n"/>
    </row>
    <row r="146">
      <c r="A146" t="inlineStr">
        <is>
          <t>tiberiandawn</t>
        </is>
      </c>
      <c r="B146" t="inlineStr">
        <is>
          <t>td_nod_promotion_chemicalattackbike</t>
        </is>
      </c>
      <c r="C146" t="inlineStr">
        <is>
          <t>Unlock Chemical Attack Bike</t>
        </is>
      </c>
      <c r="D146" s="6" t="inlineStr">
        <is>
          <t>PromotionUpgrade</t>
        </is>
      </c>
      <c r="E146" s="6" t="n"/>
      <c r="F146" s="6" t="n"/>
      <c r="H146" s="6" t="n">
        <v>1</v>
      </c>
      <c r="I146" s="6" t="n">
        <v>1</v>
      </c>
      <c r="J146" s="6" t="n">
        <v>1</v>
      </c>
      <c r="K146" s="6" t="n"/>
      <c r="X146" s="6" t="n"/>
    </row>
    <row r="147">
      <c r="A147" t="inlineStr">
        <is>
          <t>tiberiandawn</t>
        </is>
      </c>
      <c r="B147" t="inlineStr">
        <is>
          <t>td_nod_promotion_chemicalrocketsoldier</t>
        </is>
      </c>
      <c r="C147" t="inlineStr">
        <is>
          <t>Unlock Chemical Rocket Soldier</t>
        </is>
      </c>
      <c r="D147" s="6" t="inlineStr">
        <is>
          <t>PromotionUpgrade</t>
        </is>
      </c>
      <c r="E147" s="6" t="n"/>
      <c r="F147" s="6" t="n"/>
      <c r="H147" s="6" t="n">
        <v>1</v>
      </c>
      <c r="I147" s="6" t="n">
        <v>1</v>
      </c>
      <c r="J147" s="6" t="n">
        <v>1</v>
      </c>
      <c r="K147" s="6" t="n"/>
      <c r="X147" s="6" t="n"/>
    </row>
    <row r="148">
      <c r="A148" t="inlineStr">
        <is>
          <t>tiberiandawn</t>
        </is>
      </c>
      <c r="B148" t="inlineStr">
        <is>
          <t>td_nod_promotion_chemicalssmlauncher</t>
        </is>
      </c>
      <c r="C148" t="inlineStr">
        <is>
          <t>Unlock Chemical SSM Launcher</t>
        </is>
      </c>
      <c r="D148" s="6" t="inlineStr">
        <is>
          <t>PromotionUpgrade</t>
        </is>
      </c>
      <c r="E148" s="6" t="n"/>
      <c r="F148" s="6" t="n"/>
      <c r="H148" s="6" t="n">
        <v>1</v>
      </c>
      <c r="I148" s="6" t="n">
        <v>1</v>
      </c>
      <c r="J148" s="6" t="n">
        <v>1</v>
      </c>
      <c r="K148" s="6" t="n"/>
      <c r="X148" s="6" t="n"/>
    </row>
    <row r="149">
      <c r="A149" t="inlineStr">
        <is>
          <t>tiberiandawn</t>
        </is>
      </c>
      <c r="B149" t="inlineStr">
        <is>
          <t>td_nod_promotion_chemicalstealthtank</t>
        </is>
      </c>
      <c r="C149" t="inlineStr">
        <is>
          <t>Unlock Chemical Stealth Tank</t>
        </is>
      </c>
      <c r="D149" s="6" t="inlineStr">
        <is>
          <t>PromotionUpgrade</t>
        </is>
      </c>
      <c r="E149" s="6" t="n"/>
      <c r="F149" s="6" t="n"/>
      <c r="H149" s="6" t="n">
        <v>1</v>
      </c>
      <c r="I149" s="6" t="n">
        <v>1</v>
      </c>
      <c r="J149" s="6" t="n">
        <v>1</v>
      </c>
      <c r="K149" s="6" t="n"/>
      <c r="X149" s="6" t="n"/>
    </row>
    <row r="150">
      <c r="A150" t="inlineStr">
        <is>
          <t>tiberiandawn</t>
        </is>
      </c>
      <c r="B150" t="inlineStr">
        <is>
          <t>td_nod_promotion_flametankmkii</t>
        </is>
      </c>
      <c r="C150" t="inlineStr">
        <is>
          <t>Unlock Flame Tank Mk. II</t>
        </is>
      </c>
      <c r="D150" s="6" t="inlineStr">
        <is>
          <t>PromotionUpgrade</t>
        </is>
      </c>
      <c r="E150" s="6" t="n"/>
      <c r="F150" s="6" t="n"/>
      <c r="H150" s="6" t="n">
        <v>1</v>
      </c>
      <c r="I150" s="6" t="n">
        <v>1</v>
      </c>
      <c r="J150" s="6" t="n">
        <v>1</v>
      </c>
      <c r="K150" s="6" t="n"/>
      <c r="X150" s="6" t="n"/>
    </row>
    <row r="151">
      <c r="A151" t="inlineStr">
        <is>
          <t>tiberiandawn</t>
        </is>
      </c>
      <c r="B151" t="inlineStr">
        <is>
          <t>td_nod_promotion_lasertrooper</t>
        </is>
      </c>
      <c r="C151" t="inlineStr">
        <is>
          <t>Unlock Laser Trooper</t>
        </is>
      </c>
      <c r="D151" s="6" t="inlineStr">
        <is>
          <t>PromotionUpgrade</t>
        </is>
      </c>
      <c r="E151" s="6" t="n"/>
      <c r="F151" s="6" t="n"/>
      <c r="H151" s="6" t="n">
        <v>1</v>
      </c>
      <c r="I151" s="6" t="n">
        <v>1</v>
      </c>
      <c r="J151" s="6" t="n">
        <v>1</v>
      </c>
      <c r="K151" s="6" t="n"/>
      <c r="X151" s="6" t="n"/>
    </row>
    <row r="152">
      <c r="A152" t="inlineStr">
        <is>
          <t>tiberiandawn</t>
        </is>
      </c>
      <c r="B152" t="inlineStr">
        <is>
          <t>td_nod_promotion_lighttankmkii</t>
        </is>
      </c>
      <c r="C152" t="inlineStr">
        <is>
          <t>Unlock Light Tank Mk. II</t>
        </is>
      </c>
      <c r="D152" s="6" t="inlineStr">
        <is>
          <t>PromotionUpgrade</t>
        </is>
      </c>
      <c r="E152" s="6" t="n"/>
      <c r="F152" s="6" t="n"/>
      <c r="H152" s="6" t="n">
        <v>1</v>
      </c>
      <c r="I152" s="6" t="n">
        <v>1</v>
      </c>
      <c r="J152" s="6" t="n">
        <v>1</v>
      </c>
      <c r="K152" s="6" t="n"/>
      <c r="X152" s="6" t="n"/>
    </row>
    <row r="153">
      <c r="A153" t="inlineStr">
        <is>
          <t>tiberiandawn</t>
        </is>
      </c>
      <c r="B153" t="inlineStr">
        <is>
          <t>td_nod_promotion_specter</t>
        </is>
      </c>
      <c r="C153" t="inlineStr">
        <is>
          <t>Unlock Specter</t>
        </is>
      </c>
      <c r="D153" s="6" t="inlineStr">
        <is>
          <t>PromotionUpgrade</t>
        </is>
      </c>
      <c r="E153" s="6" t="n"/>
      <c r="F153" s="6" t="n"/>
      <c r="H153" s="6" t="n">
        <v>1</v>
      </c>
      <c r="I153" s="6" t="n">
        <v>1</v>
      </c>
      <c r="J153" s="6" t="n">
        <v>1</v>
      </c>
      <c r="K153" s="6" t="n"/>
      <c r="X153" s="6" t="n"/>
    </row>
    <row r="154">
      <c r="A154" t="inlineStr">
        <is>
          <t>tiberiandawn</t>
        </is>
      </c>
      <c r="B154" t="inlineStr">
        <is>
          <t>td_nod_promotion_upgradeupnodstealthname</t>
        </is>
      </c>
      <c r="C154" t="inlineStr">
        <is>
          <t>upgrade_upnodstealth.name</t>
        </is>
      </c>
      <c r="D154" s="6" t="inlineStr">
        <is>
          <t>PromotionUpgrade</t>
        </is>
      </c>
      <c r="E154" s="6" t="n"/>
      <c r="F154" s="6" t="n"/>
      <c r="H154" s="6" t="n">
        <v>1</v>
      </c>
      <c r="I154" s="6" t="n">
        <v>1</v>
      </c>
      <c r="J154" s="6" t="n">
        <v>1</v>
      </c>
      <c r="K154" s="6" t="n"/>
      <c r="X154" s="6" t="n"/>
    </row>
    <row r="155">
      <c r="A155" t="inlineStr">
        <is>
          <t>tiberiandawn</t>
        </is>
      </c>
      <c r="B155" t="inlineStr">
        <is>
          <t>td_nod_promotion_upgradeupnodvenomname</t>
        </is>
      </c>
      <c r="C155" t="inlineStr">
        <is>
          <t>upgrade_upnodvenom.name</t>
        </is>
      </c>
      <c r="D155" s="6" t="inlineStr">
        <is>
          <t>PromotionUpgrade</t>
        </is>
      </c>
      <c r="E155" s="6" t="n"/>
      <c r="F155" s="6" t="n"/>
      <c r="H155" s="6" t="n">
        <v>1</v>
      </c>
      <c r="I155" s="6" t="n">
        <v>1</v>
      </c>
      <c r="J155" s="6" t="n">
        <v>1</v>
      </c>
      <c r="K155" s="6" t="n"/>
      <c r="X15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5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ra1_agentdelphi</t>
        </is>
      </c>
      <c r="C3" t="inlineStr">
        <is>
          <t>Agent Delphi</t>
        </is>
      </c>
      <c r="D3" s="6" t="inlineStr">
        <is>
          <t>Infantry</t>
        </is>
      </c>
      <c r="E3" s="6" t="n">
        <v>2500</v>
      </c>
      <c r="F3" s="6" t="n">
        <v>71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Pistol</t>
        </is>
      </c>
      <c r="C4" s="7" t="inlineStr">
        <is>
          <t>Armament</t>
        </is>
      </c>
      <c r="L4" s="6" t="n">
        <v>100</v>
      </c>
      <c r="M4" s="6" t="n">
        <v>7</v>
      </c>
      <c r="N4" s="6" t="n">
        <v>1</v>
      </c>
      <c r="O4" s="6" t="n"/>
      <c r="P4" s="6" t="n">
        <v>3072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^LightMG</t>
        </is>
      </c>
    </row>
    <row r="5">
      <c r="A5" t="inlineStr">
        <is>
          <t>shared</t>
        </is>
      </c>
      <c r="B5" t="inlineStr">
        <is>
          <t>ra1_allies_alliedrocketsoldier</t>
        </is>
      </c>
      <c r="C5" t="inlineStr">
        <is>
          <t>Allied Rocket Soldier</t>
        </is>
      </c>
      <c r="D5" s="6" t="inlineStr">
        <is>
          <t>AntiTankAntiAirInfantry</t>
        </is>
      </c>
      <c r="E5" s="6" t="n">
        <v>10000</v>
      </c>
      <c r="F5" s="6" t="n">
        <v>55</v>
      </c>
      <c r="G5" t="inlineStr">
        <is>
          <t>Flak</t>
        </is>
      </c>
      <c r="H5" s="6" t="n">
        <v>1</v>
      </c>
      <c r="I5" s="6" t="n">
        <v>1</v>
      </c>
      <c r="J5" s="6" t="n">
        <v>1</v>
      </c>
      <c r="K5" s="6" t="n"/>
      <c r="P5">
        <f>MAX(P6,P8)</f>
        <v/>
      </c>
      <c r="S5">
        <f>S6+S8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RocketsRA</t>
        </is>
      </c>
      <c r="C6" s="7" t="inlineStr">
        <is>
          <t>Armament@PRIMARY</t>
        </is>
      </c>
      <c r="L6" s="6" t="n">
        <v>20000</v>
      </c>
      <c r="M6" s="6" t="n">
        <v>50</v>
      </c>
      <c r="N6" s="6" t="n">
        <v>1</v>
      </c>
      <c r="O6" s="6" t="n"/>
      <c r="P6" s="6" t="n">
        <v>6643</v>
      </c>
      <c r="Q6" s="6" t="n">
        <v>0.875</v>
      </c>
      <c r="R6">
        <f>M6+IF(N6&gt;1,N(O6)*(N6-1),0)</f>
        <v/>
      </c>
      <c r="S6">
        <f>IFERROR(L6*MAX(N6,1)/R6*IF(ISBLANK(K5),1,K5),0)</f>
        <v/>
      </c>
      <c r="AB6" s="7" t="inlineStr">
        <is>
          <t>^Warhead_MissileHE_Medium, ^Warhead_MissileHE_Light</t>
        </is>
      </c>
    </row>
    <row r="7">
      <c r="B7" s="7" t="inlineStr">
        <is>
          <t xml:space="preserve">  ↳ RocketsRA</t>
        </is>
      </c>
      <c r="C7" s="7" t="inlineStr">
        <is>
          <t>Armament@GARRISONED</t>
        </is>
      </c>
      <c r="L7" s="6" t="n">
        <v>20000</v>
      </c>
      <c r="M7" s="6" t="n">
        <v>50</v>
      </c>
      <c r="N7" s="6" t="n">
        <v>1</v>
      </c>
      <c r="O7" s="6" t="n"/>
      <c r="P7" s="6" t="n">
        <v>6643</v>
      </c>
      <c r="Q7" s="6" t="n">
        <v>0.875</v>
      </c>
      <c r="R7">
        <f>M7+IF(N7&gt;1,N(O7)*(N7-1),0)</f>
        <v/>
      </c>
      <c r="S7">
        <f>IFERROR(L7*MAX(N7,1)/R7*IF(ISBLANK(K5),1,K5),0)</f>
        <v/>
      </c>
      <c r="AB7" s="7" t="inlineStr">
        <is>
          <t>^Warhead_MissileHE_Medium, ^Warhead_MissileHE_Light</t>
        </is>
      </c>
    </row>
    <row r="8">
      <c r="B8" s="7" t="inlineStr">
        <is>
          <t xml:space="preserve">  ↳ RocketsRACryo</t>
        </is>
      </c>
      <c r="C8" s="7" t="inlineStr">
        <is>
          <t>Armament@Upgrade</t>
        </is>
      </c>
      <c r="L8" s="6" t="n">
        <v>20000</v>
      </c>
      <c r="M8" s="6" t="n">
        <v>50</v>
      </c>
      <c r="N8" s="6" t="n">
        <v>1</v>
      </c>
      <c r="O8" s="6" t="n"/>
      <c r="P8" s="6" t="n">
        <v>6643</v>
      </c>
      <c r="Q8" s="6" t="n">
        <v>0.875</v>
      </c>
      <c r="R8">
        <f>M8+IF(N8&gt;1,N(O8)*(N8-1),0)</f>
        <v/>
      </c>
      <c r="S8">
        <f>IFERROR(L8*MAX(N8,1)/R8*IF(ISBLANK(K5),1,K5),0)</f>
        <v/>
      </c>
      <c r="AB8" s="7" t="inlineStr">
        <is>
          <t>^Warhead_MissileHE_Medium, ^Warhead_MissileHE_Light</t>
        </is>
      </c>
    </row>
    <row r="9">
      <c r="B9" s="7" t="inlineStr">
        <is>
          <t xml:space="preserve">  ↳ RocketsRACryo</t>
        </is>
      </c>
      <c r="C9" s="7" t="inlineStr">
        <is>
          <t>Armament@UpgradeGARRISONED</t>
        </is>
      </c>
      <c r="L9" s="6" t="n">
        <v>20000</v>
      </c>
      <c r="M9" s="6" t="n">
        <v>50</v>
      </c>
      <c r="N9" s="6" t="n">
        <v>1</v>
      </c>
      <c r="O9" s="6" t="n"/>
      <c r="P9" s="6" t="n">
        <v>6643</v>
      </c>
      <c r="Q9" s="6" t="n">
        <v>0.875</v>
      </c>
      <c r="R9">
        <f>M9+IF(N9&gt;1,N(O9)*(N9-1),0)</f>
        <v/>
      </c>
      <c r="S9">
        <f>IFERROR(L9*MAX(N9,1)/R9*IF(ISBLANK(K5),1,K5),0)</f>
        <v/>
      </c>
      <c r="AB9" s="7" t="inlineStr">
        <is>
          <t>^Warhead_MissileHE_Medium, ^Warhead_MissileHE_Light</t>
        </is>
      </c>
    </row>
    <row r="10">
      <c r="A10" t="inlineStr">
        <is>
          <t>shared</t>
        </is>
      </c>
      <c r="B10" t="inlineStr">
        <is>
          <t>ra1_allies_rifleinfantry</t>
        </is>
      </c>
      <c r="C10" t="inlineStr">
        <is>
          <t>Rifle Infantry</t>
        </is>
      </c>
      <c r="D10" s="6" t="inlineStr">
        <is>
          <t>ScoutInfantry</t>
        </is>
      </c>
      <c r="E10" s="6" t="n">
        <v>27000</v>
      </c>
      <c r="F10" s="6" t="n">
        <v>55</v>
      </c>
      <c r="G10" t="inlineStr">
        <is>
          <t>None</t>
        </is>
      </c>
      <c r="H10" s="6" t="n">
        <v>1</v>
      </c>
      <c r="I10" s="6" t="n">
        <v>1</v>
      </c>
      <c r="J10" s="6" t="n">
        <v>1</v>
      </c>
      <c r="K10" s="6" t="n">
        <v>0.004699999999999999</v>
      </c>
      <c r="P10">
        <f>MAX(P11,P13)</f>
        <v/>
      </c>
      <c r="S10">
        <f>S11+S13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(((E10/20000)+(F10/60)+(S10/60)+((P10/5000)*J10))*100/4+(((E10/20000)*(F10/60))+(((P10/5000)*J10)*(S10/60)))*100/2+((E10/20000)*(F10/60)*((P10/5000)*J10)*(S10/60))*100)*(H10/1.0)/3</f>
        <v/>
      </c>
      <c r="X10" s="6" t="n">
        <v>100</v>
      </c>
      <c r="Y10">
        <f>IFERROR(W10-X10,"")</f>
        <v/>
      </c>
      <c r="Z10">
        <f>IFERROR(ABS(Y10)/MAX(X10,1),"")</f>
        <v/>
      </c>
      <c r="AA10">
        <f>IFERROR(ROUND(((3*X10-(((E10/20000)+(F10/60)+(S10/60))*100/4+((E10/20000)*(F10/60))*100/2)*(H10/1.0))/(100/4+((S10/60))*100/2+((E10/20000)*(F10/60)*(S10/60))*100)*(H10/1.0)*5000)/J10,-1),"")</f>
        <v/>
      </c>
    </row>
    <row r="11">
      <c r="B11" s="7" t="inlineStr">
        <is>
          <t xml:space="preserve">  ↳ ra1_allies_rifleinfantry_carbine</t>
        </is>
      </c>
      <c r="C11" s="7" t="inlineStr">
        <is>
          <t>Armament@PRIMARY</t>
        </is>
      </c>
      <c r="L11" s="6" t="n">
        <v>2000</v>
      </c>
      <c r="M11" s="6" t="n">
        <v>50</v>
      </c>
      <c r="N11" s="6" t="n">
        <v>3</v>
      </c>
      <c r="O11" s="6" t="n">
        <v>4</v>
      </c>
      <c r="P11" s="6" t="n">
        <v>5500</v>
      </c>
      <c r="Q11" s="6" t="n">
        <v>0.75</v>
      </c>
      <c r="R11">
        <f>M11+IF(N11&gt;1,N(O11)*(N11-1),0)</f>
        <v/>
      </c>
      <c r="S11">
        <f>IFERROR(L11*MAX(N11,1)/R11*IF(ISBLANK(K10),1,K10),0)</f>
        <v/>
      </c>
      <c r="AB11" s="7" t="inlineStr">
        <is>
          <t>^Warhead_Bullet_Light</t>
        </is>
      </c>
    </row>
    <row r="12">
      <c r="B12" s="7" t="inlineStr">
        <is>
          <t xml:space="preserve">  ↳ ra1_allies_rifleinfantry_carbine</t>
        </is>
      </c>
      <c r="C12" s="7" t="inlineStr">
        <is>
          <t>Armament@GARRISONED</t>
        </is>
      </c>
      <c r="L12" s="6" t="n">
        <v>2000</v>
      </c>
      <c r="M12" s="6" t="n">
        <v>50</v>
      </c>
      <c r="N12" s="6" t="n">
        <v>3</v>
      </c>
      <c r="O12" s="6" t="n">
        <v>4</v>
      </c>
      <c r="P12" s="6" t="n">
        <v>5500</v>
      </c>
      <c r="Q12" s="6" t="n">
        <v>0.75</v>
      </c>
      <c r="R12">
        <f>M12+IF(N12&gt;1,N(O12)*(N12-1),0)</f>
        <v/>
      </c>
      <c r="S12">
        <f>IFERROR(L12*MAX(N12,1)/R12*IF(ISBLANK(K10),1,K10),0)</f>
        <v/>
      </c>
      <c r="AB12" s="7" t="inlineStr">
        <is>
          <t>^Warhead_Bullet_Light</t>
        </is>
      </c>
    </row>
    <row r="13">
      <c r="B13" s="7" t="inlineStr">
        <is>
          <t xml:space="preserve">  ↳ ra1_allies_rifleinfantry_carbine_cryo</t>
        </is>
      </c>
      <c r="C13" s="7" t="inlineStr">
        <is>
          <t>Armament@Upgrade</t>
        </is>
      </c>
      <c r="L13" s="6" t="n">
        <v>2000</v>
      </c>
      <c r="M13" s="6" t="n">
        <v>50</v>
      </c>
      <c r="N13" s="6" t="n">
        <v>3</v>
      </c>
      <c r="O13" s="6" t="n">
        <v>4</v>
      </c>
      <c r="P13" s="6" t="n">
        <v>5500</v>
      </c>
      <c r="Q13" s="6" t="n">
        <v>0.75</v>
      </c>
      <c r="R13">
        <f>M13+IF(N13&gt;1,N(O13)*(N13-1),0)</f>
        <v/>
      </c>
      <c r="S13">
        <f>IFERROR(L13*MAX(N13,1)/R13*IF(ISBLANK(K10),1,K10),0)</f>
        <v/>
      </c>
      <c r="AB13" s="7" t="inlineStr">
        <is>
          <t>^Warhead_Bullet_Light</t>
        </is>
      </c>
    </row>
    <row r="14">
      <c r="B14" s="7" t="inlineStr">
        <is>
          <t xml:space="preserve">  ↳ ra1_allies_rifleinfantry_carbine_cryo</t>
        </is>
      </c>
      <c r="C14" s="7" t="inlineStr">
        <is>
          <t>Armament@UpgradeGARRISONED</t>
        </is>
      </c>
      <c r="L14" s="6" t="n">
        <v>2000</v>
      </c>
      <c r="M14" s="6" t="n">
        <v>50</v>
      </c>
      <c r="N14" s="6" t="n">
        <v>3</v>
      </c>
      <c r="O14" s="6" t="n">
        <v>4</v>
      </c>
      <c r="P14" s="6" t="n">
        <v>5500</v>
      </c>
      <c r="Q14" s="6" t="n">
        <v>0.75</v>
      </c>
      <c r="R14">
        <f>M14+IF(N14&gt;1,N(O14)*(N14-1),0)</f>
        <v/>
      </c>
      <c r="S14">
        <f>IFERROR(L14*MAX(N14,1)/R14*IF(ISBLANK(K10),1,K10),0)</f>
        <v/>
      </c>
      <c r="AB14" s="7" t="inlineStr">
        <is>
          <t>^Warhead_Bullet_Light</t>
        </is>
      </c>
    </row>
    <row r="15">
      <c r="A15" t="inlineStr">
        <is>
          <t>shared</t>
        </is>
      </c>
      <c r="B15" t="inlineStr">
        <is>
          <t>ra1_einstein</t>
        </is>
      </c>
      <c r="C15" t="inlineStr">
        <is>
          <t>Prof. Einstein</t>
        </is>
      </c>
      <c r="D15" s="6" t="inlineStr">
        <is>
          <t>Infantry</t>
        </is>
      </c>
      <c r="E15" s="6" t="n">
        <v>2500</v>
      </c>
      <c r="F15" s="6" t="n">
        <v>71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K15" s="6" t="n"/>
      <c r="X15" s="6" t="n">
        <v>10</v>
      </c>
    </row>
    <row r="16">
      <c r="A16" t="inlineStr">
        <is>
          <t>shared</t>
        </is>
      </c>
      <c r="B16" t="inlineStr">
        <is>
          <t>ra1_engineer</t>
        </is>
      </c>
      <c r="C16" t="inlineStr">
        <is>
          <t>Engineer</t>
        </is>
      </c>
      <c r="D16" s="6" t="inlineStr">
        <is>
          <t>Infantry</t>
        </is>
      </c>
      <c r="E16" s="6" t="n">
        <v>5000</v>
      </c>
      <c r="F16" s="6" t="n">
        <v>50</v>
      </c>
      <c r="G16" t="inlineStr">
        <is>
          <t>None</t>
        </is>
      </c>
      <c r="H16" s="6" t="n">
        <v>1</v>
      </c>
      <c r="I16" s="6" t="n">
        <v>1</v>
      </c>
      <c r="J16" s="6" t="n">
        <v>1</v>
      </c>
      <c r="K16" s="6" t="n"/>
      <c r="X16" s="6" t="n">
        <v>500</v>
      </c>
    </row>
    <row r="17">
      <c r="B17" s="7" t="inlineStr">
        <is>
          <t xml:space="preserve">  ↳ DefuseKit</t>
        </is>
      </c>
      <c r="C17" s="7" t="inlineStr">
        <is>
          <t>Armament@defuse</t>
        </is>
      </c>
      <c r="L17" s="6" t="n"/>
      <c r="M17" s="6" t="n">
        <v>20</v>
      </c>
      <c r="N17" s="6" t="n">
        <v>1</v>
      </c>
      <c r="O17" s="6" t="n"/>
      <c r="P17" s="6" t="n">
        <v>1536</v>
      </c>
      <c r="Q17" s="6" t="n">
        <v>1</v>
      </c>
      <c r="R17">
        <f>M17+IF(N17&gt;1,N(O17)*(N17-1),0)</f>
        <v/>
      </c>
      <c r="S17">
        <f>IFERROR(L17*MAX(N17,1)/R17*IF(ISBLANK(K16),1,K16),0)</f>
        <v/>
      </c>
      <c r="AB17" s="7" t="inlineStr">
        <is>
          <t>^RemovesIvanBombs, ^RemovesTerrorDrone</t>
        </is>
      </c>
    </row>
    <row r="18">
      <c r="B18" s="7" t="inlineStr">
        <is>
          <t xml:space="preserve">  ↳ LeechDisinfect</t>
        </is>
      </c>
      <c r="C18" s="7" t="inlineStr">
        <is>
          <t>Armament@leechdisinfect</t>
        </is>
      </c>
      <c r="L18" s="6" t="n"/>
      <c r="M18" s="6" t="n">
        <v>100</v>
      </c>
      <c r="N18" s="6" t="n">
        <v>1</v>
      </c>
      <c r="O18" s="6" t="n"/>
      <c r="P18" s="6" t="n">
        <v>1536</v>
      </c>
      <c r="Q18" s="6" t="n">
        <v>1</v>
      </c>
      <c r="R18">
        <f>M18+IF(N18&gt;1,N(O18)*(N18-1),0)</f>
        <v/>
      </c>
      <c r="S18">
        <f>IFERROR(L18*MAX(N18,1)/R18*IF(ISBLANK(K16),1,K16),0)</f>
        <v/>
      </c>
      <c r="AB18" s="7" t="inlineStr"/>
    </row>
    <row r="19">
      <c r="A19" t="inlineStr">
        <is>
          <t>shared</t>
        </is>
      </c>
      <c r="B19" t="inlineStr">
        <is>
          <t>ra1_general</t>
        </is>
      </c>
      <c r="C19" t="inlineStr">
        <is>
          <t>General</t>
        </is>
      </c>
      <c r="D19" s="6" t="inlineStr">
        <is>
          <t>Infantry</t>
        </is>
      </c>
      <c r="E19" s="6" t="n">
        <v>2500</v>
      </c>
      <c r="F19" s="6" t="n">
        <v>56</v>
      </c>
      <c r="G19" t="inlineStr">
        <is>
          <t>None</t>
        </is>
      </c>
      <c r="H19" s="6" t="n">
        <v>1</v>
      </c>
      <c r="I19" s="6" t="n">
        <v>1</v>
      </c>
      <c r="J19" s="6" t="n">
        <v>1</v>
      </c>
      <c r="K19" s="6" t="n"/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10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Pistol</t>
        </is>
      </c>
      <c r="C20" s="7" t="inlineStr">
        <is>
          <t>Armament</t>
        </is>
      </c>
      <c r="L20" s="6" t="n">
        <v>100</v>
      </c>
      <c r="M20" s="6" t="n">
        <v>7</v>
      </c>
      <c r="N20" s="6" t="n">
        <v>1</v>
      </c>
      <c r="O20" s="6" t="n"/>
      <c r="P20" s="6" t="n">
        <v>3072</v>
      </c>
      <c r="Q20" s="6" t="n">
        <v>1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^LightMG</t>
        </is>
      </c>
    </row>
    <row r="21">
      <c r="A21" t="inlineStr">
        <is>
          <t>shared</t>
        </is>
      </c>
      <c r="B21" t="inlineStr">
        <is>
          <t>ra1_scientist</t>
        </is>
      </c>
      <c r="C21" t="inlineStr">
        <is>
          <t>Scientist</t>
        </is>
      </c>
      <c r="D21" s="6" t="inlineStr">
        <is>
          <t>Infantry</t>
        </is>
      </c>
      <c r="E21" s="6" t="n">
        <v>2500</v>
      </c>
      <c r="F21" s="6" t="n">
        <v>56</v>
      </c>
      <c r="G21" t="inlineStr">
        <is>
          <t>None</t>
        </is>
      </c>
      <c r="H21" s="6" t="n">
        <v>1</v>
      </c>
      <c r="I21" s="6" t="n">
        <v>1</v>
      </c>
      <c r="J21" s="6" t="n">
        <v>1</v>
      </c>
      <c r="K21" s="6" t="n"/>
      <c r="X21" s="6" t="n">
        <v>500</v>
      </c>
    </row>
    <row r="22">
      <c r="A22" t="inlineStr">
        <is>
          <t>shared</t>
        </is>
      </c>
      <c r="B22" t="inlineStr">
        <is>
          <t>ra1_soviets_molotovconscript</t>
        </is>
      </c>
      <c r="C22" t="inlineStr">
        <is>
          <t>Molotov Conscript</t>
        </is>
      </c>
      <c r="D22" s="6" t="inlineStr">
        <is>
          <t>GrenadierInfantry</t>
        </is>
      </c>
      <c r="E22" s="6" t="n">
        <v>11000</v>
      </c>
      <c r="F22" s="6" t="n">
        <v>67</v>
      </c>
      <c r="G22" t="inlineStr">
        <is>
          <t>None</t>
        </is>
      </c>
      <c r="H22" s="6" t="n">
        <v>1</v>
      </c>
      <c r="I22" s="6" t="n">
        <v>0.4</v>
      </c>
      <c r="J22" s="6" t="n">
        <v>1.25</v>
      </c>
      <c r="K22" s="6" t="n"/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200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ConscriptMolotov</t>
        </is>
      </c>
      <c r="C23" s="7" t="inlineStr">
        <is>
          <t>Armament</t>
        </is>
      </c>
      <c r="L23" s="6" t="n">
        <v>16000</v>
      </c>
      <c r="M23" s="6" t="n">
        <v>50</v>
      </c>
      <c r="N23" s="6" t="n">
        <v>1</v>
      </c>
      <c r="O23" s="6" t="n"/>
      <c r="P23" s="6" t="n">
        <v>5725</v>
      </c>
      <c r="Q23" s="6" t="n">
        <v>0.75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^Warhead_Demolition_Light, ^Warhead_Flame_Light</t>
        </is>
      </c>
    </row>
    <row r="24">
      <c r="B24" s="7" t="inlineStr">
        <is>
          <t xml:space="preserve">  ↳ ConscriptMolotov</t>
        </is>
      </c>
      <c r="C24" s="7" t="inlineStr">
        <is>
          <t>Armament@GARRISONED</t>
        </is>
      </c>
      <c r="L24" s="6" t="n">
        <v>16000</v>
      </c>
      <c r="M24" s="6" t="n">
        <v>50</v>
      </c>
      <c r="N24" s="6" t="n">
        <v>1</v>
      </c>
      <c r="O24" s="6" t="n"/>
      <c r="P24" s="6" t="n">
        <v>5725</v>
      </c>
      <c r="Q24" s="6" t="n">
        <v>0.75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^Warhead_Demolition_Light, ^Warhead_Flame_Light</t>
        </is>
      </c>
    </row>
    <row r="25">
      <c r="A25" t="inlineStr">
        <is>
          <t>shared</t>
        </is>
      </c>
      <c r="B25" t="inlineStr">
        <is>
          <t>ra1_technician</t>
        </is>
      </c>
      <c r="C25" t="inlineStr">
        <is>
          <t>Technician</t>
        </is>
      </c>
      <c r="D25" s="6" t="inlineStr">
        <is>
          <t>Infantry</t>
        </is>
      </c>
      <c r="E25" s="6" t="n">
        <v>2500</v>
      </c>
      <c r="F25" s="6" t="n">
        <v>56</v>
      </c>
      <c r="G25" t="inlineStr">
        <is>
          <t>None</t>
        </is>
      </c>
      <c r="H25" s="6" t="n">
        <v>1</v>
      </c>
      <c r="I25" s="6" t="n">
        <v>1</v>
      </c>
      <c r="J25" s="6" t="n">
        <v>1</v>
      </c>
      <c r="K25" s="6" t="n"/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10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Pistol</t>
        </is>
      </c>
      <c r="C26" s="7" t="inlineStr">
        <is>
          <t>Armament</t>
        </is>
      </c>
      <c r="L26" s="6" t="n">
        <v>100</v>
      </c>
      <c r="M26" s="6" t="n">
        <v>7</v>
      </c>
      <c r="N26" s="6" t="n">
        <v>1</v>
      </c>
      <c r="O26" s="6" t="n"/>
      <c r="P26" s="6" t="n">
        <v>3072</v>
      </c>
      <c r="Q26" s="6" t="n">
        <v>1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^LightMG</t>
        </is>
      </c>
    </row>
    <row r="27">
      <c r="A27" s="4" t="inlineStr">
        <is>
          <t>VEHICLES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t="inlineStr">
        <is>
          <t>shared</t>
        </is>
      </c>
      <c r="B28" t="inlineStr">
        <is>
          <t>ra1_allies_alliedapc</t>
        </is>
      </c>
      <c r="C28" t="inlineStr">
        <is>
          <t>Allied APC</t>
        </is>
      </c>
      <c r="D28" s="6" t="inlineStr">
        <is>
          <t>SupportVehicle</t>
        </is>
      </c>
      <c r="E28" s="6" t="n">
        <v>50000</v>
      </c>
      <c r="F28" s="6" t="n">
        <v>105</v>
      </c>
      <c r="G28" t="inlineStr">
        <is>
          <t>Medium</t>
        </is>
      </c>
      <c r="H28" s="6" t="n">
        <v>1</v>
      </c>
      <c r="I28" s="6" t="n">
        <v>1</v>
      </c>
      <c r="J28" s="6" t="n">
        <v>1</v>
      </c>
      <c r="K28" s="6" t="n"/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1300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APCGunAllies</t>
        </is>
      </c>
      <c r="C29" s="7" t="inlineStr">
        <is>
          <t>Armament@PRIMARY</t>
        </is>
      </c>
      <c r="L29" s="6" t="n">
        <v>4000</v>
      </c>
      <c r="M29" s="6" t="n">
        <v>10</v>
      </c>
      <c r="N29" s="6" t="n">
        <v>1</v>
      </c>
      <c r="O29" s="6" t="n"/>
      <c r="P29" s="6" t="n">
        <v>5978</v>
      </c>
      <c r="Q29" s="6" t="n">
        <v>1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^Warhead_Bullet_Medium, ^Warhead_Flak_Medium</t>
        </is>
      </c>
    </row>
    <row r="30">
      <c r="B30" s="7" t="inlineStr">
        <is>
          <t xml:space="preserve">  ↳ APCGunAllies_AA</t>
        </is>
      </c>
      <c r="C30" s="7" t="inlineStr">
        <is>
          <t>Armament@SECONDARY</t>
        </is>
      </c>
      <c r="L30" s="6" t="n">
        <v>4000</v>
      </c>
      <c r="M30" s="6" t="n">
        <v>10</v>
      </c>
      <c r="N30" s="6" t="n">
        <v>1</v>
      </c>
      <c r="O30" s="6" t="n"/>
      <c r="P30" s="6" t="n">
        <v>8967</v>
      </c>
      <c r="Q30" s="6" t="n">
        <v>1</v>
      </c>
      <c r="R30">
        <f>M30+IF(N30&gt;1,N(O30)*(N30-1),0)</f>
        <v/>
      </c>
      <c r="S30">
        <f>IFERROR(L30*MAX(N30,1)/R30*IF(ISBLANK(K28),1,K28),0)</f>
        <v/>
      </c>
      <c r="AB30" s="7" t="inlineStr">
        <is>
          <t>^Warhead_Bullet_Medium, ^Warhead_Flak_Medium</t>
        </is>
      </c>
    </row>
    <row r="31">
      <c r="A31" t="inlineStr">
        <is>
          <t>shared</t>
        </is>
      </c>
      <c r="B31" t="inlineStr">
        <is>
          <t>ra1_allies_alliedcybertank</t>
        </is>
      </c>
      <c r="C31" t="inlineStr">
        <is>
          <t>Allied Cyber Tank</t>
        </is>
      </c>
      <c r="D31" s="6" t="inlineStr">
        <is>
          <t>MainBattleTank</t>
        </is>
      </c>
      <c r="E31" s="6" t="n">
        <v>160000</v>
      </c>
      <c r="F31" s="6" t="n">
        <v>75</v>
      </c>
      <c r="G31" t="inlineStr">
        <is>
          <t>Heavy</t>
        </is>
      </c>
      <c r="H31" s="6" t="n">
        <v>1</v>
      </c>
      <c r="I31" s="6" t="n">
        <v>1</v>
      </c>
      <c r="J31" s="6" t="n">
        <v>1</v>
      </c>
      <c r="K31" s="6" t="n"/>
      <c r="P31">
        <f>MAX(P32)</f>
        <v/>
      </c>
      <c r="S31">
        <f>S32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(((E31/240000)+(F31/95)+(S31/600)+((P31/5500)*J31))*800/4+(((E31/240000)*(F31/95))+(((P31/5500)*J31)*(S31/600)))*800/2+((E31/240000)*(F31/95)*((P31/5500)*J31)*(S31/600))*800)*(H31/1.0)/3</f>
        <v/>
      </c>
      <c r="X31" s="6" t="n">
        <v>1300</v>
      </c>
      <c r="Y31">
        <f>IFERROR(W31-X31,"")</f>
        <v/>
      </c>
      <c r="Z31">
        <f>IFERROR(ABS(Y31)/MAX(X31,1),"")</f>
        <v/>
      </c>
      <c r="AA31">
        <f>IFERROR(ROUND(((3*X31-(((E31/240000)+(F31/95)+(S31/600))*800/4+((E31/240000)*(F31/95))*800/2)*(H31/1.0))/(800/4+((S31/600))*800/2+((E31/240000)*(F31/95)*(S31/600))*800)*(H31/1.0)*5500)/J31,-1),"")</f>
        <v/>
      </c>
    </row>
    <row r="32">
      <c r="B32" s="7" t="inlineStr">
        <is>
          <t xml:space="preserve">  ↳ TigerCannon</t>
        </is>
      </c>
      <c r="C32" s="7" t="inlineStr">
        <is>
          <t>Armament</t>
        </is>
      </c>
      <c r="L32" s="6" t="n">
        <v>16000</v>
      </c>
      <c r="M32" s="6" t="n">
        <v>60</v>
      </c>
      <c r="N32" s="6" t="n">
        <v>1</v>
      </c>
      <c r="O32" s="6" t="n"/>
      <c r="P32" s="6" t="n">
        <v>5915</v>
      </c>
      <c r="Q32" s="6" t="n">
        <v>1.125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^Warhead_CannonHE_Heavy, ^Warhead_CannonHE_Medium</t>
        </is>
      </c>
    </row>
    <row r="33">
      <c r="A33" s="4" t="inlineStr">
        <is>
          <t>AIRCRAFT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t="inlineStr">
        <is>
          <t>shared</t>
        </is>
      </c>
      <c r="B34" t="inlineStr">
        <is>
          <t>japan_badger</t>
        </is>
      </c>
      <c r="C34" t="inlineStr">
        <is>
          <t>Badger</t>
        </is>
      </c>
      <c r="D34" s="6" t="inlineStr">
        <is>
          <t>Aircraft</t>
        </is>
      </c>
      <c r="E34" s="6" t="n">
        <v>150000</v>
      </c>
      <c r="F34" s="6" t="n">
        <v>175</v>
      </c>
      <c r="G34" t="inlineStr">
        <is>
          <t>Bomber</t>
        </is>
      </c>
      <c r="H34" s="6" t="n">
        <v>1</v>
      </c>
      <c r="I34" s="6" t="n">
        <v>1</v>
      </c>
      <c r="J34" s="6" t="n">
        <v>1</v>
      </c>
      <c r="K34" s="6" t="n"/>
      <c r="X34" s="6" t="n">
        <v>4000</v>
      </c>
    </row>
    <row r="35">
      <c r="A35" t="inlineStr">
        <is>
          <t>shared</t>
        </is>
      </c>
      <c r="B35" t="inlineStr">
        <is>
          <t>japan_japanesesuperbomber</t>
        </is>
      </c>
      <c r="C35" t="inlineStr">
        <is>
          <t>Japanese Super Bomber</t>
        </is>
      </c>
      <c r="D35" s="6" t="inlineStr">
        <is>
          <t>Aircraft</t>
        </is>
      </c>
      <c r="E35" s="6" t="n">
        <v>125000</v>
      </c>
      <c r="F35" s="6" t="n">
        <v>200</v>
      </c>
      <c r="G35" t="inlineStr">
        <is>
          <t>Bomber</t>
        </is>
      </c>
      <c r="H35" s="6" t="n">
        <v>1</v>
      </c>
      <c r="I35" s="6" t="n">
        <v>1</v>
      </c>
      <c r="J35" s="6" t="n">
        <v>1</v>
      </c>
      <c r="K35" s="6" t="n"/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5000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JapanSuperBomb</t>
        </is>
      </c>
      <c r="C36" s="7" t="inlineStr">
        <is>
          <t>Armament</t>
        </is>
      </c>
      <c r="L36" s="6" t="n">
        <v>50000</v>
      </c>
      <c r="M36" s="6" t="n">
        <v>5</v>
      </c>
      <c r="N36" s="6" t="n">
        <v>1</v>
      </c>
      <c r="O36" s="6" t="n"/>
      <c r="P36" s="6" t="n">
        <v>3000</v>
      </c>
      <c r="Q36" s="6" t="n">
        <v>1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^Grenade, ^ShrapnelWeapon, ^MediumChemicalWeapon, ^MediumFlameWeapon, ^HeavyBomb</t>
        </is>
      </c>
    </row>
    <row r="37">
      <c r="A37" t="inlineStr">
        <is>
          <t>shared</t>
        </is>
      </c>
      <c r="B37" t="inlineStr">
        <is>
          <t>ra1_allies_badger</t>
        </is>
      </c>
      <c r="C37" t="inlineStr">
        <is>
          <t>Badger</t>
        </is>
      </c>
      <c r="D37" s="6" t="inlineStr">
        <is>
          <t>Aircraft</t>
        </is>
      </c>
      <c r="E37" s="6" t="n">
        <v>150000</v>
      </c>
      <c r="F37" s="6" t="n">
        <v>175</v>
      </c>
      <c r="G37" t="inlineStr">
        <is>
          <t>Bomber</t>
        </is>
      </c>
      <c r="H37" s="6" t="n">
        <v>1</v>
      </c>
      <c r="I37" s="6" t="n">
        <v>1</v>
      </c>
      <c r="J37" s="6" t="n">
        <v>1</v>
      </c>
      <c r="K37" s="6" t="n"/>
      <c r="X37" s="6" t="n">
        <v>4000</v>
      </c>
    </row>
    <row r="38">
      <c r="A38" t="inlineStr">
        <is>
          <t>shared</t>
        </is>
      </c>
      <c r="B38" t="inlineStr">
        <is>
          <t>ra1_allies_cargoplanebomber</t>
        </is>
      </c>
      <c r="C38" t="inlineStr">
        <is>
          <t>Cargo Plane</t>
        </is>
      </c>
      <c r="D38" s="6" t="inlineStr">
        <is>
          <t>Aircraft</t>
        </is>
      </c>
      <c r="E38" s="6" t="n">
        <v>150000</v>
      </c>
      <c r="F38" s="6" t="n">
        <v>175</v>
      </c>
      <c r="G38" t="inlineStr">
        <is>
          <t>Bomber</t>
        </is>
      </c>
      <c r="H38" s="6" t="n">
        <v>1</v>
      </c>
      <c r="I38" s="6" t="n">
        <v>1</v>
      </c>
      <c r="J38" s="6" t="n">
        <v>1</v>
      </c>
      <c r="K38" s="6" t="n"/>
      <c r="P38">
        <f>MAX(P39)</f>
        <v/>
      </c>
      <c r="S38">
        <f>S39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4000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ParaBomb</t>
        </is>
      </c>
      <c r="C39" s="7" t="inlineStr">
        <is>
          <t>Armament</t>
        </is>
      </c>
      <c r="L39" s="6" t="n">
        <v>40000</v>
      </c>
      <c r="M39" s="6" t="n">
        <v>8</v>
      </c>
      <c r="N39" s="6" t="n">
        <v>1</v>
      </c>
      <c r="O39" s="6" t="n"/>
      <c r="P39" s="6" t="n">
        <v>5000</v>
      </c>
      <c r="Q39" s="6" t="n">
        <v>1.25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^Warhead_Demolition_Heavy, ^Warhead_Flame_Heavy</t>
        </is>
      </c>
    </row>
    <row r="40">
      <c r="A40" t="inlineStr">
        <is>
          <t>shared</t>
        </is>
      </c>
      <c r="B40" t="inlineStr">
        <is>
          <t>ra1_allies_cargoplaneparadrop</t>
        </is>
      </c>
      <c r="C40" t="inlineStr">
        <is>
          <t>Cargo Plane</t>
        </is>
      </c>
      <c r="D40" s="6" t="inlineStr">
        <is>
          <t>Aircraft</t>
        </is>
      </c>
      <c r="E40" s="6" t="n">
        <v>150000</v>
      </c>
      <c r="F40" s="6" t="n">
        <v>175</v>
      </c>
      <c r="G40" t="inlineStr">
        <is>
          <t>Bomber</t>
        </is>
      </c>
      <c r="H40" s="6" t="n">
        <v>1</v>
      </c>
      <c r="I40" s="6" t="n">
        <v>1</v>
      </c>
      <c r="J40" s="6" t="n">
        <v>1</v>
      </c>
      <c r="K40" s="6" t="n"/>
      <c r="X40" s="6" t="n">
        <v>4000</v>
      </c>
    </row>
    <row r="41">
      <c r="A41" t="inlineStr">
        <is>
          <t>shared</t>
        </is>
      </c>
      <c r="B41" t="inlineStr">
        <is>
          <t>ra1_badger</t>
        </is>
      </c>
      <c r="C41" t="inlineStr">
        <is>
          <t>Badger</t>
        </is>
      </c>
      <c r="D41" s="6" t="inlineStr">
        <is>
          <t>Aircraft</t>
        </is>
      </c>
      <c r="E41" s="6" t="n">
        <v>150000</v>
      </c>
      <c r="F41" s="6" t="n">
        <v>175</v>
      </c>
      <c r="G41" t="inlineStr">
        <is>
          <t>Bomber</t>
        </is>
      </c>
      <c r="H41" s="6" t="n">
        <v>1</v>
      </c>
      <c r="I41" s="6" t="n">
        <v>1</v>
      </c>
      <c r="J41" s="6" t="n">
        <v>1</v>
      </c>
      <c r="K41" s="6" t="n"/>
      <c r="X41" s="6" t="n">
        <v>4000</v>
      </c>
    </row>
    <row r="42">
      <c r="A42" t="inlineStr">
        <is>
          <t>shared</t>
        </is>
      </c>
      <c r="B42" t="inlineStr">
        <is>
          <t>ra1_badger_bomber</t>
        </is>
      </c>
      <c r="C42" t="inlineStr">
        <is>
          <t>Badger</t>
        </is>
      </c>
      <c r="D42" s="6" t="inlineStr">
        <is>
          <t>Aircraft</t>
        </is>
      </c>
      <c r="E42" s="6" t="n">
        <v>150000</v>
      </c>
      <c r="F42" s="6" t="n">
        <v>175</v>
      </c>
      <c r="G42" t="inlineStr">
        <is>
          <t>Bomber</t>
        </is>
      </c>
      <c r="H42" s="6" t="n">
        <v>1</v>
      </c>
      <c r="I42" s="6" t="n">
        <v>1</v>
      </c>
      <c r="J42" s="6" t="n">
        <v>1</v>
      </c>
      <c r="K42" s="6" t="n"/>
      <c r="P42">
        <f>MAX(P43)</f>
        <v/>
      </c>
      <c r="S42">
        <f>S43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(T42+U42+V42)/3</f>
        <v/>
      </c>
      <c r="X42" s="6" t="n">
        <v>4000</v>
      </c>
      <c r="Y42">
        <f>IFERROR(W42-X42,"")</f>
        <v/>
      </c>
      <c r="Z42">
        <f>IFERROR(ABS(Y42)/MAX(X42,1),"")</f>
        <v/>
      </c>
      <c r="AA42">
        <f>IFERROR((X42-(((E42/100000+F42/100+S42/200)*200*I42*H42)+((E42*F42/25000)*I42*H42))/3)/(((J42/5)*200*I42*H42)+((J42*S42/2.5)*I42*H42)+((E42*F42*J42*S42*I42*H42)/12500000))/3*1000,"")</f>
        <v/>
      </c>
    </row>
    <row r="43">
      <c r="B43" s="7" t="inlineStr">
        <is>
          <t xml:space="preserve">  ↳ ParaBomb</t>
        </is>
      </c>
      <c r="C43" s="7" t="inlineStr">
        <is>
          <t>Armament</t>
        </is>
      </c>
      <c r="L43" s="6" t="n">
        <v>40000</v>
      </c>
      <c r="M43" s="6" t="n">
        <v>8</v>
      </c>
      <c r="N43" s="6" t="n">
        <v>1</v>
      </c>
      <c r="O43" s="6" t="n"/>
      <c r="P43" s="6" t="n">
        <v>5000</v>
      </c>
      <c r="Q43" s="6" t="n">
        <v>1.25</v>
      </c>
      <c r="R43">
        <f>M43+IF(N43&gt;1,N(O43)*(N43-1),0)</f>
        <v/>
      </c>
      <c r="S43">
        <f>IFERROR(L43*MAX(N43,1)/R43*IF(ISBLANK(K42),1,K42),0)</f>
        <v/>
      </c>
      <c r="AB43" s="7" t="inlineStr">
        <is>
          <t>^Warhead_Demolition_Heavy, ^Warhead_Flame_Heavy</t>
        </is>
      </c>
    </row>
    <row r="44">
      <c r="A44" t="inlineStr">
        <is>
          <t>shared</t>
        </is>
      </c>
      <c r="B44" t="inlineStr">
        <is>
          <t>ra1_soviets_badger</t>
        </is>
      </c>
      <c r="C44" t="inlineStr">
        <is>
          <t>Badger</t>
        </is>
      </c>
      <c r="D44" s="6" t="inlineStr">
        <is>
          <t>Aircraft</t>
        </is>
      </c>
      <c r="E44" s="6" t="n">
        <v>150000</v>
      </c>
      <c r="F44" s="6" t="n">
        <v>175</v>
      </c>
      <c r="G44" t="inlineStr">
        <is>
          <t>Bomber</t>
        </is>
      </c>
      <c r="H44" s="6" t="n">
        <v>1</v>
      </c>
      <c r="I44" s="6" t="n">
        <v>1</v>
      </c>
      <c r="J44" s="6" t="n">
        <v>1</v>
      </c>
      <c r="K44" s="6" t="n"/>
      <c r="X44" s="6" t="n">
        <v>4000</v>
      </c>
    </row>
    <row r="45">
      <c r="A45" t="inlineStr">
        <is>
          <t>shared</t>
        </is>
      </c>
      <c r="B45" t="inlineStr">
        <is>
          <t>ra1_soviets_spyplane</t>
        </is>
      </c>
      <c r="C45" t="inlineStr">
        <is>
          <t>Spy Plane</t>
        </is>
      </c>
      <c r="D45" s="6" t="inlineStr">
        <is>
          <t>Aircraft</t>
        </is>
      </c>
      <c r="E45" s="6" t="n">
        <v>100000</v>
      </c>
      <c r="F45" s="6" t="n">
        <v>300</v>
      </c>
      <c r="G45" t="inlineStr">
        <is>
          <t>Bomber</t>
        </is>
      </c>
      <c r="H45" s="6" t="n">
        <v>1</v>
      </c>
      <c r="I45" s="6" t="n">
        <v>1</v>
      </c>
      <c r="J45" s="6" t="n">
        <v>1</v>
      </c>
      <c r="K45" s="6" t="n"/>
      <c r="X45" s="6" t="n">
        <v>5000</v>
      </c>
    </row>
    <row r="46">
      <c r="B46" s="7" t="inlineStr">
        <is>
          <t xml:space="preserve">  ↳ SpyPlaneTargeting</t>
        </is>
      </c>
      <c r="C46" s="7" t="inlineStr">
        <is>
          <t>Armament</t>
        </is>
      </c>
      <c r="L46" s="6" t="n"/>
      <c r="M46" s="6" t="n">
        <v>5</v>
      </c>
      <c r="N46" s="6" t="n">
        <v>1</v>
      </c>
      <c r="O46" s="6" t="n"/>
      <c r="P46" s="6" t="n">
        <v>10000</v>
      </c>
      <c r="Q46" s="6" t="n">
        <v>1</v>
      </c>
      <c r="R46">
        <f>M46+IF(N46&gt;1,N(O46)*(N46-1),0)</f>
        <v/>
      </c>
      <c r="S46">
        <f>IFERROR(L46*MAX(N46,1)/R46*IF(ISBLANK(K45),1,K45),0)</f>
        <v/>
      </c>
      <c r="AB46" s="7" t="inlineStr"/>
    </row>
    <row r="47">
      <c r="A47" t="inlineStr">
        <is>
          <t>shared</t>
        </is>
      </c>
      <c r="B47" t="inlineStr">
        <is>
          <t>ra1_soviets_superspyplane</t>
        </is>
      </c>
      <c r="C47" t="inlineStr">
        <is>
          <t>Spy Plane</t>
        </is>
      </c>
      <c r="D47" s="6" t="inlineStr">
        <is>
          <t>Aircraft</t>
        </is>
      </c>
      <c r="E47" s="6" t="n">
        <v>100000</v>
      </c>
      <c r="F47" s="6" t="n">
        <v>300</v>
      </c>
      <c r="G47" t="inlineStr">
        <is>
          <t>Bomber</t>
        </is>
      </c>
      <c r="H47" s="6" t="n">
        <v>1</v>
      </c>
      <c r="I47" s="6" t="n">
        <v>1</v>
      </c>
      <c r="J47" s="6" t="n">
        <v>1</v>
      </c>
      <c r="K47" s="6" t="n"/>
      <c r="X47" s="6" t="n">
        <v>5000</v>
      </c>
    </row>
    <row r="48">
      <c r="B48" s="7" t="inlineStr">
        <is>
          <t xml:space="preserve">  ↳ SpyPlaneTargeting2</t>
        </is>
      </c>
      <c r="C48" s="7" t="inlineStr">
        <is>
          <t>Armament</t>
        </is>
      </c>
      <c r="L48" s="6" t="n"/>
      <c r="M48" s="6" t="n">
        <v>5</v>
      </c>
      <c r="N48" s="6" t="n">
        <v>1</v>
      </c>
      <c r="O48" s="6" t="n"/>
      <c r="P48" s="6" t="n">
        <v>10000</v>
      </c>
      <c r="Q48" s="6" t="n">
        <v>1</v>
      </c>
      <c r="R48">
        <f>M48+IF(N48&gt;1,N(O48)*(N48-1),0)</f>
        <v/>
      </c>
      <c r="S48">
        <f>IFERROR(L48*MAX(N48,1)/R48*IF(ISBLANK(K47),1,K47),0)</f>
        <v/>
      </c>
      <c r="AB48" s="7" t="inlineStr">
        <is>
          <t>SpyPlaneTargeting</t>
        </is>
      </c>
    </row>
    <row r="49">
      <c r="A49" s="4" t="inlineStr">
        <is>
          <t>NAVAL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t="inlineStr">
        <is>
          <t>shared</t>
        </is>
      </c>
      <c r="B50" t="inlineStr">
        <is>
          <t>japan_japanesecarrier</t>
        </is>
      </c>
      <c r="C50" t="inlineStr">
        <is>
          <t>actor_japan_japanesecarrier.name</t>
        </is>
      </c>
      <c r="D50" s="6" t="inlineStr">
        <is>
          <t>ArtilleryShip</t>
        </is>
      </c>
      <c r="E50" s="6" t="n">
        <v>225000</v>
      </c>
      <c r="F50" s="6" t="n">
        <v>45</v>
      </c>
      <c r="G50" t="inlineStr">
        <is>
          <t>Superheavy</t>
        </is>
      </c>
      <c r="H50" s="6" t="n">
        <v>1</v>
      </c>
      <c r="I50" s="6" t="n">
        <v>1</v>
      </c>
      <c r="J50" s="6" t="n">
        <v>1</v>
      </c>
      <c r="K50" s="6" t="n"/>
      <c r="X50" s="6" t="n">
        <v>3000</v>
      </c>
    </row>
    <row r="51">
      <c r="B51" s="7" t="inlineStr">
        <is>
          <t xml:space="preserve">  ↳ JapanCarrierTarget</t>
        </is>
      </c>
      <c r="C51" s="7" t="inlineStr">
        <is>
          <t>Armament@PRIMARY</t>
        </is>
      </c>
      <c r="L51" s="6" t="n"/>
      <c r="M51" s="6" t="n">
        <v>25</v>
      </c>
      <c r="N51" s="6" t="n">
        <v>1</v>
      </c>
      <c r="O51" s="6" t="n"/>
      <c r="P51" s="6" t="n">
        <v>20000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/>
    </row>
    <row r="52">
      <c r="A52" t="inlineStr">
        <is>
          <t>shared</t>
        </is>
      </c>
      <c r="B52" t="inlineStr">
        <is>
          <t>japan_japanesespeedboat</t>
        </is>
      </c>
      <c r="C52" t="inlineStr">
        <is>
          <t>Japanese Speedboat</t>
        </is>
      </c>
      <c r="D52" s="6" t="inlineStr">
        <is>
          <t>ScoutShip</t>
        </is>
      </c>
      <c r="E52" s="6" t="n">
        <v>40000</v>
      </c>
      <c r="F52" s="6" t="n">
        <v>140</v>
      </c>
      <c r="G52" t="inlineStr">
        <is>
          <t>Light</t>
        </is>
      </c>
      <c r="H52" s="6" t="n">
        <v>1</v>
      </c>
      <c r="I52" s="6" t="n">
        <v>1</v>
      </c>
      <c r="J52" s="6" t="n">
        <v>1</v>
      </c>
      <c r="K52" s="6" t="n"/>
      <c r="P52">
        <f>MAX(P53,P54,P55,P56)</f>
        <v/>
      </c>
      <c r="S52">
        <f>S53+S54+S55+S56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1200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JapanSpeedBoatGun</t>
        </is>
      </c>
      <c r="C53" s="7" t="inlineStr">
        <is>
          <t>Armament@AG</t>
        </is>
      </c>
      <c r="L53" s="6" t="n">
        <v>4000</v>
      </c>
      <c r="M53" s="6" t="n">
        <v>4</v>
      </c>
      <c r="N53" s="6" t="n">
        <v>1</v>
      </c>
      <c r="O53" s="6" t="n"/>
      <c r="P53" s="6" t="n">
        <v>5750</v>
      </c>
      <c r="Q53" s="6" t="n">
        <v>0.875</v>
      </c>
      <c r="R53">
        <f>M53+IF(N53&gt;1,N(O53)*(N53-1),0)</f>
        <v/>
      </c>
      <c r="S53">
        <f>IFERROR(L53*MAX(N53,1)/R53*IF(ISBLANK(K52),1,K52),0)</f>
        <v/>
      </c>
      <c r="AB53" s="7" t="inlineStr">
        <is>
          <t>^Warhead_Bullet_Light, ^Warhead_Bullet_Medium</t>
        </is>
      </c>
    </row>
    <row r="54">
      <c r="B54" s="7" t="inlineStr">
        <is>
          <t xml:space="preserve">  ↳ JapanSpeedBoatGunWaveforce</t>
        </is>
      </c>
      <c r="C54" s="7" t="inlineStr">
        <is>
          <t>Armament@Upgrade</t>
        </is>
      </c>
      <c r="L54" s="6" t="n">
        <v>6000</v>
      </c>
      <c r="M54" s="6" t="n">
        <v>4</v>
      </c>
      <c r="N54" s="6" t="n">
        <v>1</v>
      </c>
      <c r="O54" s="6" t="n"/>
      <c r="P54" s="6" t="n">
        <v>5750</v>
      </c>
      <c r="Q54" s="6" t="n">
        <v>1</v>
      </c>
      <c r="R54">
        <f>M54+IF(N54&gt;1,N(O54)*(N54-1),0)</f>
        <v/>
      </c>
      <c r="S54">
        <f>IFERROR(L54*MAX(N54,1)/R54*IF(ISBLANK(K52),1,K52),0)</f>
        <v/>
      </c>
      <c r="AB54" s="7" t="inlineStr">
        <is>
          <t>^Warhead_Railgun_Heavy, ^Warhead_Bullet_Light, ^Warhead_Bullet_Medium</t>
        </is>
      </c>
    </row>
    <row r="55">
      <c r="B55" s="7" t="inlineStr">
        <is>
          <t xml:space="preserve">  ↳ DepthCharge</t>
        </is>
      </c>
      <c r="C55" s="7" t="inlineStr">
        <is>
          <t>Armament@DC1</t>
        </is>
      </c>
      <c r="L55" s="6" t="n">
        <v>60000</v>
      </c>
      <c r="M55" s="6" t="n">
        <v>60</v>
      </c>
      <c r="N55" s="6" t="n">
        <v>1</v>
      </c>
      <c r="O55" s="6" t="n"/>
      <c r="P55" s="6" t="n">
        <v>6000</v>
      </c>
      <c r="Q55" s="6" t="n">
        <v>0.75</v>
      </c>
      <c r="R55">
        <f>M55+IF(N55&gt;1,N(O55)*(N55-1),0)</f>
        <v/>
      </c>
      <c r="S55">
        <f>IFERROR(L55*MAX(N55,1)/R55*IF(ISBLANK(K52),1,K52),0)</f>
        <v/>
      </c>
      <c r="AB55" s="7" t="inlineStr">
        <is>
          <t>^Warhead_Demolition_Light</t>
        </is>
      </c>
    </row>
    <row r="56">
      <c r="B56" s="7" t="inlineStr">
        <is>
          <t xml:space="preserve">  ↳ DepthCharge</t>
        </is>
      </c>
      <c r="C56" s="7" t="inlineStr">
        <is>
          <t>Armament@DC2</t>
        </is>
      </c>
      <c r="L56" s="6" t="n">
        <v>60000</v>
      </c>
      <c r="M56" s="6" t="n">
        <v>60</v>
      </c>
      <c r="N56" s="6" t="n">
        <v>1</v>
      </c>
      <c r="O56" s="6" t="n"/>
      <c r="P56" s="6" t="n">
        <v>6000</v>
      </c>
      <c r="Q56" s="6" t="n">
        <v>0.75</v>
      </c>
      <c r="R56">
        <f>M56+IF(N56&gt;1,N(O56)*(N56-1),0)</f>
        <v/>
      </c>
      <c r="S56">
        <f>IFERROR(L56*MAX(N56,1)/R56*IF(ISBLANK(K52),1,K52),0)</f>
        <v/>
      </c>
      <c r="AB56" s="7" t="inlineStr">
        <is>
          <t>^Warhead_Demolition_Light</t>
        </is>
      </c>
    </row>
    <row r="57">
      <c r="A57" t="inlineStr">
        <is>
          <t>shared</t>
        </is>
      </c>
      <c r="B57" t="inlineStr">
        <is>
          <t>japan_yamatobattleship</t>
        </is>
      </c>
      <c r="C57" t="inlineStr">
        <is>
          <t>Yamato Battleship</t>
        </is>
      </c>
      <c r="D57" s="6" t="inlineStr">
        <is>
          <t>BattleShip</t>
        </is>
      </c>
      <c r="E57" s="6" t="n">
        <v>250000</v>
      </c>
      <c r="F57" s="6" t="n">
        <v>35</v>
      </c>
      <c r="G57" t="inlineStr">
        <is>
          <t>Superheavy</t>
        </is>
      </c>
      <c r="H57" s="6" t="n">
        <v>1</v>
      </c>
      <c r="I57" s="6" t="n">
        <v>1</v>
      </c>
      <c r="J57" s="6" t="n">
        <v>1</v>
      </c>
      <c r="K57" s="6" t="n"/>
      <c r="P57">
        <f>MAX(P58,P59,P60)</f>
        <v/>
      </c>
      <c r="S57">
        <f>S58+S59+S60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2200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YamatoCannon</t>
        </is>
      </c>
      <c r="C58" s="7" t="inlineStr">
        <is>
          <t>Armament@PRIMARY</t>
        </is>
      </c>
      <c r="L58" s="6" t="n">
        <v>40000</v>
      </c>
      <c r="M58" s="6" t="n">
        <v>125</v>
      </c>
      <c r="N58" s="6" t="n">
        <v>2</v>
      </c>
      <c r="O58" s="6" t="n"/>
      <c r="P58" s="6" t="n">
        <v>12500</v>
      </c>
      <c r="Q58" s="6" t="n">
        <v>1.25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^Warhead_Demolition_Heavy, ^Warhead_CannonHE_Heavy</t>
        </is>
      </c>
    </row>
    <row r="59">
      <c r="B59" s="7" t="inlineStr">
        <is>
          <t xml:space="preserve">  ↳ YamatoCannon</t>
        </is>
      </c>
      <c r="C59" s="7" t="inlineStr">
        <is>
          <t>Armament@SECONDARY</t>
        </is>
      </c>
      <c r="L59" s="6" t="n">
        <v>40000</v>
      </c>
      <c r="M59" s="6" t="n">
        <v>125</v>
      </c>
      <c r="N59" s="6" t="n">
        <v>2</v>
      </c>
      <c r="O59" s="6" t="n"/>
      <c r="P59" s="6" t="n">
        <v>12500</v>
      </c>
      <c r="Q59" s="6" t="n">
        <v>1.25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^Warhead_Demolition_Heavy, ^Warhead_CannonHE_Heavy</t>
        </is>
      </c>
    </row>
    <row r="60">
      <c r="B60" s="7" t="inlineStr">
        <is>
          <t xml:space="preserve">  ↳ YamatoFlak</t>
        </is>
      </c>
      <c r="C60" s="7" t="inlineStr">
        <is>
          <t>Armament@AA</t>
        </is>
      </c>
      <c r="L60" s="6" t="n">
        <v>2000</v>
      </c>
      <c r="M60" s="6" t="n">
        <v>4</v>
      </c>
      <c r="N60" s="6" t="n">
        <v>1</v>
      </c>
      <c r="O60" s="6" t="n"/>
      <c r="P60" s="6" t="n">
        <v>12500</v>
      </c>
      <c r="Q60" s="6" t="n">
        <v>1</v>
      </c>
      <c r="R60">
        <f>M60+IF(N60&gt;1,N(O60)*(N60-1),0)</f>
        <v/>
      </c>
      <c r="S60">
        <f>IFERROR(L60*MAX(N60,1)/R60*IF(ISBLANK(K57),1,K57),0)</f>
        <v/>
      </c>
      <c r="AB60" s="7" t="inlineStr">
        <is>
          <t>^Warhead_Flak_Medium</t>
        </is>
      </c>
    </row>
    <row r="61">
      <c r="A61" t="inlineStr">
        <is>
          <t>shared</t>
        </is>
      </c>
      <c r="B61" t="inlineStr">
        <is>
          <t>japan_zerofighter_slave</t>
        </is>
      </c>
      <c r="C61" t="inlineStr">
        <is>
          <t>Zero Fighter</t>
        </is>
      </c>
      <c r="D61" s="6" t="inlineStr">
        <is>
          <t>Bomber</t>
        </is>
      </c>
      <c r="E61" s="6" t="n">
        <v>7500</v>
      </c>
      <c r="F61" s="6" t="n">
        <v>175</v>
      </c>
      <c r="G61" t="inlineStr">
        <is>
          <t>Bomber</t>
        </is>
      </c>
      <c r="H61" s="6" t="n">
        <v>1</v>
      </c>
      <c r="I61" s="6" t="n">
        <v>1</v>
      </c>
      <c r="J61" s="6" t="n">
        <v>1</v>
      </c>
      <c r="K61" s="6" t="n">
        <v>0.005</v>
      </c>
      <c r="P61">
        <f>MAX(P62,P63,P64,P65,P66)</f>
        <v/>
      </c>
      <c r="S61">
        <f>S62+S63+S64+S65+S66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(T61+U61+V61)/3</f>
        <v/>
      </c>
      <c r="X61" s="6" t="n">
        <v>150</v>
      </c>
      <c r="Y61">
        <f>IFERROR(W61-X61,"")</f>
        <v/>
      </c>
      <c r="Z61">
        <f>IFERROR(ABS(Y61)/MAX(X61,1),"")</f>
        <v/>
      </c>
      <c r="AA61">
        <f>IFERROR((X61-(((E61/100000+F61/100+S61/200)*200*I61*H61)+((E61*F61/25000)*I61*H61))/3)/(((J61/5)*200*I61*H61)+((J61*S61/2.5)*I61*H61)+((E61*F61*J61*S61*I61*H61)/12500000))/3*1000,"")</f>
        <v/>
      </c>
    </row>
    <row r="62">
      <c r="B62" s="7" t="inlineStr">
        <is>
          <t xml:space="preserve">  ↳ ZeroFighterChainGun</t>
        </is>
      </c>
      <c r="C62" s="7" t="inlineStr">
        <is>
          <t>Armament@PRIMARY</t>
        </is>
      </c>
      <c r="L62" s="6" t="n">
        <v>6000</v>
      </c>
      <c r="M62" s="6" t="n">
        <v>92</v>
      </c>
      <c r="N62" s="6" t="n">
        <v>12</v>
      </c>
      <c r="O62" s="6" t="n">
        <v>4</v>
      </c>
      <c r="P62" s="6" t="n">
        <v>6615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^Warhead_Bullet_Medium</t>
        </is>
      </c>
    </row>
    <row r="63">
      <c r="B63" s="7" t="inlineStr">
        <is>
          <t xml:space="preserve">  ↳ ZeroFighterChainGun</t>
        </is>
      </c>
      <c r="C63" s="7" t="inlineStr">
        <is>
          <t>Armament@SECONDARY</t>
        </is>
      </c>
      <c r="L63" s="6" t="n">
        <v>6000</v>
      </c>
      <c r="M63" s="6" t="n">
        <v>92</v>
      </c>
      <c r="N63" s="6" t="n">
        <v>12</v>
      </c>
      <c r="O63" s="6" t="n">
        <v>4</v>
      </c>
      <c r="P63" s="6" t="n">
        <v>6615</v>
      </c>
      <c r="Q63" s="6" t="n">
        <v>1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^Warhead_Bullet_Medium</t>
        </is>
      </c>
    </row>
    <row r="64">
      <c r="B64" s="7" t="inlineStr">
        <is>
          <t xml:space="preserve">  ↳ ZeroFighterChainGunWaveforce</t>
        </is>
      </c>
      <c r="C64" s="7" t="inlineStr">
        <is>
          <t>Armament@Upgrade</t>
        </is>
      </c>
      <c r="L64" s="6" t="n">
        <v>11000</v>
      </c>
      <c r="M64" s="6" t="n">
        <v>92</v>
      </c>
      <c r="N64" s="6" t="n">
        <v>12</v>
      </c>
      <c r="O64" s="6" t="n">
        <v>4</v>
      </c>
      <c r="P64" s="6" t="n">
        <v>6615</v>
      </c>
      <c r="Q64" s="6" t="n">
        <v>1.125</v>
      </c>
      <c r="R64">
        <f>M64+IF(N64&gt;1,N(O64)*(N64-1),0)</f>
        <v/>
      </c>
      <c r="S64">
        <f>IFERROR(L64*MAX(N64,1)/R64*IF(ISBLANK(K61),1,K61),0)</f>
        <v/>
      </c>
      <c r="AB64" s="7" t="inlineStr">
        <is>
          <t>^Warhead_Railgun_Heavy, ^Warhead_Bullet_Medium</t>
        </is>
      </c>
    </row>
    <row r="65">
      <c r="B65" s="7" t="inlineStr">
        <is>
          <t xml:space="preserve">  ↳ ZeroFighterChainGunWaveforce</t>
        </is>
      </c>
      <c r="C65" s="7" t="inlineStr">
        <is>
          <t>Armament@UpgradeSECONDARY</t>
        </is>
      </c>
      <c r="L65" s="6" t="n">
        <v>11000</v>
      </c>
      <c r="M65" s="6" t="n">
        <v>92</v>
      </c>
      <c r="N65" s="6" t="n">
        <v>12</v>
      </c>
      <c r="O65" s="6" t="n">
        <v>4</v>
      </c>
      <c r="P65" s="6" t="n">
        <v>6615</v>
      </c>
      <c r="Q65" s="6" t="n">
        <v>1.125</v>
      </c>
      <c r="R65">
        <f>M65+IF(N65&gt;1,N(O65)*(N65-1),0)</f>
        <v/>
      </c>
      <c r="S65">
        <f>IFERROR(L65*MAX(N65,1)/R65*IF(ISBLANK(K61),1,K61),0)</f>
        <v/>
      </c>
      <c r="AB65" s="7" t="inlineStr">
        <is>
          <t>^Warhead_Railgun_Heavy, ^Warhead_Bullet_Medium</t>
        </is>
      </c>
    </row>
    <row r="66">
      <c r="B66" s="7" t="inlineStr">
        <is>
          <t xml:space="preserve">  ↳ JapanCarrierFighterBomb</t>
        </is>
      </c>
      <c r="C66" s="7" t="inlineStr">
        <is>
          <t>Armament</t>
        </is>
      </c>
      <c r="L66" s="6" t="n">
        <v>10000</v>
      </c>
      <c r="M66" s="6" t="n">
        <v>5</v>
      </c>
      <c r="N66" s="6" t="n">
        <v>1</v>
      </c>
      <c r="O66" s="6" t="n"/>
      <c r="P66" s="6" t="n">
        <v>3000</v>
      </c>
      <c r="Q66" s="6" t="n">
        <v>1.25</v>
      </c>
      <c r="R66">
        <f>M66+IF(N66&gt;1,N(O66)*(N66-1),0)</f>
        <v/>
      </c>
      <c r="S66">
        <f>IFERROR(L66*MAX(N66,1)/R66*IF(ISBLANK(K61),1,K61),0)</f>
        <v/>
      </c>
      <c r="AB66" s="7" t="inlineStr">
        <is>
          <t>^Warhead_Demolition_Heavy</t>
        </is>
      </c>
    </row>
    <row r="67">
      <c r="A67" t="inlineStr">
        <is>
          <t>shared</t>
        </is>
      </c>
      <c r="B67" t="inlineStr">
        <is>
          <t>ra1_allies_cruiser</t>
        </is>
      </c>
      <c r="C67" t="inlineStr">
        <is>
          <t>Cruiser</t>
        </is>
      </c>
      <c r="D67" s="6" t="inlineStr">
        <is>
          <t>ArtilleryShip</t>
        </is>
      </c>
      <c r="E67" s="6" t="n">
        <v>225000</v>
      </c>
      <c r="F67" s="6" t="n">
        <v>40</v>
      </c>
      <c r="G67" t="inlineStr">
        <is>
          <t>Superheavy</t>
        </is>
      </c>
      <c r="H67" s="6" t="n">
        <v>1</v>
      </c>
      <c r="I67" s="6" t="n">
        <v>1</v>
      </c>
      <c r="J67" s="6" t="n">
        <v>1</v>
      </c>
      <c r="K67" s="6" t="n"/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3000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8Inch</t>
        </is>
      </c>
      <c r="C68" s="7" t="inlineStr">
        <is>
          <t>Armament@PRIMARY</t>
        </is>
      </c>
      <c r="L68" s="6" t="n">
        <v>80000</v>
      </c>
      <c r="M68" s="6" t="n">
        <v>250</v>
      </c>
      <c r="N68" s="6" t="n">
        <v>2</v>
      </c>
      <c r="O68" s="6" t="n"/>
      <c r="P68" s="6" t="n">
        <v>15000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^Warhead_Demolition_Heavy, ^Warhead_Demolition_Light</t>
        </is>
      </c>
    </row>
    <row r="69">
      <c r="B69" s="7" t="inlineStr">
        <is>
          <t xml:space="preserve">  ↳ 8Inch</t>
        </is>
      </c>
      <c r="C69" s="7" t="inlineStr">
        <is>
          <t>Armament@SECONDARY</t>
        </is>
      </c>
      <c r="L69" s="6" t="n">
        <v>80000</v>
      </c>
      <c r="M69" s="6" t="n">
        <v>250</v>
      </c>
      <c r="N69" s="6" t="n">
        <v>2</v>
      </c>
      <c r="O69" s="6" t="n"/>
      <c r="P69" s="6" t="n">
        <v>15000</v>
      </c>
      <c r="Q69" s="6" t="n">
        <v>1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^Warhead_Demolition_Heavy, ^Warhead_Demolition_Light</t>
        </is>
      </c>
    </row>
    <row r="70">
      <c r="A70" t="inlineStr">
        <is>
          <t>shared</t>
        </is>
      </c>
      <c r="B70" t="inlineStr">
        <is>
          <t>ra1_allies_destroyer</t>
        </is>
      </c>
      <c r="C70" t="inlineStr">
        <is>
          <t>Destroyer</t>
        </is>
      </c>
      <c r="D70" s="6" t="inlineStr">
        <is>
          <t>BattleShip</t>
        </is>
      </c>
      <c r="E70" s="6" t="n">
        <v>125000</v>
      </c>
      <c r="F70" s="6" t="n">
        <v>85</v>
      </c>
      <c r="G70" t="inlineStr">
        <is>
          <t>Heavy</t>
        </is>
      </c>
      <c r="H70" s="6" t="n">
        <v>1</v>
      </c>
      <c r="I70" s="6" t="n">
        <v>1</v>
      </c>
      <c r="J70" s="6" t="n">
        <v>1</v>
      </c>
      <c r="K70" s="6" t="n"/>
      <c r="P70">
        <f>MAX(P71,P72,P73,P74)</f>
        <v/>
      </c>
      <c r="S70">
        <f>S71+S72+S73+S74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1600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Stinger</t>
        </is>
      </c>
      <c r="C71" s="7" t="inlineStr">
        <is>
          <t>Armament</t>
        </is>
      </c>
      <c r="L71" s="6" t="n">
        <v>10000</v>
      </c>
      <c r="M71" s="6" t="n">
        <v>27</v>
      </c>
      <c r="N71" s="6" t="n">
        <v>2</v>
      </c>
      <c r="O71" s="6" t="n">
        <v>7</v>
      </c>
      <c r="P71" s="6" t="n">
        <v>8000</v>
      </c>
      <c r="Q71" s="6" t="n">
        <v>1.25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^Warhead_MissileAP_Heavy</t>
        </is>
      </c>
    </row>
    <row r="72">
      <c r="B72" s="7" t="inlineStr">
        <is>
          <t xml:space="preserve">  ↳ StingerCryo</t>
        </is>
      </c>
      <c r="C72" s="7" t="inlineStr">
        <is>
          <t>Armament@Upgrade</t>
        </is>
      </c>
      <c r="L72" s="6" t="n">
        <v>10000</v>
      </c>
      <c r="M72" s="6" t="n">
        <v>27</v>
      </c>
      <c r="N72" s="6" t="n">
        <v>2</v>
      </c>
      <c r="O72" s="6" t="n">
        <v>7</v>
      </c>
      <c r="P72" s="6" t="n">
        <v>8000</v>
      </c>
      <c r="Q72" s="6" t="n">
        <v>1.25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^Warhead_MissileAP_Heavy</t>
        </is>
      </c>
    </row>
    <row r="73">
      <c r="B73" s="7" t="inlineStr">
        <is>
          <t xml:space="preserve">  ↳ DepthCharge</t>
        </is>
      </c>
      <c r="C73" s="7" t="inlineStr">
        <is>
          <t>Armament@DC1</t>
        </is>
      </c>
      <c r="L73" s="6" t="n">
        <v>60000</v>
      </c>
      <c r="M73" s="6" t="n">
        <v>60</v>
      </c>
      <c r="N73" s="6" t="n">
        <v>1</v>
      </c>
      <c r="O73" s="6" t="n"/>
      <c r="P73" s="6" t="n">
        <v>6000</v>
      </c>
      <c r="Q73" s="6" t="n">
        <v>0.75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^Warhead_Demolition_Light</t>
        </is>
      </c>
    </row>
    <row r="74">
      <c r="B74" s="7" t="inlineStr">
        <is>
          <t xml:space="preserve">  ↳ DepthCharge</t>
        </is>
      </c>
      <c r="C74" s="7" t="inlineStr">
        <is>
          <t>Armament@DC2</t>
        </is>
      </c>
      <c r="L74" s="6" t="n">
        <v>60000</v>
      </c>
      <c r="M74" s="6" t="n">
        <v>60</v>
      </c>
      <c r="N74" s="6" t="n">
        <v>1</v>
      </c>
      <c r="O74" s="6" t="n"/>
      <c r="P74" s="6" t="n">
        <v>6000</v>
      </c>
      <c r="Q74" s="6" t="n">
        <v>0.75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^Warhead_Demolition_Light</t>
        </is>
      </c>
    </row>
    <row r="75">
      <c r="A75" t="inlineStr">
        <is>
          <t>shared</t>
        </is>
      </c>
      <c r="B75" t="inlineStr">
        <is>
          <t>ra1_allies_gunboat</t>
        </is>
      </c>
      <c r="C75" t="inlineStr">
        <is>
          <t>Gunboat</t>
        </is>
      </c>
      <c r="D75" s="6" t="inlineStr">
        <is>
          <t>ScoutShip</t>
        </is>
      </c>
      <c r="E75" s="6" t="n">
        <v>60000</v>
      </c>
      <c r="F75" s="6" t="n">
        <v>120</v>
      </c>
      <c r="G75" t="inlineStr">
        <is>
          <t>Medium</t>
        </is>
      </c>
      <c r="H75" s="6" t="n">
        <v>1</v>
      </c>
      <c r="I75" s="6" t="n">
        <v>1</v>
      </c>
      <c r="J75" s="6" t="n">
        <v>1</v>
      </c>
      <c r="K75" s="6" t="n"/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1300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2Inch</t>
        </is>
      </c>
      <c r="C76" s="7" t="inlineStr">
        <is>
          <t>Armament@PRIMARY</t>
        </is>
      </c>
      <c r="L76" s="6" t="n">
        <v>30000</v>
      </c>
      <c r="M76" s="6" t="n">
        <v>30</v>
      </c>
      <c r="N76" s="6" t="n">
        <v>1</v>
      </c>
      <c r="O76" s="6" t="n"/>
      <c r="P76" s="6" t="n">
        <v>6000</v>
      </c>
      <c r="Q76" s="6" t="n">
        <v>0.75</v>
      </c>
      <c r="R76">
        <f>M76+IF(N76&gt;1,N(O76)*(N76-1),0)</f>
        <v/>
      </c>
      <c r="S76">
        <f>IFERROR(L76*MAX(N76,1)/R76*IF(ISBLANK(K75),1,K75),0)</f>
        <v/>
      </c>
      <c r="AB76" s="7" t="inlineStr">
        <is>
          <t>^Warhead_CannonAP_Light</t>
        </is>
      </c>
    </row>
    <row r="77">
      <c r="B77" s="7" t="inlineStr">
        <is>
          <t xml:space="preserve">  ↳ DepthCharge</t>
        </is>
      </c>
      <c r="C77" s="7" t="inlineStr">
        <is>
          <t>Armament@SECONDARY</t>
        </is>
      </c>
      <c r="L77" s="6" t="n">
        <v>60000</v>
      </c>
      <c r="M77" s="6" t="n">
        <v>60</v>
      </c>
      <c r="N77" s="6" t="n">
        <v>1</v>
      </c>
      <c r="O77" s="6" t="n"/>
      <c r="P77" s="6" t="n">
        <v>6000</v>
      </c>
      <c r="Q77" s="6" t="n">
        <v>0.75</v>
      </c>
      <c r="R77">
        <f>M77+IF(N77&gt;1,N(O77)*(N77-1),0)</f>
        <v/>
      </c>
      <c r="S77">
        <f>IFERROR(L77*MAX(N77,1)/R77*IF(ISBLANK(K75),1,K75),0)</f>
        <v/>
      </c>
      <c r="AB77" s="7" t="inlineStr">
        <is>
          <t>^Warhead_Demolition_Light</t>
        </is>
      </c>
    </row>
    <row r="78">
      <c r="A78" t="inlineStr">
        <is>
          <t>shared</t>
        </is>
      </c>
      <c r="B78" t="inlineStr">
        <is>
          <t>ra1_navaltransport</t>
        </is>
      </c>
      <c r="C78" t="inlineStr">
        <is>
          <t>Naval Transport</t>
        </is>
      </c>
      <c r="D78" s="6" t="inlineStr">
        <is>
          <t>Ship</t>
        </is>
      </c>
      <c r="E78" s="6" t="n">
        <v>100000</v>
      </c>
      <c r="F78" s="6" t="n">
        <v>100</v>
      </c>
      <c r="G78" t="inlineStr">
        <is>
          <t>Heavy</t>
        </is>
      </c>
      <c r="H78" s="6" t="n">
        <v>1</v>
      </c>
      <c r="I78" s="6" t="n">
        <v>1</v>
      </c>
      <c r="J78" s="6" t="n">
        <v>1</v>
      </c>
      <c r="K78" s="6" t="n"/>
      <c r="X78" s="6" t="n">
        <v>500</v>
      </c>
    </row>
    <row r="79">
      <c r="A79" t="inlineStr">
        <is>
          <t>shared</t>
        </is>
      </c>
      <c r="B79" t="inlineStr">
        <is>
          <t>ra1_soviets_missilesubmarine</t>
        </is>
      </c>
      <c r="C79" t="inlineStr">
        <is>
          <t>Missile Submarine</t>
        </is>
      </c>
      <c r="D79" s="6" t="inlineStr">
        <is>
          <t>ArtilleryShip</t>
        </is>
      </c>
      <c r="E79" s="6" t="n">
        <v>70000</v>
      </c>
      <c r="F79" s="6" t="n">
        <v>60</v>
      </c>
      <c r="G79" t="inlineStr">
        <is>
          <t>Medium</t>
        </is>
      </c>
      <c r="H79" s="6" t="n">
        <v>1</v>
      </c>
      <c r="I79" s="6" t="n">
        <v>1</v>
      </c>
      <c r="J79" s="6" t="n">
        <v>1</v>
      </c>
      <c r="K79" s="6" t="n">
        <v>0.02</v>
      </c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(T79+U79+V79)/3</f>
        <v/>
      </c>
      <c r="X79" s="6" t="n">
        <v>3000</v>
      </c>
      <c r="Y79">
        <f>IFERROR(W79-X79,"")</f>
        <v/>
      </c>
      <c r="Z79">
        <f>IFERROR(ABS(Y79)/MAX(X79,1),"")</f>
        <v/>
      </c>
      <c r="AA79">
        <f>IFERROR((X79-(((E79/100000+F79/100+S79/200)*200*I79*H79)+((E79*F79/25000)*I79*H79))/3)/(((J79/5)*200*I79*H79)+((J79*S79/2.5)*I79*H79)+((E79*F79*J79*S79*I79*H79)/12500000))/3*1000,"")</f>
        <v/>
      </c>
    </row>
    <row r="80">
      <c r="B80" s="7" t="inlineStr">
        <is>
          <t xml:space="preserve">  ↳ 227mm</t>
        </is>
      </c>
      <c r="C80" s="7" t="inlineStr">
        <is>
          <t>Armament@PRIMARY</t>
        </is>
      </c>
      <c r="L80" s="6" t="n">
        <v>8000</v>
      </c>
      <c r="M80" s="6" t="n">
        <v>111</v>
      </c>
      <c r="N80" s="6" t="n">
        <v>6</v>
      </c>
      <c r="O80" s="6" t="n">
        <v>5</v>
      </c>
      <c r="P80" s="6" t="n">
        <v>9920</v>
      </c>
      <c r="Q80" s="6" t="n">
        <v>1</v>
      </c>
      <c r="R80">
        <f>M80+IF(N80&gt;1,N(O80)*(N80-1),0)</f>
        <v/>
      </c>
      <c r="S80">
        <f>IFERROR(L80*MAX(N80,1)/R80*IF(ISBLANK(K79),1,K79),0)</f>
        <v/>
      </c>
      <c r="AB80" s="7" t="inlineStr">
        <is>
          <t>^FlakWeapon, ^Grenade, ^HeavyMissile, ^MediumMissile</t>
        </is>
      </c>
    </row>
    <row r="81">
      <c r="A81" t="inlineStr">
        <is>
          <t>shared</t>
        </is>
      </c>
      <c r="B81" t="inlineStr">
        <is>
          <t>ra1_soviets_submarine</t>
        </is>
      </c>
      <c r="C81" t="inlineStr">
        <is>
          <t>Soviet Submarine</t>
        </is>
      </c>
      <c r="D81" s="6" t="inlineStr">
        <is>
          <t>ScoutShip</t>
        </is>
      </c>
      <c r="E81" s="6" t="n">
        <v>100000</v>
      </c>
      <c r="F81" s="6" t="n">
        <v>75</v>
      </c>
      <c r="G81" t="inlineStr">
        <is>
          <t>Heavy</t>
        </is>
      </c>
      <c r="H81" s="6" t="n">
        <v>1</v>
      </c>
      <c r="I81" s="6" t="n">
        <v>1</v>
      </c>
      <c r="J81" s="6" t="n">
        <v>1</v>
      </c>
      <c r="K81" s="6" t="n"/>
      <c r="P81">
        <f>MAX(P82,P83)</f>
        <v/>
      </c>
      <c r="S81">
        <f>S82+S83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1000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TorpTube</t>
        </is>
      </c>
      <c r="C82" s="7" t="inlineStr">
        <is>
          <t>Armament@PRIMARY</t>
        </is>
      </c>
      <c r="L82" s="6" t="n">
        <v>32000</v>
      </c>
      <c r="M82" s="6" t="n">
        <v>100</v>
      </c>
      <c r="N82" s="6" t="n">
        <v>1</v>
      </c>
      <c r="O82" s="6" t="n"/>
      <c r="P82" s="6" t="n">
        <v>10000</v>
      </c>
      <c r="Q82" s="6" t="n">
        <v>1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^Warhead_Concussion_Light, ^Warhead_MissileHE_Heavy</t>
        </is>
      </c>
    </row>
    <row r="83">
      <c r="B83" s="7" t="inlineStr">
        <is>
          <t xml:space="preserve">  ↳ TorpTubeThermobaric</t>
        </is>
      </c>
      <c r="C83" s="7" t="inlineStr">
        <is>
          <t>Armament@Upgrade</t>
        </is>
      </c>
      <c r="L83" s="6" t="n">
        <v>32000</v>
      </c>
      <c r="M83" s="6" t="n">
        <v>100</v>
      </c>
      <c r="N83" s="6" t="n">
        <v>1</v>
      </c>
      <c r="O83" s="6" t="n"/>
      <c r="P83" s="6" t="n">
        <v>10000</v>
      </c>
      <c r="Q83" s="6" t="n">
        <v>1</v>
      </c>
      <c r="R83">
        <f>M83+IF(N83&gt;1,N(O83)*(N83-1),0)</f>
        <v/>
      </c>
      <c r="S83">
        <f>IFERROR(L83*MAX(N83,1)/R83*IF(ISBLANK(K81),1,K81),0)</f>
        <v/>
      </c>
      <c r="AB83" s="7" t="inlineStr">
        <is>
          <t>^NuclearWarhead, ^HeavyMissile</t>
        </is>
      </c>
    </row>
    <row r="84">
      <c r="A84" s="4" t="inlineStr">
        <is>
          <t>BUILDINGS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t="inlineStr">
        <is>
          <t>shared</t>
        </is>
      </c>
      <c r="B85" t="inlineStr">
        <is>
          <t>japan_japanesenavalyard</t>
        </is>
      </c>
      <c r="C85" t="inlineStr">
        <is>
          <t>Japanese Naval Yard</t>
        </is>
      </c>
      <c r="D85" s="6" t="inlineStr">
        <is>
          <t>Building</t>
        </is>
      </c>
      <c r="E85" s="6" t="n">
        <v>600000</v>
      </c>
      <c r="F85" s="6" t="n"/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K85" s="6" t="n"/>
      <c r="X85" s="6" t="n">
        <v>3000</v>
      </c>
    </row>
    <row r="86">
      <c r="A86" t="inlineStr">
        <is>
          <t>shared</t>
        </is>
      </c>
      <c r="B86" t="inlineStr">
        <is>
          <t>ra1_advancedpowerplant</t>
        </is>
      </c>
      <c r="C86" t="inlineStr">
        <is>
          <t>Advanced Power Plant</t>
        </is>
      </c>
      <c r="D86" s="6" t="inlineStr">
        <is>
          <t>Building</t>
        </is>
      </c>
      <c r="E86" s="6" t="n">
        <v>250000</v>
      </c>
      <c r="F86" s="6" t="n"/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K86" s="6" t="n"/>
      <c r="X86" s="6" t="n">
        <v>1000</v>
      </c>
    </row>
    <row r="87">
      <c r="A87" t="inlineStr">
        <is>
          <t>shared</t>
        </is>
      </c>
      <c r="B87" t="inlineStr">
        <is>
          <t>ra1_allies_alliednavalyard</t>
        </is>
      </c>
      <c r="C87" t="inlineStr">
        <is>
          <t>Allied Naval Yard</t>
        </is>
      </c>
      <c r="D87" s="6" t="inlineStr">
        <is>
          <t>Building</t>
        </is>
      </c>
      <c r="E87" s="6" t="n">
        <v>600000</v>
      </c>
      <c r="F87" s="6" t="n"/>
      <c r="G87" t="inlineStr">
        <is>
          <t>Concrete</t>
        </is>
      </c>
      <c r="H87" s="6" t="n">
        <v>1</v>
      </c>
      <c r="I87" s="6" t="n">
        <v>1</v>
      </c>
      <c r="J87" s="6" t="n">
        <v>1</v>
      </c>
      <c r="K87" s="6" t="n"/>
      <c r="X87" s="6" t="n">
        <v>3000</v>
      </c>
    </row>
    <row r="88">
      <c r="A88" t="inlineStr">
        <is>
          <t>shared</t>
        </is>
      </c>
      <c r="B88" t="inlineStr">
        <is>
          <t>ra1_oresilo</t>
        </is>
      </c>
      <c r="C88" t="inlineStr">
        <is>
          <t>Ore Silo</t>
        </is>
      </c>
      <c r="D88" s="6" t="inlineStr">
        <is>
          <t>Building</t>
        </is>
      </c>
      <c r="E88" s="6" t="n">
        <v>50000</v>
      </c>
      <c r="F88" s="6" t="n"/>
      <c r="G88" t="inlineStr">
        <is>
          <t>Wood</t>
        </is>
      </c>
      <c r="H88" s="6" t="n">
        <v>1</v>
      </c>
      <c r="I88" s="6" t="n">
        <v>1</v>
      </c>
      <c r="J88" s="6" t="n">
        <v>1</v>
      </c>
      <c r="K88" s="6" t="n"/>
      <c r="X88" s="6" t="n">
        <v>150</v>
      </c>
    </row>
    <row r="89">
      <c r="A89" t="inlineStr">
        <is>
          <t>shared</t>
        </is>
      </c>
      <c r="B89" t="inlineStr">
        <is>
          <t>ra1_powerplant</t>
        </is>
      </c>
      <c r="C89" t="inlineStr">
        <is>
          <t>Power Plant</t>
        </is>
      </c>
      <c r="D89" s="6" t="inlineStr">
        <is>
          <t>Building</t>
        </is>
      </c>
      <c r="E89" s="6" t="n">
        <v>125000</v>
      </c>
      <c r="F89" s="6" t="n"/>
      <c r="G89" t="inlineStr">
        <is>
          <t>Wood</t>
        </is>
      </c>
      <c r="H89" s="6" t="n">
        <v>1</v>
      </c>
      <c r="I89" s="6" t="n">
        <v>1</v>
      </c>
      <c r="J89" s="6" t="n">
        <v>1</v>
      </c>
      <c r="K89" s="6" t="n"/>
      <c r="X89" s="6" t="n">
        <v>500</v>
      </c>
    </row>
    <row r="90">
      <c r="A90" t="inlineStr">
        <is>
          <t>shared</t>
        </is>
      </c>
      <c r="B90" t="inlineStr">
        <is>
          <t>ra1_soviets_kennel</t>
        </is>
      </c>
      <c r="C90" t="inlineStr">
        <is>
          <t>Kennel</t>
        </is>
      </c>
      <c r="D90" s="6" t="inlineStr">
        <is>
          <t>Building</t>
        </is>
      </c>
      <c r="E90" s="6" t="n">
        <v>50000</v>
      </c>
      <c r="F90" s="6" t="n"/>
      <c r="G90" t="inlineStr">
        <is>
          <t>Wood</t>
        </is>
      </c>
      <c r="H90" s="6" t="n">
        <v>1</v>
      </c>
      <c r="I90" s="6" t="n">
        <v>1</v>
      </c>
      <c r="J90" s="6" t="n">
        <v>1</v>
      </c>
      <c r="K90" s="6" t="n"/>
      <c r="X90" s="6" t="n">
        <v>200</v>
      </c>
    </row>
    <row r="91">
      <c r="A91" t="inlineStr">
        <is>
          <t>shared</t>
        </is>
      </c>
      <c r="B91" t="inlineStr">
        <is>
          <t>ra1_soviets_subpen</t>
        </is>
      </c>
      <c r="C91" t="inlineStr">
        <is>
          <t>Soviet Sub Pen</t>
        </is>
      </c>
      <c r="D91" s="6" t="inlineStr">
        <is>
          <t>Building</t>
        </is>
      </c>
      <c r="E91" s="6" t="n">
        <v>600000</v>
      </c>
      <c r="F91" s="6" t="n"/>
      <c r="G91" t="inlineStr">
        <is>
          <t>Concrete</t>
        </is>
      </c>
      <c r="H91" s="6" t="n">
        <v>1</v>
      </c>
      <c r="I91" s="6" t="n">
        <v>1</v>
      </c>
      <c r="J91" s="6" t="n">
        <v>1</v>
      </c>
      <c r="K91" s="6" t="n"/>
      <c r="X91" s="6" t="n">
        <v>800</v>
      </c>
    </row>
    <row r="92">
      <c r="A92" s="4" t="inlineStr">
        <is>
          <t>UPGRADES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t="inlineStr">
        <is>
          <t>shared</t>
        </is>
      </c>
      <c r="B93" t="inlineStr">
        <is>
          <t>japan_upgrade_nanotechrepairs_proxy_actor</t>
        </is>
      </c>
      <c r="C93" t="inlineStr">
        <is>
          <t>Nanotech Repairs</t>
        </is>
      </c>
      <c r="D93" s="6" t="inlineStr">
        <is>
          <t>ResearchedUpgrade</t>
        </is>
      </c>
      <c r="E93" s="6" t="n"/>
      <c r="F93" s="6" t="n"/>
      <c r="H93" s="6" t="n">
        <v>1</v>
      </c>
      <c r="I93" s="6" t="n">
        <v>1</v>
      </c>
      <c r="J93" s="6" t="n">
        <v>1</v>
      </c>
      <c r="K93" s="6" t="n"/>
      <c r="X93" s="6" t="n"/>
    </row>
    <row r="94">
      <c r="A94" t="inlineStr">
        <is>
          <t>shared</t>
        </is>
      </c>
      <c r="B94" t="inlineStr">
        <is>
          <t>ra1_allies_upgrade_gpssatellitesupport_proxy_actor</t>
        </is>
      </c>
      <c r="C94" t="inlineStr">
        <is>
          <t>GPS Satellite Support</t>
        </is>
      </c>
      <c r="D94" s="6" t="inlineStr">
        <is>
          <t>ResearchedUpgrade</t>
        </is>
      </c>
      <c r="E94" s="6" t="n"/>
      <c r="F94" s="6" t="n"/>
      <c r="H94" s="6" t="n">
        <v>1</v>
      </c>
      <c r="I94" s="6" t="n">
        <v>1</v>
      </c>
      <c r="J94" s="6" t="n">
        <v>1</v>
      </c>
      <c r="K94" s="6" t="n"/>
      <c r="X94" s="6" t="n"/>
    </row>
    <row r="95">
      <c r="A95" t="inlineStr">
        <is>
          <t>shared</t>
        </is>
      </c>
      <c r="B95" t="inlineStr">
        <is>
          <t>ra1_soviets_upgrade_menofsteel_proxy_actor</t>
        </is>
      </c>
      <c r="C95" t="inlineStr">
        <is>
          <t>Men Of Steel</t>
        </is>
      </c>
      <c r="D95" s="6" t="inlineStr">
        <is>
          <t>ResearchedUpgrade</t>
        </is>
      </c>
      <c r="E95" s="6" t="n"/>
      <c r="F95" s="6" t="n"/>
      <c r="H95" s="6" t="n">
        <v>1</v>
      </c>
      <c r="I95" s="6" t="n">
        <v>1</v>
      </c>
      <c r="J95" s="6" t="n">
        <v>1</v>
      </c>
      <c r="K95" s="6" t="n"/>
      <c r="X95" s="6" t="n"/>
    </row>
    <row r="96">
      <c r="A96" t="inlineStr">
        <is>
          <t>shared</t>
        </is>
      </c>
      <c r="B96" t="inlineStr">
        <is>
          <t>ra1_soviets_upgrade_nuclearshells_proxy_actor</t>
        </is>
      </c>
      <c r="C96" t="inlineStr">
        <is>
          <t>Nuclear Tank Shells</t>
        </is>
      </c>
      <c r="D96" s="6" t="inlineStr">
        <is>
          <t>ResearchedUpgrade</t>
        </is>
      </c>
      <c r="E96" s="6" t="n"/>
      <c r="F96" s="6" t="n"/>
      <c r="H96" s="6" t="n">
        <v>1</v>
      </c>
      <c r="I96" s="6" t="n">
        <v>1</v>
      </c>
      <c r="J96" s="6" t="n">
        <v>1</v>
      </c>
      <c r="K96" s="6" t="n"/>
      <c r="X96" s="6" t="n"/>
    </row>
    <row r="97">
      <c r="A97" t="inlineStr">
        <is>
          <t>shared</t>
        </is>
      </c>
      <c r="B97" t="inlineStr">
        <is>
          <t>ra1_soviets_upgrade_reactoroverload_proxy_actor</t>
        </is>
      </c>
      <c r="C97" t="inlineStr">
        <is>
          <t>Reactor Overload</t>
        </is>
      </c>
      <c r="D97" s="6" t="inlineStr">
        <is>
          <t>ResearchedUpgrade</t>
        </is>
      </c>
      <c r="E97" s="6" t="n"/>
      <c r="F97" s="6" t="n"/>
      <c r="H97" s="6" t="n">
        <v>1</v>
      </c>
      <c r="I97" s="6" t="n">
        <v>1</v>
      </c>
      <c r="J97" s="6" t="n">
        <v>1</v>
      </c>
      <c r="K97" s="6" t="n"/>
      <c r="X97" s="6" t="n"/>
    </row>
    <row r="98">
      <c r="A98" t="inlineStr">
        <is>
          <t>shared</t>
        </is>
      </c>
      <c r="B98" t="inlineStr">
        <is>
          <t>ra1_soviets_upgrade_scorchedearth_proxy_actor</t>
        </is>
      </c>
      <c r="C98" t="inlineStr">
        <is>
          <t>Scorched Earth</t>
        </is>
      </c>
      <c r="D98" s="6" t="inlineStr">
        <is>
          <t>ResearchedUpgrade</t>
        </is>
      </c>
      <c r="E98" s="6" t="n"/>
      <c r="F98" s="6" t="n"/>
      <c r="H98" s="6" t="n">
        <v>1</v>
      </c>
      <c r="I98" s="6" t="n">
        <v>1</v>
      </c>
      <c r="J98" s="6" t="n">
        <v>1</v>
      </c>
      <c r="K98" s="6" t="n"/>
      <c r="X98" s="6" t="n"/>
    </row>
    <row r="99">
      <c r="A99" t="inlineStr">
        <is>
          <t>shared</t>
        </is>
      </c>
      <c r="B99" t="inlineStr">
        <is>
          <t>ra1_soviets_upgrade_stalinium_proxy_actor</t>
        </is>
      </c>
      <c r="C99" t="inlineStr">
        <is>
          <t>Stalinium</t>
        </is>
      </c>
      <c r="D99" s="6" t="inlineStr">
        <is>
          <t>ResearchedUpgrade</t>
        </is>
      </c>
      <c r="E99" s="6" t="n"/>
      <c r="F99" s="6" t="n"/>
      <c r="H99" s="6" t="n">
        <v>1</v>
      </c>
      <c r="I99" s="6" t="n">
        <v>1</v>
      </c>
      <c r="J99" s="6" t="n">
        <v>1</v>
      </c>
      <c r="K99" s="6" t="n"/>
      <c r="X99" s="6" t="n"/>
    </row>
    <row r="100">
      <c r="A100" t="inlineStr">
        <is>
          <t>shared</t>
        </is>
      </c>
      <c r="B100" t="inlineStr">
        <is>
          <t>ra1_soviets_upgrade_wareconomy_proxy_actor</t>
        </is>
      </c>
      <c r="C100" t="inlineStr">
        <is>
          <t>War Economy</t>
        </is>
      </c>
      <c r="D100" s="6" t="inlineStr">
        <is>
          <t>ResearchedUpgrade</t>
        </is>
      </c>
      <c r="E100" s="6" t="n"/>
      <c r="F100" s="6" t="n"/>
      <c r="H100" s="6" t="n">
        <v>1</v>
      </c>
      <c r="I100" s="6" t="n">
        <v>1</v>
      </c>
      <c r="J100" s="6" t="n">
        <v>1</v>
      </c>
      <c r="K100" s="6" t="n"/>
      <c r="X1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japan_archermaiden</t>
        </is>
      </c>
      <c r="C3" t="inlineStr">
        <is>
          <t>Archer Maiden</t>
        </is>
      </c>
      <c r="D3" s="6" t="inlineStr">
        <is>
          <t>SniperInfantry</t>
        </is>
      </c>
      <c r="E3" s="6" t="n">
        <v>20000</v>
      </c>
      <c r="F3" s="6" t="n">
        <v>72</v>
      </c>
      <c r="G3" t="inlineStr">
        <is>
          <t>Flak</t>
        </is>
      </c>
      <c r="H3" s="6" t="n">
        <v>1</v>
      </c>
      <c r="I3" s="6" t="n">
        <v>0.75</v>
      </c>
      <c r="J3" s="6" t="n">
        <v>1</v>
      </c>
      <c r="K3" s="6" t="n"/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(((E3/20000)+(F3/70)+(S3/200)+((P3/7000)*J3))*500/4+(((E3/20000)*(F3/70))+(((P3/7000)*J3)*(S3/200)))*500/2+((E3/20000)*(F3/70)*((P3/7000)*J3)*(S3/200))*500)*(H3/1.0)/3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IFERROR(ROUND(((3*X3-(((E3/20000)+(F3/70)+(S3/200))*500/4+((E3/20000)*(F3/70))*500/2)*(H3/1.0))/(500/4+((S3/200))*500/2+((E3/20000)*(F3/70)*(S3/200))*500)*(H3/1.0)*7000)/J3,-1),"")</f>
        <v/>
      </c>
    </row>
    <row r="4">
      <c r="B4" s="7" t="inlineStr">
        <is>
          <t xml:space="preserve">  ↳ JapanMaidenBow</t>
        </is>
      </c>
      <c r="C4" s="7" t="inlineStr">
        <is>
          <t>Armament@PRIMARY</t>
        </is>
      </c>
      <c r="L4" s="6" t="n">
        <v>40000</v>
      </c>
      <c r="M4" s="6" t="n">
        <v>100</v>
      </c>
      <c r="N4" s="6" t="n">
        <v>1</v>
      </c>
      <c r="O4" s="6" t="n"/>
      <c r="P4" s="6" t="n">
        <v>7500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^Warhead_Arrow_Light</t>
        </is>
      </c>
    </row>
    <row r="5">
      <c r="B5" s="7" t="inlineStr">
        <is>
          <t xml:space="preserve">  ↳ JapanMaidenBow</t>
        </is>
      </c>
      <c r="C5" s="7" t="inlineStr">
        <is>
          <t>Armament@GARRISONED</t>
        </is>
      </c>
      <c r="L5" s="6" t="n">
        <v>40000</v>
      </c>
      <c r="M5" s="6" t="n">
        <v>100</v>
      </c>
      <c r="N5" s="6" t="n">
        <v>1</v>
      </c>
      <c r="O5" s="6" t="n"/>
      <c r="P5" s="6" t="n">
        <v>7500</v>
      </c>
      <c r="Q5" s="6" t="n">
        <v>0.75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^Warhead_Arrow_Light</t>
        </is>
      </c>
    </row>
    <row r="6">
      <c r="B6" s="7" t="inlineStr">
        <is>
          <t xml:space="preserve">  ↳ JapanMaidenBowEnergized</t>
        </is>
      </c>
      <c r="C6" s="7" t="inlineStr">
        <is>
          <t>Armament@Upgrade</t>
        </is>
      </c>
      <c r="L6" s="6" t="n">
        <v>42000</v>
      </c>
      <c r="M6" s="6" t="n">
        <v>100</v>
      </c>
      <c r="N6" s="6" t="n">
        <v>1</v>
      </c>
      <c r="O6" s="6" t="n"/>
      <c r="P6" s="6" t="n">
        <v>7500</v>
      </c>
      <c r="Q6" s="6" t="n">
        <v>0.75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^Warhead_Arrow_Light</t>
        </is>
      </c>
    </row>
    <row r="7">
      <c r="B7" s="7" t="inlineStr">
        <is>
          <t xml:space="preserve">  ↳ JapanMaidenBowEnergized</t>
        </is>
      </c>
      <c r="C7" s="7" t="inlineStr">
        <is>
          <t>Armament@UpgradeGARRISONED</t>
        </is>
      </c>
      <c r="L7" s="6" t="n">
        <v>42000</v>
      </c>
      <c r="M7" s="6" t="n">
        <v>100</v>
      </c>
      <c r="N7" s="6" t="n">
        <v>1</v>
      </c>
      <c r="O7" s="6" t="n"/>
      <c r="P7" s="6" t="n">
        <v>7500</v>
      </c>
      <c r="Q7" s="6" t="n">
        <v>0.75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^Warhead_Arrow_Light</t>
        </is>
      </c>
    </row>
    <row r="8">
      <c r="A8" t="inlineStr">
        <is>
          <t>redalert</t>
        </is>
      </c>
      <c r="B8" t="inlineStr">
        <is>
          <t>japan_exorcist</t>
        </is>
      </c>
      <c r="C8" t="inlineStr">
        <is>
          <t>Exorcist</t>
        </is>
      </c>
      <c r="D8" s="6" t="inlineStr">
        <is>
          <t>HeroInfantry</t>
        </is>
      </c>
      <c r="E8" s="6" t="n">
        <v>75000</v>
      </c>
      <c r="F8" s="6" t="n">
        <v>60</v>
      </c>
      <c r="G8" t="inlineStr">
        <is>
          <t>Heroic</t>
        </is>
      </c>
      <c r="H8" s="6" t="n">
        <v>0.75</v>
      </c>
      <c r="I8" s="6" t="n">
        <v>1</v>
      </c>
      <c r="J8" s="6" t="n">
        <v>1.25</v>
      </c>
      <c r="K8" s="6" t="n"/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3000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Hakureiring</t>
        </is>
      </c>
      <c r="C9" s="7" t="inlineStr">
        <is>
          <t>Armament@PRIMARY</t>
        </is>
      </c>
      <c r="L9" s="6" t="n">
        <v>20000</v>
      </c>
      <c r="M9" s="6" t="n">
        <v>30</v>
      </c>
      <c r="N9" s="6" t="n">
        <v>3</v>
      </c>
      <c r="O9" s="6" t="n">
        <v>10</v>
      </c>
      <c r="P9" s="6" t="n">
        <v>6666</v>
      </c>
      <c r="Q9" s="6" t="n">
        <v>1.25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^Warhead_Magic_Heavy</t>
        </is>
      </c>
    </row>
    <row r="10">
      <c r="B10" s="7" t="inlineStr">
        <is>
          <t xml:space="preserve">  ↳ Hakureiring2</t>
        </is>
      </c>
      <c r="C10" s="7" t="inlineStr">
        <is>
          <t>Armament@Special</t>
        </is>
      </c>
      <c r="L10" s="6" t="n">
        <v>240000</v>
      </c>
      <c r="M10" s="6" t="n">
        <v>100</v>
      </c>
      <c r="N10" s="6" t="n">
        <v>1</v>
      </c>
      <c r="O10" s="6" t="n">
        <v>10</v>
      </c>
      <c r="P10" s="6" t="n">
        <v>6666</v>
      </c>
      <c r="Q10" s="6" t="n">
        <v>1.25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^Warhead_Magic_Heavy</t>
        </is>
      </c>
    </row>
    <row r="11">
      <c r="B11" s="7" t="inlineStr">
        <is>
          <t xml:space="preserve">  ↳ Hakureiring</t>
        </is>
      </c>
      <c r="C11" s="7" t="inlineStr">
        <is>
          <t>Armament@GARRISONED</t>
        </is>
      </c>
      <c r="L11" s="6" t="n">
        <v>20000</v>
      </c>
      <c r="M11" s="6" t="n">
        <v>30</v>
      </c>
      <c r="N11" s="6" t="n">
        <v>3</v>
      </c>
      <c r="O11" s="6" t="n">
        <v>10</v>
      </c>
      <c r="P11" s="6" t="n">
        <v>6666</v>
      </c>
      <c r="Q11" s="6" t="n">
        <v>1.25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^Warhead_Magic_Heavy</t>
        </is>
      </c>
    </row>
    <row r="12">
      <c r="B12" s="7" t="inlineStr">
        <is>
          <t xml:space="preserve">  ↳ Hakureiring2</t>
        </is>
      </c>
      <c r="C12" s="7" t="inlineStr">
        <is>
          <t>Armament@GARRISONEDSpecial</t>
        </is>
      </c>
      <c r="L12" s="6" t="n">
        <v>240000</v>
      </c>
      <c r="M12" s="6" t="n">
        <v>100</v>
      </c>
      <c r="N12" s="6" t="n">
        <v>1</v>
      </c>
      <c r="O12" s="6" t="n">
        <v>10</v>
      </c>
      <c r="P12" s="6" t="n">
        <v>6666</v>
      </c>
      <c r="Q12" s="6" t="n">
        <v>1.25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^Warhead_Magic_Heavy</t>
        </is>
      </c>
    </row>
    <row r="13">
      <c r="A13" t="inlineStr">
        <is>
          <t>redalert</t>
        </is>
      </c>
      <c r="B13" t="inlineStr">
        <is>
          <t>japan_imperialscoutsman</t>
        </is>
      </c>
      <c r="C13" t="inlineStr">
        <is>
          <t>Imperial Scoutsman</t>
        </is>
      </c>
      <c r="D13" s="6" t="inlineStr">
        <is>
          <t>SpecialForcesInfantry</t>
        </is>
      </c>
      <c r="E13" s="6" t="n">
        <v>15000</v>
      </c>
      <c r="F13" s="6" t="n">
        <v>50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K13" s="6" t="n">
        <v>0.01</v>
      </c>
      <c r="P13">
        <f>MAX(P14,P16)</f>
        <v/>
      </c>
      <c r="S13">
        <f>S14+S16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(((E13/15000)+(F13/50)+(S13/240)+((P13/6000)*J13))*200/4+(((E13/15000)*(F13/50))+(((P13/6000)*J13)*(S13/240)))*200/2+((E13/15000)*(F13/50)*((P13/6000)*J13)*(S13/240))*200)*(H13/1.0)/3</f>
        <v/>
      </c>
      <c r="X13" s="6" t="n">
        <v>200</v>
      </c>
      <c r="Y13">
        <f>IFERROR(W13-X13,"")</f>
        <v/>
      </c>
      <c r="Z13">
        <f>IFERROR(ABS(Y13)/MAX(X13,1),"")</f>
        <v/>
      </c>
      <c r="AA13">
        <f>IFERROR(ROUND(((3*X13-(((E13/15000)+(F13/50)+(S13/240))*200/4+((E13/15000)*(F13/50))*200/2)*(H13/1.0))/(200/4+((S13/240))*200/2+((E13/15000)*(F13/50)*(S13/240))*200)*(H13/1.0)*6000)/J13,-1),"")</f>
        <v/>
      </c>
    </row>
    <row r="14">
      <c r="B14" s="7" t="inlineStr">
        <is>
          <t xml:space="preserve">  ↳ japan_imperialscoutsman_rifle</t>
        </is>
      </c>
      <c r="C14" s="7" t="inlineStr">
        <is>
          <t>Armament@PRIMARY</t>
        </is>
      </c>
      <c r="L14" s="6" t="n">
        <v>12000</v>
      </c>
      <c r="M14" s="6" t="n">
        <v>50</v>
      </c>
      <c r="N14" s="6" t="n">
        <v>1</v>
      </c>
      <c r="O14" s="6" t="n"/>
      <c r="P14" s="6" t="n">
        <v>6000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^RailgunWeapon, ^Chaingun, ^SmallArms</t>
        </is>
      </c>
    </row>
    <row r="15">
      <c r="B15" s="7" t="inlineStr">
        <is>
          <t xml:space="preserve">  ↳ japan_imperialscoutsman_rifle</t>
        </is>
      </c>
      <c r="C15" s="7" t="inlineStr">
        <is>
          <t>Armament@GARRISONED</t>
        </is>
      </c>
      <c r="L15" s="6" t="n">
        <v>12000</v>
      </c>
      <c r="M15" s="6" t="n">
        <v>50</v>
      </c>
      <c r="N15" s="6" t="n">
        <v>1</v>
      </c>
      <c r="O15" s="6" t="n"/>
      <c r="P15" s="6" t="n">
        <v>6000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^RailgunWeapon, ^Chaingun, ^SmallArms</t>
        </is>
      </c>
    </row>
    <row r="16">
      <c r="B16" s="7" t="inlineStr">
        <is>
          <t xml:space="preserve">  ↳ japan_imperialscoutsman_rifle_waveforce</t>
        </is>
      </c>
      <c r="C16" s="7" t="inlineStr">
        <is>
          <t>Armament@Upgrade</t>
        </is>
      </c>
      <c r="L16" s="6" t="n">
        <v>14000</v>
      </c>
      <c r="M16" s="6" t="n">
        <v>50</v>
      </c>
      <c r="N16" s="6" t="n">
        <v>1</v>
      </c>
      <c r="O16" s="6" t="n"/>
      <c r="P16" s="6" t="n">
        <v>6000</v>
      </c>
      <c r="Q16" s="6" t="n">
        <v>1</v>
      </c>
      <c r="R16">
        <f>M16+IF(N16&gt;1,N(O16)*(N16-1),0)</f>
        <v/>
      </c>
      <c r="S16">
        <f>IFERROR(L16*MAX(N16,1)/R16*IF(ISBLANK(K13),1,K13),0)</f>
        <v/>
      </c>
      <c r="AB16" s="7" t="inlineStr">
        <is>
          <t>^Warhead_Railgun_Heavy</t>
        </is>
      </c>
    </row>
    <row r="17">
      <c r="B17" s="7" t="inlineStr">
        <is>
          <t xml:space="preserve">  ↳ japan_imperialscoutsman_rifle_waveforce</t>
        </is>
      </c>
      <c r="C17" s="7" t="inlineStr">
        <is>
          <t>Armament@UpgradeGARRISONED</t>
        </is>
      </c>
      <c r="L17" s="6" t="n">
        <v>14000</v>
      </c>
      <c r="M17" s="6" t="n">
        <v>50</v>
      </c>
      <c r="N17" s="6" t="n">
        <v>1</v>
      </c>
      <c r="O17" s="6" t="n"/>
      <c r="P17" s="6" t="n">
        <v>6000</v>
      </c>
      <c r="Q17" s="6" t="n">
        <v>1</v>
      </c>
      <c r="R17">
        <f>M17+IF(N17&gt;1,N(O17)*(N17-1),0)</f>
        <v/>
      </c>
      <c r="S17">
        <f>IFERROR(L17*MAX(N17,1)/R17*IF(ISBLANK(K13),1,K13),0)</f>
        <v/>
      </c>
      <c r="AB17" s="7" t="inlineStr">
        <is>
          <t>^Warhead_Railgun_Heavy</t>
        </is>
      </c>
    </row>
    <row r="18">
      <c r="A18" t="inlineStr">
        <is>
          <t>redalert</t>
        </is>
      </c>
      <c r="B18" t="inlineStr">
        <is>
          <t>japan_japaneseflamethrower</t>
        </is>
      </c>
      <c r="C18" t="inlineStr">
        <is>
          <t>Japanese Flamethrower</t>
        </is>
      </c>
      <c r="D18" s="6" t="inlineStr">
        <is>
          <t>HeavyInfantry</t>
        </is>
      </c>
      <c r="E18" s="6" t="n">
        <v>15000</v>
      </c>
      <c r="F18" s="6" t="n">
        <v>50</v>
      </c>
      <c r="G18" t="inlineStr">
        <is>
          <t>Plate</t>
        </is>
      </c>
      <c r="H18" s="6" t="n">
        <v>1</v>
      </c>
      <c r="I18" s="6" t="n">
        <v>0.4</v>
      </c>
      <c r="J18" s="6" t="n">
        <v>1</v>
      </c>
      <c r="K18" s="6" t="n"/>
      <c r="P18">
        <f>MAX(P19,P21)</f>
        <v/>
      </c>
      <c r="S18">
        <f>S19+S21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200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Flamer</t>
        </is>
      </c>
      <c r="C19" s="7" t="inlineStr">
        <is>
          <t>Armament</t>
        </is>
      </c>
      <c r="L19" s="6" t="n">
        <v>2000</v>
      </c>
      <c r="M19" s="6" t="n">
        <v>35</v>
      </c>
      <c r="N19" s="6" t="n">
        <v>15</v>
      </c>
      <c r="O19" s="6" t="n">
        <v>1</v>
      </c>
      <c r="P19" s="6" t="n">
        <v>3603</v>
      </c>
      <c r="Q19" s="6" t="n">
        <v>0.75</v>
      </c>
      <c r="R19">
        <f>M19+IF(N19&gt;1,N(O19)*(N19-1),0)</f>
        <v/>
      </c>
      <c r="S19">
        <f>IFERROR(L19*MAX(N19,1)/R19*IF(ISBLANK(K18),1,K18),0)</f>
        <v/>
      </c>
      <c r="AB19" s="7" t="inlineStr">
        <is>
          <t>^Warhead_Flame_Light</t>
        </is>
      </c>
    </row>
    <row r="20">
      <c r="B20" s="7" t="inlineStr">
        <is>
          <t xml:space="preserve">  ↳ Flamer</t>
        </is>
      </c>
      <c r="C20" s="7" t="inlineStr">
        <is>
          <t>Armament@GARRISONED</t>
        </is>
      </c>
      <c r="L20" s="6" t="n">
        <v>2000</v>
      </c>
      <c r="M20" s="6" t="n">
        <v>35</v>
      </c>
      <c r="N20" s="6" t="n">
        <v>15</v>
      </c>
      <c r="O20" s="6" t="n">
        <v>1</v>
      </c>
      <c r="P20" s="6" t="n">
        <v>3603</v>
      </c>
      <c r="Q20" s="6" t="n">
        <v>0.75</v>
      </c>
      <c r="R20">
        <f>M20+IF(N20&gt;1,N(O20)*(N20-1),0)</f>
        <v/>
      </c>
      <c r="S20">
        <f>IFERROR(L20*MAX(N20,1)/R20*IF(ISBLANK(K18),1,K18),0)</f>
        <v/>
      </c>
      <c r="AB20" s="7" t="inlineStr">
        <is>
          <t>^Warhead_Flame_Light</t>
        </is>
      </c>
    </row>
    <row r="21">
      <c r="B21" s="7" t="inlineStr">
        <is>
          <t xml:space="preserve">  ↳ PlasmaFlamer</t>
        </is>
      </c>
      <c r="C21" s="7" t="inlineStr">
        <is>
          <t>Armament@Upgrade</t>
        </is>
      </c>
      <c r="L21" s="6" t="n">
        <v>4000</v>
      </c>
      <c r="M21" s="6" t="n">
        <v>35</v>
      </c>
      <c r="N21" s="6" t="n">
        <v>15</v>
      </c>
      <c r="O21" s="6" t="n">
        <v>1</v>
      </c>
      <c r="P21" s="6" t="n">
        <v>3603</v>
      </c>
      <c r="Q21" s="6" t="n">
        <v>1</v>
      </c>
      <c r="R21">
        <f>M21+IF(N21&gt;1,N(O21)*(N21-1),0)</f>
        <v/>
      </c>
      <c r="S21">
        <f>IFERROR(L21*MAX(N21,1)/R21*IF(ISBLANK(K18),1,K18),0)</f>
        <v/>
      </c>
      <c r="AB21" s="7" t="inlineStr">
        <is>
          <t>^MediumFlameWeapon, ^MediumChemicalWeapon</t>
        </is>
      </c>
    </row>
    <row r="22">
      <c r="B22" s="7" t="inlineStr">
        <is>
          <t xml:space="preserve">  ↳ PlasmaFlamer</t>
        </is>
      </c>
      <c r="C22" s="7" t="inlineStr">
        <is>
          <t>Armament@UpgradeGARRISONED</t>
        </is>
      </c>
      <c r="L22" s="6" t="n">
        <v>4000</v>
      </c>
      <c r="M22" s="6" t="n">
        <v>35</v>
      </c>
      <c r="N22" s="6" t="n">
        <v>15</v>
      </c>
      <c r="O22" s="6" t="n">
        <v>1</v>
      </c>
      <c r="P22" s="6" t="n">
        <v>3603</v>
      </c>
      <c r="Q22" s="6" t="n">
        <v>1</v>
      </c>
      <c r="R22">
        <f>M22+IF(N22&gt;1,N(O22)*(N22-1),0)</f>
        <v/>
      </c>
      <c r="S22">
        <f>IFERROR(L22*MAX(N22,1)/R22*IF(ISBLANK(K18),1,K18),0)</f>
        <v/>
      </c>
      <c r="AB22" s="7" t="inlineStr">
        <is>
          <t>^MediumFlameWeapon, ^MediumChemicalWeapon</t>
        </is>
      </c>
    </row>
    <row r="23">
      <c r="A23" t="inlineStr">
        <is>
          <t>redalert</t>
        </is>
      </c>
      <c r="B23" t="inlineStr">
        <is>
          <t>japan_rocketangel</t>
        </is>
      </c>
      <c r="C23" t="inlineStr">
        <is>
          <t>Rocket Angel</t>
        </is>
      </c>
      <c r="D23" s="6" t="inlineStr">
        <is>
          <t>FlyingInfantry</t>
        </is>
      </c>
      <c r="E23" s="6" t="n">
        <v>24000</v>
      </c>
      <c r="F23" s="6" t="n">
        <v>140</v>
      </c>
      <c r="G23" t="inlineStr">
        <is>
          <t>Scout</t>
        </is>
      </c>
      <c r="H23" s="6" t="n">
        <v>0.75</v>
      </c>
      <c r="I23" s="6" t="n">
        <v>1</v>
      </c>
      <c r="J23" s="6" t="n">
        <v>1.25</v>
      </c>
      <c r="K23" s="6" t="n">
        <v>0.005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900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RocketAngelRockets</t>
        </is>
      </c>
      <c r="C24" s="7" t="inlineStr">
        <is>
          <t>Armament@PRIMARY</t>
        </is>
      </c>
      <c r="L24" s="6" t="n">
        <v>12000</v>
      </c>
      <c r="M24" s="6" t="n">
        <v>34</v>
      </c>
      <c r="N24" s="6" t="n">
        <v>4</v>
      </c>
      <c r="O24" s="6" t="n">
        <v>2</v>
      </c>
      <c r="P24" s="6" t="n">
        <v>4600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^TeslaWeapon, ^HeavyMissile, ^MediumFlameWeapon, ^MediumChemicalWeapon, ^Grenade, ^ArrowWeapon</t>
        </is>
      </c>
    </row>
    <row r="25">
      <c r="A25" t="inlineStr">
        <is>
          <t>redalert</t>
        </is>
      </c>
      <c r="B25" t="inlineStr">
        <is>
          <t>japan_samurai</t>
        </is>
      </c>
      <c r="C25" t="inlineStr">
        <is>
          <t>Samurai</t>
        </is>
      </c>
      <c r="D25" s="6" t="inlineStr">
        <is>
          <t>MeleeInfantry</t>
        </is>
      </c>
      <c r="E25" s="6" t="n">
        <v>35000</v>
      </c>
      <c r="F25" s="6" t="n">
        <v>65</v>
      </c>
      <c r="G25" t="inlineStr">
        <is>
          <t>Plate</t>
        </is>
      </c>
      <c r="H25" s="6" t="n">
        <v>1</v>
      </c>
      <c r="I25" s="6" t="n">
        <v>0.75</v>
      </c>
      <c r="J25" s="6" t="n">
        <v>1</v>
      </c>
      <c r="K25" s="6" t="n"/>
      <c r="P25">
        <f>MAX(P26,P28)</f>
        <v/>
      </c>
      <c r="S25">
        <f>S26+S28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300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SamuraiBlade</t>
        </is>
      </c>
      <c r="C26" s="7" t="inlineStr">
        <is>
          <t>Armament@PRIMARY</t>
        </is>
      </c>
      <c r="L26" s="6" t="n">
        <v>10000</v>
      </c>
      <c r="M26" s="6" t="n">
        <v>20</v>
      </c>
      <c r="N26" s="6" t="n">
        <v>1</v>
      </c>
      <c r="O26" s="6" t="n"/>
      <c r="P26" s="6" t="n">
        <v>1637</v>
      </c>
      <c r="Q26" s="6" t="n">
        <v>1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^Warhead_Melee_Medium</t>
        </is>
      </c>
    </row>
    <row r="27">
      <c r="B27" s="7" t="inlineStr">
        <is>
          <t xml:space="preserve">  ↳ SamuraiBlade</t>
        </is>
      </c>
      <c r="C27" s="7" t="inlineStr">
        <is>
          <t>Armament@GARRISONED</t>
        </is>
      </c>
      <c r="L27" s="6" t="n">
        <v>10000</v>
      </c>
      <c r="M27" s="6" t="n">
        <v>20</v>
      </c>
      <c r="N27" s="6" t="n">
        <v>1</v>
      </c>
      <c r="O27" s="6" t="n"/>
      <c r="P27" s="6" t="n">
        <v>1637</v>
      </c>
      <c r="Q27" s="6" t="n">
        <v>1</v>
      </c>
      <c r="R27">
        <f>M27+IF(N27&gt;1,N(O27)*(N27-1),0)</f>
        <v/>
      </c>
      <c r="S27">
        <f>IFERROR(L27*MAX(N27,1)/R27*IF(ISBLANK(K25),1,K25),0)</f>
        <v/>
      </c>
      <c r="AB27" s="7" t="inlineStr">
        <is>
          <t>^Warhead_Melee_Medium</t>
        </is>
      </c>
    </row>
    <row r="28">
      <c r="B28" s="7" t="inlineStr">
        <is>
          <t xml:space="preserve">  ↳ SamuraiBladeCharged</t>
        </is>
      </c>
      <c r="C28" s="7" t="inlineStr">
        <is>
          <t>Armament@Upgrade</t>
        </is>
      </c>
      <c r="L28" s="6" t="n">
        <v>20000</v>
      </c>
      <c r="M28" s="6" t="n">
        <v>20</v>
      </c>
      <c r="N28" s="6" t="n">
        <v>1</v>
      </c>
      <c r="O28" s="6" t="n"/>
      <c r="P28" s="6" t="n">
        <v>1637</v>
      </c>
      <c r="Q28" s="6" t="n">
        <v>1</v>
      </c>
      <c r="R28">
        <f>M28+IF(N28&gt;1,N(O28)*(N28-1),0)</f>
        <v/>
      </c>
      <c r="S28">
        <f>IFERROR(L28*MAX(N28,1)/R28*IF(ISBLANK(K25),1,K25),0)</f>
        <v/>
      </c>
      <c r="AB28" s="7" t="inlineStr">
        <is>
          <t>^TeslaWeapon, ^SwordWeapon</t>
        </is>
      </c>
    </row>
    <row r="29">
      <c r="B29" s="7" t="inlineStr">
        <is>
          <t xml:space="preserve">  ↳ SamuraiBladeCharged</t>
        </is>
      </c>
      <c r="C29" s="7" t="inlineStr">
        <is>
          <t>Armament@UpgradeGARRISONED</t>
        </is>
      </c>
      <c r="L29" s="6" t="n">
        <v>20000</v>
      </c>
      <c r="M29" s="6" t="n">
        <v>20</v>
      </c>
      <c r="N29" s="6" t="n">
        <v>1</v>
      </c>
      <c r="O29" s="6" t="n"/>
      <c r="P29" s="6" t="n">
        <v>1637</v>
      </c>
      <c r="Q29" s="6" t="n">
        <v>1</v>
      </c>
      <c r="R29">
        <f>M29+IF(N29&gt;1,N(O29)*(N29-1),0)</f>
        <v/>
      </c>
      <c r="S29">
        <f>IFERROR(L29*MAX(N29,1)/R29*IF(ISBLANK(K25),1,K25),0)</f>
        <v/>
      </c>
      <c r="AB29" s="7" t="inlineStr">
        <is>
          <t>^TeslaWeapon, ^SwordWeapon</t>
        </is>
      </c>
    </row>
    <row r="30">
      <c r="A30" t="inlineStr">
        <is>
          <t>redalert</t>
        </is>
      </c>
      <c r="B30" t="inlineStr">
        <is>
          <t>japan_tankbuster</t>
        </is>
      </c>
      <c r="C30" t="inlineStr">
        <is>
          <t>Tank Buster</t>
        </is>
      </c>
      <c r="D30" s="6" t="inlineStr">
        <is>
          <t>HeavyInfantry</t>
        </is>
      </c>
      <c r="E30" s="6" t="n">
        <v>48000</v>
      </c>
      <c r="F30" s="6" t="n">
        <v>48</v>
      </c>
      <c r="G30" t="inlineStr">
        <is>
          <t>Plate</t>
        </is>
      </c>
      <c r="H30" s="6" t="n">
        <v>1</v>
      </c>
      <c r="I30" s="6" t="n">
        <v>0.8</v>
      </c>
      <c r="J30" s="6" t="n">
        <v>1</v>
      </c>
      <c r="K30" s="6" t="n"/>
      <c r="P30">
        <f>MAX(P31,P33)</f>
        <v/>
      </c>
      <c r="S30">
        <f>S31+S33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400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TankBusterBeamCannon</t>
        </is>
      </c>
      <c r="C31" s="7" t="inlineStr">
        <is>
          <t>Armament@PRIMARY</t>
        </is>
      </c>
      <c r="L31" s="6" t="n">
        <v>24000</v>
      </c>
      <c r="M31" s="6" t="n">
        <v>96</v>
      </c>
      <c r="N31" s="6" t="n">
        <v>1</v>
      </c>
      <c r="O31" s="6" t="n"/>
      <c r="P31" s="6" t="n">
        <v>5190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^TankDestroyerCannon, ^MediumCannon, ^RailgunWeapon</t>
        </is>
      </c>
    </row>
    <row r="32">
      <c r="B32" s="7" t="inlineStr">
        <is>
          <t xml:space="preserve">  ↳ TankBusterBeamCannon</t>
        </is>
      </c>
      <c r="C32" s="7" t="inlineStr">
        <is>
          <t>Armament@GARRISONED</t>
        </is>
      </c>
      <c r="L32" s="6" t="n">
        <v>24000</v>
      </c>
      <c r="M32" s="6" t="n">
        <v>96</v>
      </c>
      <c r="N32" s="6" t="n">
        <v>1</v>
      </c>
      <c r="O32" s="6" t="n"/>
      <c r="P32" s="6" t="n">
        <v>5190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^TankDestroyerCannon, ^MediumCannon, ^RailgunWeapon</t>
        </is>
      </c>
    </row>
    <row r="33">
      <c r="B33" s="7" t="inlineStr">
        <is>
          <t xml:space="preserve">  ↳ TankBusterBeamCannonCharged</t>
        </is>
      </c>
      <c r="C33" s="7" t="inlineStr">
        <is>
          <t>Armament@Upgrade</t>
        </is>
      </c>
      <c r="L33" s="6" t="n">
        <v>24000</v>
      </c>
      <c r="M33" s="6" t="n">
        <v>96</v>
      </c>
      <c r="N33" s="6" t="n">
        <v>1</v>
      </c>
      <c r="O33" s="6" t="n"/>
      <c r="P33" s="6" t="n">
        <v>5190</v>
      </c>
      <c r="Q33" s="6" t="n">
        <v>1.25</v>
      </c>
      <c r="R33">
        <f>M33+IF(N33&gt;1,N(O33)*(N33-1),0)</f>
        <v/>
      </c>
      <c r="S33">
        <f>IFERROR(L33*MAX(N33,1)/R33*IF(ISBLANK(K30),1,K30),0)</f>
        <v/>
      </c>
      <c r="AB33" s="7" t="inlineStr">
        <is>
          <t>^Warhead_Laser_Heavy</t>
        </is>
      </c>
    </row>
    <row r="34">
      <c r="B34" s="7" t="inlineStr">
        <is>
          <t xml:space="preserve">  ↳ TankBusterBeamCannonCharged</t>
        </is>
      </c>
      <c r="C34" s="7" t="inlineStr">
        <is>
          <t>Armament@UpgradeGARRISONED</t>
        </is>
      </c>
      <c r="L34" s="6" t="n">
        <v>24000</v>
      </c>
      <c r="M34" s="6" t="n">
        <v>96</v>
      </c>
      <c r="N34" s="6" t="n">
        <v>1</v>
      </c>
      <c r="O34" s="6" t="n"/>
      <c r="P34" s="6" t="n">
        <v>5190</v>
      </c>
      <c r="Q34" s="6" t="n">
        <v>1.25</v>
      </c>
      <c r="R34">
        <f>M34+IF(N34&gt;1,N(O34)*(N34-1),0)</f>
        <v/>
      </c>
      <c r="S34">
        <f>IFERROR(L34*MAX(N34,1)/R34*IF(ISBLANK(K30),1,K30),0)</f>
        <v/>
      </c>
      <c r="AB34" s="7" t="inlineStr">
        <is>
          <t>^Warhead_Laser_Heavy</t>
        </is>
      </c>
    </row>
    <row r="35">
      <c r="A35" s="4" t="inlineStr">
        <is>
          <t>VEHICLES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>
      <c r="A36" t="inlineStr">
        <is>
          <t>redalert</t>
        </is>
      </c>
      <c r="B36" t="inlineStr">
        <is>
          <t>japan_armoredcar</t>
        </is>
      </c>
      <c r="C36" t="inlineStr">
        <is>
          <t>Armored Car</t>
        </is>
      </c>
      <c r="D36" s="6" t="inlineStr">
        <is>
          <t>AntiAirVehicle</t>
        </is>
      </c>
      <c r="E36" s="6" t="n">
        <v>42500</v>
      </c>
      <c r="F36" s="6" t="n">
        <v>130</v>
      </c>
      <c r="G36" t="inlineStr">
        <is>
          <t>Medium</t>
        </is>
      </c>
      <c r="H36" s="6" t="n">
        <v>1</v>
      </c>
      <c r="I36" s="6" t="n">
        <v>1.25</v>
      </c>
      <c r="J36" s="6" t="n">
        <v>1</v>
      </c>
      <c r="K36" s="6" t="n">
        <v>0.0125</v>
      </c>
      <c r="P36">
        <f>MAX(P37,P38,P39,P40)</f>
        <v/>
      </c>
      <c r="S36">
        <f>S37+S38+S39+S40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(((E36/170000)+(F36/110)+(S36/1250)+((P36/6000)*J36))*1000/4+(((E36/170000)*(F36/110))+(((P36/6000)*J36)*(S36/1250)))*1000/2+((E36/170000)*(F36/110)*((P36/6000)*J36)*(S36/1250))*1000)*(H36/1.0)/3</f>
        <v/>
      </c>
      <c r="X36" s="6" t="n">
        <v>700</v>
      </c>
      <c r="Y36">
        <f>IFERROR(W36-X36,"")</f>
        <v/>
      </c>
      <c r="Z36">
        <f>IFERROR(ABS(Y36)/MAX(X36,1),"")</f>
        <v/>
      </c>
      <c r="AA36">
        <f>IFERROR(ROUND(((3*X36-(((E36/170000)+(F36/110)+(S36/1250))*1000/4+((E36/170000)*(F36/110))*1000/2)*(H36/1.0))/(1000/4+((S36/1250))*1000/2+((E36/170000)*(F36/110)*(S36/1250))*1000)*(H36/1.0)*6000)/J36,-1),"")</f>
        <v/>
      </c>
    </row>
    <row r="37">
      <c r="B37" s="7" t="inlineStr">
        <is>
          <t xml:space="preserve">  ↳ ArmoredCarMG</t>
        </is>
      </c>
      <c r="C37" s="7" t="inlineStr">
        <is>
          <t>Armament@AG</t>
        </is>
      </c>
      <c r="L37" s="6" t="n">
        <v>16000</v>
      </c>
      <c r="M37" s="6" t="n">
        <v>8</v>
      </c>
      <c r="N37" s="6" t="n">
        <v>1</v>
      </c>
      <c r="O37" s="6" t="n"/>
      <c r="P37" s="6" t="n">
        <v>5012</v>
      </c>
      <c r="Q37" s="6" t="n">
        <v>1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^ArrowWeapon, ^TankDestroyerCannon, ^SmallArms, ^Grenade, ^MediumCannon, ^MediumMissile, ^FlakWeapon, ^Chaingun</t>
        </is>
      </c>
    </row>
    <row r="38">
      <c r="B38" s="7" t="inlineStr">
        <is>
          <t xml:space="preserve">  ↳ ArmoredCarMG_AA</t>
        </is>
      </c>
      <c r="C38" s="7" t="inlineStr">
        <is>
          <t>Armament@AA</t>
        </is>
      </c>
      <c r="L38" s="6" t="n">
        <v>16000</v>
      </c>
      <c r="M38" s="6" t="n">
        <v>8</v>
      </c>
      <c r="N38" s="6" t="n">
        <v>1</v>
      </c>
      <c r="O38" s="6" t="n"/>
      <c r="P38" s="6" t="n">
        <v>7518</v>
      </c>
      <c r="Q38" s="6" t="n">
        <v>1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ArmoredCarMG</t>
        </is>
      </c>
    </row>
    <row r="39">
      <c r="B39" s="7" t="inlineStr">
        <is>
          <t xml:space="preserve">  ↳ ArmoredCarMGWaveforce</t>
        </is>
      </c>
      <c r="C39" s="7" t="inlineStr">
        <is>
          <t>Armament@UpgradeAG</t>
        </is>
      </c>
      <c r="L39" s="6" t="n">
        <v>19000</v>
      </c>
      <c r="M39" s="6" t="n">
        <v>8</v>
      </c>
      <c r="N39" s="6" t="n">
        <v>1</v>
      </c>
      <c r="O39" s="6" t="n"/>
      <c r="P39" s="6" t="n">
        <v>5012</v>
      </c>
      <c r="Q39" s="6" t="n">
        <v>1.25</v>
      </c>
      <c r="R39">
        <f>M39+IF(N39&gt;1,N(O39)*(N39-1),0)</f>
        <v/>
      </c>
      <c r="S39">
        <f>IFERROR(L39*MAX(N39,1)/R39*IF(ISBLANK(K36),1,K36),0)</f>
        <v/>
      </c>
      <c r="AB39" s="7" t="inlineStr">
        <is>
          <t>^Warhead_Railgun_Heavy</t>
        </is>
      </c>
    </row>
    <row r="40">
      <c r="B40" s="7" t="inlineStr">
        <is>
          <t xml:space="preserve">  ↳ ArmoredCarMGAAWaveforce</t>
        </is>
      </c>
      <c r="C40" s="7" t="inlineStr">
        <is>
          <t>Armament@UpgradeAA</t>
        </is>
      </c>
      <c r="L40" s="6" t="n">
        <v>19000</v>
      </c>
      <c r="M40" s="6" t="n">
        <v>8</v>
      </c>
      <c r="N40" s="6" t="n">
        <v>1</v>
      </c>
      <c r="O40" s="6" t="n"/>
      <c r="P40" s="6" t="n">
        <v>7518</v>
      </c>
      <c r="Q40" s="6" t="n">
        <v>1.25</v>
      </c>
      <c r="R40">
        <f>M40+IF(N40&gt;1,N(O40)*(N40-1),0)</f>
        <v/>
      </c>
      <c r="S40">
        <f>IFERROR(L40*MAX(N40,1)/R40*IF(ISBLANK(K36),1,K36),0)</f>
        <v/>
      </c>
      <c r="AB40" s="7" t="inlineStr">
        <is>
          <t>^Warhead_Railgun_Heavy</t>
        </is>
      </c>
    </row>
    <row r="41">
      <c r="A41" t="inlineStr">
        <is>
          <t>redalert</t>
        </is>
      </c>
      <c r="B41" t="inlineStr">
        <is>
          <t>japan_ballista</t>
        </is>
      </c>
      <c r="C41" t="inlineStr">
        <is>
          <t>Ballista</t>
        </is>
      </c>
      <c r="D41" s="6" t="inlineStr">
        <is>
          <t>Artillery</t>
        </is>
      </c>
      <c r="E41" s="6" t="n">
        <v>65000</v>
      </c>
      <c r="F41" s="6" t="n">
        <v>65</v>
      </c>
      <c r="G41" t="inlineStr">
        <is>
          <t>Light</t>
        </is>
      </c>
      <c r="H41" s="6" t="n">
        <v>0.4853</v>
      </c>
      <c r="I41" s="6" t="n">
        <v>1</v>
      </c>
      <c r="J41" s="6" t="n">
        <v>1</v>
      </c>
      <c r="K41" s="6" t="n">
        <v>0.0075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(((E41/60000)+(F41/75)+(S41/500)+((P41/15000)*J41))*500/4+(((E41/60000)*(F41/75))+(((P41/15000)*J41)*(S41/500)))*500/2+((E41/60000)*(F41/75)*((P41/15000)*J41)*(S41/500))*500)*(H41/1.0)/3</f>
        <v/>
      </c>
      <c r="X41" s="6" t="n">
        <v>1150</v>
      </c>
      <c r="Y41">
        <f>IFERROR(W41-X41,"")</f>
        <v/>
      </c>
      <c r="Z41">
        <f>IFERROR(ABS(Y41)/MAX(X41,1),"")</f>
        <v/>
      </c>
      <c r="AA41">
        <f>IFERROR(ROUND(((3*X41-(((E41/60000)+(F41/75)+(S41/500))*500/4+((E41/60000)*(F41/75))*500/2)*(H41/1.0))/(500/4+((S41/500))*500/2+((E41/60000)*(F41/75)*(S41/500))*500)*(H41/1.0)*15000)/J41,-1),"")</f>
        <v/>
      </c>
    </row>
    <row r="42">
      <c r="B42" s="7" t="inlineStr">
        <is>
          <t xml:space="preserve">  ↳ BallistaMultiShot</t>
        </is>
      </c>
      <c r="C42" s="7" t="inlineStr">
        <is>
          <t>Armament@PRIMARY</t>
        </is>
      </c>
      <c r="L42" s="6" t="n">
        <v>40000</v>
      </c>
      <c r="M42" s="6" t="n">
        <v>176</v>
      </c>
      <c r="N42" s="6" t="n">
        <v>5</v>
      </c>
      <c r="O42" s="6" t="n">
        <v>6</v>
      </c>
      <c r="P42" s="6" t="n">
        <v>13515</v>
      </c>
      <c r="Q42" s="6" t="n">
        <v>1</v>
      </c>
      <c r="R42">
        <f>M42+IF(N42&gt;1,N(O42)*(N42-1),0)</f>
        <v/>
      </c>
      <c r="S42">
        <f>IFERROR(L42*MAX(N42,1)/R42*IF(ISBLANK(K41),1,K41),0)</f>
        <v/>
      </c>
      <c r="AB42" s="7" t="inlineStr">
        <is>
          <t>^Grenade, ^LightFlameWeapon, ^LightChemicalWeapon, ^ArrowWeapon</t>
        </is>
      </c>
    </row>
    <row r="43">
      <c r="B43" s="7" t="inlineStr">
        <is>
          <t xml:space="preserve">  ↳ BallistaMultiShotEnergized</t>
        </is>
      </c>
      <c r="C43" s="7" t="inlineStr">
        <is>
          <t>Armament@Upgrade</t>
        </is>
      </c>
      <c r="L43" s="6" t="n">
        <v>40000</v>
      </c>
      <c r="M43" s="6" t="n">
        <v>176</v>
      </c>
      <c r="N43" s="6" t="n">
        <v>5</v>
      </c>
      <c r="O43" s="6" t="n">
        <v>6</v>
      </c>
      <c r="P43" s="6" t="n">
        <v>13515</v>
      </c>
      <c r="Q43" s="6" t="n">
        <v>1</v>
      </c>
      <c r="R43">
        <f>M43+IF(N43&gt;1,N(O43)*(N43-1),0)</f>
        <v/>
      </c>
      <c r="S43">
        <f>IFERROR(L43*MAX(N43,1)/R43*IF(ISBLANK(K41),1,K41),0)</f>
        <v/>
      </c>
      <c r="AB43" s="7" t="inlineStr">
        <is>
          <t>^TeslaWeapon, ^MediumFlameWeapon, ^MediumChemicalWeapon, ^ArrowWeapon</t>
        </is>
      </c>
    </row>
    <row r="44">
      <c r="A44" t="inlineStr">
        <is>
          <t>redalert</t>
        </is>
      </c>
      <c r="B44" t="inlineStr">
        <is>
          <t>japan_chihaheavytank</t>
        </is>
      </c>
      <c r="C44" t="inlineStr">
        <is>
          <t>Chi-Ha Heavy Tank</t>
        </is>
      </c>
      <c r="D44" s="6" t="inlineStr">
        <is>
          <t>MainBattleTank</t>
        </is>
      </c>
      <c r="E44" s="6" t="n">
        <v>130000</v>
      </c>
      <c r="F44" s="6" t="n">
        <v>85</v>
      </c>
      <c r="G44" t="inlineStr">
        <is>
          <t>Heavy</t>
        </is>
      </c>
      <c r="H44" s="6" t="n">
        <v>0.8683999999999999</v>
      </c>
      <c r="I44" s="6" t="n">
        <v>1</v>
      </c>
      <c r="J44" s="6" t="n">
        <v>1</v>
      </c>
      <c r="K44" s="6" t="n"/>
      <c r="P44">
        <f>MAX(P45,P46)</f>
        <v/>
      </c>
      <c r="S44">
        <f>S45+S46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(((E44/240000)+(F44/95)+(S44/600)+((P44/5500)*J44))*800/4+(((E44/240000)*(F44/95))+(((P44/5500)*J44)*(S44/600)))*800/2+((E44/240000)*(F44/95)*((P44/5500)*J44)*(S44/600))*800)*(H44/1.0)/3</f>
        <v/>
      </c>
      <c r="X44" s="6" t="n">
        <v>1200</v>
      </c>
      <c r="Y44">
        <f>IFERROR(W44-X44,"")</f>
        <v/>
      </c>
      <c r="Z44">
        <f>IFERROR(ABS(Y44)/MAX(X44,1),"")</f>
        <v/>
      </c>
      <c r="AA44">
        <f>IFERROR(ROUND(((3*X44-(((E44/240000)+(F44/95)+(S44/600))*800/4+((E44/240000)*(F44/95))*800/2)*(H44/1.0))/(800/4+((S44/600))*800/2+((E44/240000)*(F44/95)*(S44/600))*800)*(H44/1.0)*5500)/J44,-1),"")</f>
        <v/>
      </c>
    </row>
    <row r="45">
      <c r="B45" s="7" t="inlineStr">
        <is>
          <t xml:space="preserve">  ↳ Type97Cannon</t>
        </is>
      </c>
      <c r="C45" s="7" t="inlineStr">
        <is>
          <t>Armament</t>
        </is>
      </c>
      <c r="L45" s="6" t="n">
        <v>12000</v>
      </c>
      <c r="M45" s="6" t="n">
        <v>56</v>
      </c>
      <c r="N45" s="6" t="n">
        <v>1</v>
      </c>
      <c r="O45" s="6" t="n"/>
      <c r="P45" s="6" t="n">
        <v>5692</v>
      </c>
      <c r="Q45" s="6" t="n">
        <v>1.125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^Warhead_CannonHE_Heavy, ^Warhead_CannonHE_Medium</t>
        </is>
      </c>
    </row>
    <row r="46">
      <c r="B46" s="7" t="inlineStr">
        <is>
          <t xml:space="preserve">  ↳ Type97PlasmaCannon</t>
        </is>
      </c>
      <c r="C46" s="7" t="inlineStr">
        <is>
          <t>Armament@Upgrade</t>
        </is>
      </c>
      <c r="L46" s="6" t="n">
        <v>12000</v>
      </c>
      <c r="M46" s="6" t="n">
        <v>56</v>
      </c>
      <c r="N46" s="6" t="n">
        <v>1</v>
      </c>
      <c r="O46" s="6" t="n"/>
      <c r="P46" s="6" t="n">
        <v>5692</v>
      </c>
      <c r="Q46" s="6" t="n">
        <v>1</v>
      </c>
      <c r="R46">
        <f>M46+IF(N46&gt;1,N(O46)*(N46-1),0)</f>
        <v/>
      </c>
      <c r="S46">
        <f>IFERROR(L46*MAX(N46,1)/R46*IF(ISBLANK(K44),1,K44),0)</f>
        <v/>
      </c>
      <c r="AB46" s="7" t="inlineStr">
        <is>
          <t>^Warhead_Tesla_Heavy, ^Warhead_Railgun_Heavy, ^Warhead_CannonHE_Heavy</t>
        </is>
      </c>
    </row>
    <row r="47">
      <c r="A47" t="inlineStr">
        <is>
          <t>redalert</t>
        </is>
      </c>
      <c r="B47" t="inlineStr">
        <is>
          <t>japan_coreairfield</t>
        </is>
      </c>
      <c r="C47" t="inlineStr">
        <is>
          <t>Core (Airfield)</t>
        </is>
      </c>
      <c r="D47" s="6" t="inlineStr">
        <is>
          <t>Vehicle</t>
        </is>
      </c>
      <c r="E47" s="6" t="n">
        <v>50000</v>
      </c>
      <c r="F47" s="6" t="n">
        <v>75</v>
      </c>
      <c r="G47" t="inlineStr">
        <is>
          <t>Light</t>
        </is>
      </c>
      <c r="H47" s="6" t="n">
        <v>0.6346000000000001</v>
      </c>
      <c r="I47" s="6" t="n">
        <v>1</v>
      </c>
      <c r="J47" s="6" t="n">
        <v>1</v>
      </c>
      <c r="K47" s="6" t="n"/>
      <c r="X47" s="6" t="n">
        <v>1500</v>
      </c>
    </row>
    <row r="48">
      <c r="A48" t="inlineStr">
        <is>
          <t>redalert</t>
        </is>
      </c>
      <c r="B48" t="inlineStr">
        <is>
          <t>japan_corebarracks</t>
        </is>
      </c>
      <c r="C48" t="inlineStr">
        <is>
          <t>Core (Barracks)</t>
        </is>
      </c>
      <c r="D48" s="6" t="inlineStr">
        <is>
          <t>Vehicle</t>
        </is>
      </c>
      <c r="E48" s="6" t="n">
        <v>50000</v>
      </c>
      <c r="F48" s="6" t="n">
        <v>75</v>
      </c>
      <c r="G48" t="inlineStr">
        <is>
          <t>Light</t>
        </is>
      </c>
      <c r="H48" s="6" t="n">
        <v>0.6346000000000001</v>
      </c>
      <c r="I48" s="6" t="n">
        <v>1</v>
      </c>
      <c r="J48" s="6" t="n">
        <v>1</v>
      </c>
      <c r="K48" s="6" t="n"/>
      <c r="X48" s="6" t="n">
        <v>1000</v>
      </c>
    </row>
    <row r="49">
      <c r="A49" t="inlineStr">
        <is>
          <t>redalert</t>
        </is>
      </c>
      <c r="B49" t="inlineStr">
        <is>
          <t>japan_corepowerplant</t>
        </is>
      </c>
      <c r="C49" t="inlineStr">
        <is>
          <t>Core (Power Plant)</t>
        </is>
      </c>
      <c r="D49" s="6" t="inlineStr">
        <is>
          <t>Vehicle</t>
        </is>
      </c>
      <c r="E49" s="6" t="n">
        <v>50000</v>
      </c>
      <c r="F49" s="6" t="n">
        <v>75</v>
      </c>
      <c r="G49" t="inlineStr">
        <is>
          <t>Light</t>
        </is>
      </c>
      <c r="H49" s="6" t="n">
        <v>0.6346000000000001</v>
      </c>
      <c r="I49" s="6" t="n">
        <v>1</v>
      </c>
      <c r="J49" s="6" t="n">
        <v>1</v>
      </c>
      <c r="K49" s="6" t="n"/>
      <c r="X49" s="6" t="n">
        <v>750</v>
      </c>
    </row>
    <row r="50">
      <c r="A50" t="inlineStr">
        <is>
          <t>redalert</t>
        </is>
      </c>
      <c r="B50" t="inlineStr">
        <is>
          <t>japan_coreradar</t>
        </is>
      </c>
      <c r="C50" t="inlineStr">
        <is>
          <t>Core (Radar)</t>
        </is>
      </c>
      <c r="D50" s="6" t="inlineStr">
        <is>
          <t>Vehicle</t>
        </is>
      </c>
      <c r="E50" s="6" t="n">
        <v>50000</v>
      </c>
      <c r="F50" s="6" t="n">
        <v>75</v>
      </c>
      <c r="G50" t="inlineStr">
        <is>
          <t>Light</t>
        </is>
      </c>
      <c r="H50" s="6" t="n">
        <v>0.6346000000000001</v>
      </c>
      <c r="I50" s="6" t="n">
        <v>1</v>
      </c>
      <c r="J50" s="6" t="n">
        <v>1</v>
      </c>
      <c r="K50" s="6" t="n"/>
      <c r="X50" s="6" t="n">
        <v>2500</v>
      </c>
    </row>
    <row r="51">
      <c r="A51" t="inlineStr">
        <is>
          <t>redalert</t>
        </is>
      </c>
      <c r="B51" t="inlineStr">
        <is>
          <t>japan_corerefinery</t>
        </is>
      </c>
      <c r="C51" t="inlineStr">
        <is>
          <t>Core (Refinery)</t>
        </is>
      </c>
      <c r="D51" s="6" t="inlineStr">
        <is>
          <t>Vehicle</t>
        </is>
      </c>
      <c r="E51" s="6" t="n">
        <v>50000</v>
      </c>
      <c r="F51" s="6" t="n">
        <v>75</v>
      </c>
      <c r="G51" t="inlineStr">
        <is>
          <t>Light</t>
        </is>
      </c>
      <c r="H51" s="6" t="n">
        <v>0.6346000000000001</v>
      </c>
      <c r="I51" s="6" t="n">
        <v>1</v>
      </c>
      <c r="J51" s="6" t="n">
        <v>1</v>
      </c>
      <c r="K51" s="6" t="n"/>
      <c r="X51" s="6" t="n">
        <v>3000</v>
      </c>
    </row>
    <row r="52">
      <c r="A52" t="inlineStr">
        <is>
          <t>redalert</t>
        </is>
      </c>
      <c r="B52" t="inlineStr">
        <is>
          <t>japan_coreservicedepot</t>
        </is>
      </c>
      <c r="C52" t="inlineStr">
        <is>
          <t>Core (Service Depot)</t>
        </is>
      </c>
      <c r="D52" s="6" t="inlineStr">
        <is>
          <t>Vehicle</t>
        </is>
      </c>
      <c r="E52" s="6" t="n">
        <v>50000</v>
      </c>
      <c r="F52" s="6" t="n">
        <v>75</v>
      </c>
      <c r="G52" t="inlineStr">
        <is>
          <t>Light</t>
        </is>
      </c>
      <c r="H52" s="6" t="n">
        <v>0.6346000000000001</v>
      </c>
      <c r="I52" s="6" t="n">
        <v>1</v>
      </c>
      <c r="J52" s="6" t="n">
        <v>1</v>
      </c>
      <c r="K52" s="6" t="n"/>
      <c r="X52" s="6" t="n">
        <v>1000</v>
      </c>
    </row>
    <row r="53">
      <c r="A53" t="inlineStr">
        <is>
          <t>redalert</t>
        </is>
      </c>
      <c r="B53" t="inlineStr">
        <is>
          <t>japan_coretechcenter</t>
        </is>
      </c>
      <c r="C53" t="inlineStr">
        <is>
          <t>Core (Tech Center)</t>
        </is>
      </c>
      <c r="D53" s="6" t="inlineStr">
        <is>
          <t>Vehicle</t>
        </is>
      </c>
      <c r="E53" s="6" t="n">
        <v>50000</v>
      </c>
      <c r="F53" s="6" t="n">
        <v>75</v>
      </c>
      <c r="G53" t="inlineStr">
        <is>
          <t>Light</t>
        </is>
      </c>
      <c r="H53" s="6" t="n">
        <v>0.6346000000000001</v>
      </c>
      <c r="I53" s="6" t="n">
        <v>1</v>
      </c>
      <c r="J53" s="6" t="n">
        <v>1</v>
      </c>
      <c r="K53" s="6" t="n"/>
      <c r="X53" s="6" t="n">
        <v>5000</v>
      </c>
    </row>
    <row r="54">
      <c r="A54" t="inlineStr">
        <is>
          <t>redalert</t>
        </is>
      </c>
      <c r="B54" t="inlineStr">
        <is>
          <t>japan_corewarfactory</t>
        </is>
      </c>
      <c r="C54" t="inlineStr">
        <is>
          <t>Core (War Factory)</t>
        </is>
      </c>
      <c r="D54" s="6" t="inlineStr">
        <is>
          <t>Vehicle</t>
        </is>
      </c>
      <c r="E54" s="6" t="n">
        <v>50000</v>
      </c>
      <c r="F54" s="6" t="n">
        <v>75</v>
      </c>
      <c r="G54" t="inlineStr">
        <is>
          <t>Light</t>
        </is>
      </c>
      <c r="H54" s="6" t="n">
        <v>0.6346000000000001</v>
      </c>
      <c r="I54" s="6" t="n">
        <v>1</v>
      </c>
      <c r="J54" s="6" t="n">
        <v>1</v>
      </c>
      <c r="K54" s="6" t="n"/>
      <c r="X54" s="6" t="n">
        <v>2000</v>
      </c>
    </row>
    <row r="55">
      <c r="A55" t="inlineStr">
        <is>
          <t>redalert</t>
        </is>
      </c>
      <c r="B55" t="inlineStr">
        <is>
          <t>japan_exorcistoitank</t>
        </is>
      </c>
      <c r="C55" t="inlineStr">
        <is>
          <t>Exorcist O-I Tank</t>
        </is>
      </c>
      <c r="D55" s="6" t="inlineStr">
        <is>
          <t>EpicVehicle</t>
        </is>
      </c>
      <c r="E55" s="6" t="n">
        <v>750000</v>
      </c>
      <c r="F55" s="6" t="n">
        <v>50</v>
      </c>
      <c r="G55" t="inlineStr">
        <is>
          <t>Superheavy</t>
        </is>
      </c>
      <c r="H55" s="6" t="n">
        <v>0.75</v>
      </c>
      <c r="I55" s="6" t="n">
        <v>0.4</v>
      </c>
      <c r="J55" s="6" t="n">
        <v>1.25</v>
      </c>
      <c r="K55" s="6" t="n"/>
      <c r="P55">
        <f>MAX(P56,P57,P58,P59,P60,P61,P62,P63,P64,P65,P66,P67)</f>
        <v/>
      </c>
      <c r="S55">
        <f>S56+S57+S58+S59+S60+S61+S62+S63+S64+S65+S66+S67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(((E55/4000000)+(F55/60)+(S55/20000)+((P55/8500)*J55))*10000/4+(((E55/4000000)*(F55/60))+(((P55/8500)*J55)*(S55/20000)))*10000/2+((E55/4000000)*(F55/60)*((P55/8500)*J55)*(S55/20000))*10000)*(H55/0.75)/3</f>
        <v/>
      </c>
      <c r="X55" s="6" t="n">
        <v>10000</v>
      </c>
      <c r="Y55">
        <f>IFERROR(W55-X55,"")</f>
        <v/>
      </c>
      <c r="Z55">
        <f>IFERROR(ABS(Y55)/MAX(X55,1),"")</f>
        <v/>
      </c>
      <c r="AA55">
        <f>IFERROR(ROUND(((3*X55-(((E55/4000000)+(F55/60)+(S55/20000))*10000/4+((E55/4000000)*(F55/60))*10000/2)*(H55/0.75))/(10000/4+((S55/20000))*10000/2+((E55/4000000)*(F55/60)*(S55/20000))*10000)*(H55/0.75)*8500)/J55,-1),"")</f>
        <v/>
      </c>
    </row>
    <row r="56">
      <c r="B56" s="7" t="inlineStr">
        <is>
          <t xml:space="preserve">  ↳ OIHakureiring</t>
        </is>
      </c>
      <c r="C56" s="7" t="inlineStr">
        <is>
          <t>Armament@MAIN</t>
        </is>
      </c>
      <c r="L56" s="6" t="n">
        <v>20000</v>
      </c>
      <c r="M56" s="6" t="n">
        <v>30</v>
      </c>
      <c r="N56" s="6" t="n">
        <v>3</v>
      </c>
      <c r="O56" s="6" t="n">
        <v>10</v>
      </c>
      <c r="P56" s="6" t="n">
        <v>5394</v>
      </c>
      <c r="Q56" s="6" t="n">
        <v>1.25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^Warhead_Magic_Heavy</t>
        </is>
      </c>
    </row>
    <row r="57">
      <c r="B57" s="7" t="inlineStr">
        <is>
          <t xml:space="preserve">  ↳ OIHakureiring2</t>
        </is>
      </c>
      <c r="C57" s="7" t="inlineStr">
        <is>
          <t>Armament@AntiEpic</t>
        </is>
      </c>
      <c r="L57" s="6" t="n">
        <v>240000</v>
      </c>
      <c r="M57" s="6" t="n">
        <v>100</v>
      </c>
      <c r="N57" s="6" t="n">
        <v>1</v>
      </c>
      <c r="O57" s="6" t="n">
        <v>10</v>
      </c>
      <c r="P57" s="6" t="n">
        <v>5394</v>
      </c>
      <c r="Q57" s="6" t="n">
        <v>1.25</v>
      </c>
      <c r="R57">
        <f>M57+IF(N57&gt;1,N(O57)*(N57-1),0)</f>
        <v/>
      </c>
      <c r="S57">
        <f>IFERROR(L57*MAX(N57,1)/R57*IF(ISBLANK(K55),1,K55),0)</f>
        <v/>
      </c>
      <c r="AB57" s="7" t="inlineStr">
        <is>
          <t>^Warhead_Magic_Heavy</t>
        </is>
      </c>
    </row>
    <row r="58">
      <c r="B58" s="7" t="inlineStr">
        <is>
          <t xml:space="preserve">  ↳ OISmallCannon</t>
        </is>
      </c>
      <c r="C58" s="7" t="inlineStr">
        <is>
          <t>Armament@PRIMARY</t>
        </is>
      </c>
      <c r="L58" s="6" t="n">
        <v>8000</v>
      </c>
      <c r="M58" s="6" t="n">
        <v>45</v>
      </c>
      <c r="N58" s="6" t="n">
        <v>1</v>
      </c>
      <c r="O58" s="6" t="n"/>
      <c r="P58" s="6" t="n">
        <v>5394</v>
      </c>
      <c r="Q58" s="6" t="n">
        <v>1</v>
      </c>
      <c r="R58">
        <f>M58+IF(N58&gt;1,N(O58)*(N58-1),0)</f>
        <v/>
      </c>
      <c r="S58">
        <f>IFERROR(L58*MAX(N58,1)/R58*IF(ISBLANK(K55),1,K55),0)</f>
        <v/>
      </c>
      <c r="AB58" s="7" t="inlineStr">
        <is>
          <t>^Warhead_CannonHE_Medium</t>
        </is>
      </c>
    </row>
    <row r="59">
      <c r="B59" s="7" t="inlineStr">
        <is>
          <t xml:space="preserve">  ↳ OISmallCannon</t>
        </is>
      </c>
      <c r="C59" s="7" t="inlineStr">
        <is>
          <t>Armament@SECONDARY</t>
        </is>
      </c>
      <c r="L59" s="6" t="n">
        <v>8000</v>
      </c>
      <c r="M59" s="6" t="n">
        <v>45</v>
      </c>
      <c r="N59" s="6" t="n">
        <v>1</v>
      </c>
      <c r="O59" s="6" t="n"/>
      <c r="P59" s="6" t="n">
        <v>5394</v>
      </c>
      <c r="Q59" s="6" t="n">
        <v>1</v>
      </c>
      <c r="R59">
        <f>M59+IF(N59&gt;1,N(O59)*(N59-1),0)</f>
        <v/>
      </c>
      <c r="S59">
        <f>IFERROR(L59*MAX(N59,1)/R59*IF(ISBLANK(K55),1,K55),0)</f>
        <v/>
      </c>
      <c r="AB59" s="7" t="inlineStr">
        <is>
          <t>^Warhead_CannonHE_Medium</t>
        </is>
      </c>
    </row>
    <row r="60">
      <c r="B60" s="7" t="inlineStr">
        <is>
          <t xml:space="preserve">  ↳ OISmallCannon</t>
        </is>
      </c>
      <c r="C60" s="7" t="inlineStr">
        <is>
          <t>Armament@Back</t>
        </is>
      </c>
      <c r="L60" s="6" t="n">
        <v>8000</v>
      </c>
      <c r="M60" s="6" t="n">
        <v>45</v>
      </c>
      <c r="N60" s="6" t="n">
        <v>1</v>
      </c>
      <c r="O60" s="6" t="n"/>
      <c r="P60" s="6" t="n">
        <v>5394</v>
      </c>
      <c r="Q60" s="6" t="n">
        <v>1</v>
      </c>
      <c r="R60">
        <f>M60+IF(N60&gt;1,N(O60)*(N60-1),0)</f>
        <v/>
      </c>
      <c r="S60">
        <f>IFERROR(L60*MAX(N60,1)/R60*IF(ISBLANK(K55),1,K55),0)</f>
        <v/>
      </c>
      <c r="AB60" s="7" t="inlineStr">
        <is>
          <t>^Warhead_CannonHE_Medium</t>
        </is>
      </c>
    </row>
    <row r="61">
      <c r="B61" s="7" t="inlineStr">
        <is>
          <t xml:space="preserve">  ↳ OISmallPlasmaCannon</t>
        </is>
      </c>
      <c r="C61" s="7" t="inlineStr">
        <is>
          <t>Armament@UpgradePRIMARY</t>
        </is>
      </c>
      <c r="L61" s="6" t="n">
        <v>8000</v>
      </c>
      <c r="M61" s="6" t="n">
        <v>45</v>
      </c>
      <c r="N61" s="6" t="n">
        <v>1</v>
      </c>
      <c r="O61" s="6" t="n"/>
      <c r="P61" s="6" t="n">
        <v>5394</v>
      </c>
      <c r="Q61" s="6" t="n">
        <v>1</v>
      </c>
      <c r="R61">
        <f>M61+IF(N61&gt;1,N(O61)*(N61-1),0)</f>
        <v/>
      </c>
      <c r="S61">
        <f>IFERROR(L61*MAX(N61,1)/R61*IF(ISBLANK(K55),1,K55),0)</f>
        <v/>
      </c>
      <c r="AB61" s="7" t="inlineStr">
        <is>
          <t>^HeavyChemicalWeapon, ^TeslaWeapon, ^RailgunWeapon, ^HeavyCannon</t>
        </is>
      </c>
    </row>
    <row r="62">
      <c r="B62" s="7" t="inlineStr">
        <is>
          <t xml:space="preserve">  ↳ OISmallPlasmaCannon</t>
        </is>
      </c>
      <c r="C62" s="7" t="inlineStr">
        <is>
          <t>Armament@UpgradeSECONDARY</t>
        </is>
      </c>
      <c r="L62" s="6" t="n">
        <v>8000</v>
      </c>
      <c r="M62" s="6" t="n">
        <v>45</v>
      </c>
      <c r="N62" s="6" t="n">
        <v>1</v>
      </c>
      <c r="O62" s="6" t="n"/>
      <c r="P62" s="6" t="n">
        <v>5394</v>
      </c>
      <c r="Q62" s="6" t="n">
        <v>1</v>
      </c>
      <c r="R62">
        <f>M62+IF(N62&gt;1,N(O62)*(N62-1),0)</f>
        <v/>
      </c>
      <c r="S62">
        <f>IFERROR(L62*MAX(N62,1)/R62*IF(ISBLANK(K55),1,K55),0)</f>
        <v/>
      </c>
      <c r="AB62" s="7" t="inlineStr">
        <is>
          <t>^HeavyChemicalWeapon, ^TeslaWeapon, ^RailgunWeapon, ^HeavyCannon</t>
        </is>
      </c>
    </row>
    <row r="63">
      <c r="B63" s="7" t="inlineStr">
        <is>
          <t xml:space="preserve">  ↳ OISmallPlasmaCannon</t>
        </is>
      </c>
      <c r="C63" s="7" t="inlineStr">
        <is>
          <t>Armament@UpgradeBack</t>
        </is>
      </c>
      <c r="L63" s="6" t="n">
        <v>8000</v>
      </c>
      <c r="M63" s="6" t="n">
        <v>45</v>
      </c>
      <c r="N63" s="6" t="n">
        <v>1</v>
      </c>
      <c r="O63" s="6" t="n"/>
      <c r="P63" s="6" t="n">
        <v>5394</v>
      </c>
      <c r="Q63" s="6" t="n">
        <v>1</v>
      </c>
      <c r="R63">
        <f>M63+IF(N63&gt;1,N(O63)*(N63-1),0)</f>
        <v/>
      </c>
      <c r="S63">
        <f>IFERROR(L63*MAX(N63,1)/R63*IF(ISBLANK(K55),1,K55),0)</f>
        <v/>
      </c>
      <c r="AB63" s="7" t="inlineStr">
        <is>
          <t>^HeavyChemicalWeapon, ^TeslaWeapon, ^RailgunWeapon, ^HeavyCannon</t>
        </is>
      </c>
    </row>
    <row r="64">
      <c r="B64" s="7" t="inlineStr">
        <is>
          <t xml:space="preserve">  ↳ OIFlamer</t>
        </is>
      </c>
      <c r="C64" s="7" t="inlineStr">
        <is>
          <t>Armament@PRIMARYFlame</t>
        </is>
      </c>
      <c r="L64" s="6" t="n">
        <v>2000</v>
      </c>
      <c r="M64" s="6" t="n">
        <v>60</v>
      </c>
      <c r="N64" s="6" t="n">
        <v>20</v>
      </c>
      <c r="O64" s="6" t="n">
        <v>1</v>
      </c>
      <c r="P64" s="6" t="n">
        <v>5394</v>
      </c>
      <c r="Q64" s="6" t="n">
        <v>1</v>
      </c>
      <c r="R64">
        <f>M64+IF(N64&gt;1,N(O64)*(N64-1),0)</f>
        <v/>
      </c>
      <c r="S64">
        <f>IFERROR(L64*MAX(N64,1)/R64*IF(ISBLANK(K55),1,K55),0)</f>
        <v/>
      </c>
      <c r="AB64" s="7" t="inlineStr">
        <is>
          <t>^Warhead_Flame_Medium</t>
        </is>
      </c>
    </row>
    <row r="65">
      <c r="B65" s="7" t="inlineStr">
        <is>
          <t xml:space="preserve">  ↳ OIFlamer</t>
        </is>
      </c>
      <c r="C65" s="7" t="inlineStr">
        <is>
          <t>Armament@SECONDARYFlame</t>
        </is>
      </c>
      <c r="L65" s="6" t="n">
        <v>2000</v>
      </c>
      <c r="M65" s="6" t="n">
        <v>60</v>
      </c>
      <c r="N65" s="6" t="n">
        <v>20</v>
      </c>
      <c r="O65" s="6" t="n">
        <v>1</v>
      </c>
      <c r="P65" s="6" t="n">
        <v>5394</v>
      </c>
      <c r="Q65" s="6" t="n">
        <v>1</v>
      </c>
      <c r="R65">
        <f>M65+IF(N65&gt;1,N(O65)*(N65-1),0)</f>
        <v/>
      </c>
      <c r="S65">
        <f>IFERROR(L65*MAX(N65,1)/R65*IF(ISBLANK(K55),1,K55),0)</f>
        <v/>
      </c>
      <c r="AB65" s="7" t="inlineStr">
        <is>
          <t>^Warhead_Flame_Medium</t>
        </is>
      </c>
    </row>
    <row r="66">
      <c r="B66" s="7" t="inlineStr">
        <is>
          <t xml:space="preserve">  ↳ OIPlasmaFlamer</t>
        </is>
      </c>
      <c r="C66" s="7" t="inlineStr">
        <is>
          <t>Armament@UpgradePRIMARYFlame</t>
        </is>
      </c>
      <c r="L66" s="6" t="n">
        <v>4000</v>
      </c>
      <c r="M66" s="6" t="n">
        <v>60</v>
      </c>
      <c r="N66" s="6" t="n">
        <v>20</v>
      </c>
      <c r="O66" s="6" t="n">
        <v>1</v>
      </c>
      <c r="P66" s="6" t="n">
        <v>5394</v>
      </c>
      <c r="Q66" s="6" t="n">
        <v>1.25</v>
      </c>
      <c r="R66">
        <f>M66+IF(N66&gt;1,N(O66)*(N66-1),0)</f>
        <v/>
      </c>
      <c r="S66">
        <f>IFERROR(L66*MAX(N66,1)/R66*IF(ISBLANK(K55),1,K55),0)</f>
        <v/>
      </c>
      <c r="AB66" s="7" t="inlineStr">
        <is>
          <t>^Warhead_Chemical_Heavy, ^Warhead_Flame_Heavy</t>
        </is>
      </c>
    </row>
    <row r="67">
      <c r="B67" s="7" t="inlineStr">
        <is>
          <t xml:space="preserve">  ↳ OIPlasmaFlamer</t>
        </is>
      </c>
      <c r="C67" s="7" t="inlineStr">
        <is>
          <t>Armament@UpgradeSECONDARYFlame</t>
        </is>
      </c>
      <c r="L67" s="6" t="n">
        <v>4000</v>
      </c>
      <c r="M67" s="6" t="n">
        <v>60</v>
      </c>
      <c r="N67" s="6" t="n">
        <v>20</v>
      </c>
      <c r="O67" s="6" t="n">
        <v>1</v>
      </c>
      <c r="P67" s="6" t="n">
        <v>5394</v>
      </c>
      <c r="Q67" s="6" t="n">
        <v>1.25</v>
      </c>
      <c r="R67">
        <f>M67+IF(N67&gt;1,N(O67)*(N67-1),0)</f>
        <v/>
      </c>
      <c r="S67">
        <f>IFERROR(L67*MAX(N67,1)/R67*IF(ISBLANK(K55),1,K55),0)</f>
        <v/>
      </c>
      <c r="AB67" s="7" t="inlineStr">
        <is>
          <t>^Warhead_Chemical_Heavy, ^Warhead_Flame_Heavy</t>
        </is>
      </c>
    </row>
    <row r="68">
      <c r="A68" t="inlineStr">
        <is>
          <t>redalert</t>
        </is>
      </c>
      <c r="B68" t="inlineStr">
        <is>
          <t>japan_grenadebuggy</t>
        </is>
      </c>
      <c r="C68" t="inlineStr">
        <is>
          <t>Grenade Buggy</t>
        </is>
      </c>
      <c r="D68" s="6" t="inlineStr">
        <is>
          <t>ScoutVehicle</t>
        </is>
      </c>
      <c r="E68" s="6" t="n">
        <v>60000</v>
      </c>
      <c r="F68" s="6" t="n">
        <v>120</v>
      </c>
      <c r="G68" t="inlineStr">
        <is>
          <t>Scout</t>
        </is>
      </c>
      <c r="H68" s="6" t="n">
        <v>1</v>
      </c>
      <c r="I68" s="6" t="n">
        <v>0.5</v>
      </c>
      <c r="J68" s="6" t="n">
        <v>1</v>
      </c>
      <c r="K68" s="6" t="n"/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(((E68/30000)+(F68/200)+(S68/450)+((P68/4500)*J68))*300/4+(((E68/30000)*(F68/200))+(((P68/4500)*J68)*(S68/450)))*300/2+((E68/30000)*(F68/200)*((P68/4500)*J68)*(S68/450))*300)*(H68/1.0)/3</f>
        <v/>
      </c>
      <c r="X68" s="6" t="n">
        <v>900</v>
      </c>
      <c r="Y68">
        <f>IFERROR(W68-X68,"")</f>
        <v/>
      </c>
      <c r="Z68">
        <f>IFERROR(ABS(Y68)/MAX(X68,1),"")</f>
        <v/>
      </c>
      <c r="AA68">
        <f>IFERROR(ROUND(((3*X68-(((E68/30000)+(F68/200)+(S68/450))*300/4+((E68/30000)*(F68/200))*300/2)*(H68/1.0))/(300/4+((S68/450))*300/2+((E68/30000)*(F68/200)*(S68/450))*300)*(H68/1.0)*4500)/J68,-1),"")</f>
        <v/>
      </c>
    </row>
    <row r="69">
      <c r="B69" s="7" t="inlineStr">
        <is>
          <t xml:space="preserve">  ↳ BuggyGrenade</t>
        </is>
      </c>
      <c r="C69" s="7" t="inlineStr">
        <is>
          <t>Armament</t>
        </is>
      </c>
      <c r="L69" s="6" t="n">
        <v>60000</v>
      </c>
      <c r="M69" s="6" t="n">
        <v>60</v>
      </c>
      <c r="N69" s="6" t="n">
        <v>1</v>
      </c>
      <c r="O69" s="6" t="n"/>
      <c r="P69" s="6" t="n">
        <v>5184</v>
      </c>
      <c r="Q69" s="6" t="n">
        <v>0.75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^Warhead_Demolition_Light</t>
        </is>
      </c>
    </row>
    <row r="70">
      <c r="B70" s="7" t="inlineStr">
        <is>
          <t xml:space="preserve">  ↳ BuggyPlasmaGrenade</t>
        </is>
      </c>
      <c r="C70" s="7" t="inlineStr">
        <is>
          <t>Armament@Upgrade</t>
        </is>
      </c>
      <c r="L70" s="6" t="n">
        <v>60000</v>
      </c>
      <c r="M70" s="6" t="n">
        <v>60</v>
      </c>
      <c r="N70" s="6" t="n">
        <v>1</v>
      </c>
      <c r="O70" s="6" t="n"/>
      <c r="P70" s="6" t="n">
        <v>5184</v>
      </c>
      <c r="Q70" s="6" t="n">
        <v>0.75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^Warhead_Demolition_Light</t>
        </is>
      </c>
    </row>
    <row r="71">
      <c r="A71" t="inlineStr">
        <is>
          <t>redalert</t>
        </is>
      </c>
      <c r="B71" t="inlineStr">
        <is>
          <t>japan_hovercraftflametank</t>
        </is>
      </c>
      <c r="C71" t="inlineStr">
        <is>
          <t>Hovercraft Flametank</t>
        </is>
      </c>
      <c r="D71" s="6" t="inlineStr">
        <is>
          <t>HighTechTank</t>
        </is>
      </c>
      <c r="E71" s="6" t="n">
        <v>120000</v>
      </c>
      <c r="F71" s="6" t="n">
        <v>90</v>
      </c>
      <c r="G71" t="inlineStr">
        <is>
          <t>Superheavy</t>
        </is>
      </c>
      <c r="H71" s="6" t="n">
        <v>0.75</v>
      </c>
      <c r="I71" s="6" t="n">
        <v>1</v>
      </c>
      <c r="J71" s="6" t="n">
        <v>1</v>
      </c>
      <c r="K71" s="6" t="n"/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(((E71/700000)+(F71/65)+(S71/2000)+((P71/6500)*J71))*2000/4+(((E71/700000)*(F71/65))+(((P71/6500)*J71)*(S71/2000)))*2000/2+((E71/700000)*(F71/65)*((P71/6500)*J71)*(S71/2000))*2000)*(H71/0.75)/3</f>
        <v/>
      </c>
      <c r="X71" s="6" t="n">
        <v>1700</v>
      </c>
      <c r="Y71">
        <f>IFERROR(W71-X71,"")</f>
        <v/>
      </c>
      <c r="Z71">
        <f>IFERROR(ABS(Y71)/MAX(X71,1),"")</f>
        <v/>
      </c>
      <c r="AA71">
        <f>IFERROR(ROUND(((3*X71-(((E71/700000)+(F71/65)+(S71/2000))*2000/4+((E71/700000)*(F71/65))*2000/2)*(H71/0.75))/(2000/4+((S71/2000))*2000/2+((E71/700000)*(F71/65)*(S71/2000))*2000)*(H71/0.75)*6500)/J71,-1),"")</f>
        <v/>
      </c>
    </row>
    <row r="72">
      <c r="B72" s="7" t="inlineStr">
        <is>
          <t xml:space="preserve">  ↳ HeavyFlamer</t>
        </is>
      </c>
      <c r="C72" s="7" t="inlineStr">
        <is>
          <t>Armament</t>
        </is>
      </c>
      <c r="L72" s="6" t="n">
        <v>2000</v>
      </c>
      <c r="M72" s="6" t="n">
        <v>60</v>
      </c>
      <c r="N72" s="6" t="n">
        <v>30</v>
      </c>
      <c r="O72" s="6" t="n">
        <v>1</v>
      </c>
      <c r="P72" s="6" t="n">
        <v>6000</v>
      </c>
      <c r="Q72" s="6" t="n">
        <v>1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^Warhead_Flame_Medium</t>
        </is>
      </c>
    </row>
    <row r="73">
      <c r="B73" s="7" t="inlineStr">
        <is>
          <t xml:space="preserve">  ↳ HeavyPlasmaFlamer</t>
        </is>
      </c>
      <c r="C73" s="7" t="inlineStr">
        <is>
          <t>Armament@Upgrade</t>
        </is>
      </c>
      <c r="L73" s="6" t="n">
        <v>4000</v>
      </c>
      <c r="M73" s="6" t="n">
        <v>60</v>
      </c>
      <c r="N73" s="6" t="n">
        <v>30</v>
      </c>
      <c r="O73" s="6" t="n">
        <v>1</v>
      </c>
      <c r="P73" s="6" t="n">
        <v>6000</v>
      </c>
      <c r="Q73" s="6" t="n">
        <v>1.25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^Warhead_Chemical_Heavy, ^Warhead_Flame_Heavy</t>
        </is>
      </c>
    </row>
    <row r="74">
      <c r="A74" t="inlineStr">
        <is>
          <t>redalert</t>
        </is>
      </c>
      <c r="B74" t="inlineStr">
        <is>
          <t>japan_hovercrafttransport</t>
        </is>
      </c>
      <c r="C74" t="inlineStr">
        <is>
          <t>Hovercraft Transport</t>
        </is>
      </c>
      <c r="D74" s="6" t="inlineStr">
        <is>
          <t>SupportVehicle</t>
        </is>
      </c>
      <c r="E74" s="6" t="n">
        <v>65000</v>
      </c>
      <c r="F74" s="6" t="n">
        <v>130</v>
      </c>
      <c r="G74" t="inlineStr">
        <is>
          <t>Medium</t>
        </is>
      </c>
      <c r="H74" s="6" t="n">
        <v>0.6875</v>
      </c>
      <c r="I74" s="6" t="n">
        <v>1</v>
      </c>
      <c r="J74" s="6" t="n">
        <v>1</v>
      </c>
      <c r="K74" s="6" t="n">
        <v>0.005</v>
      </c>
      <c r="P74">
        <f>MAX(P75,P76,P77,P78,P79,P80)</f>
        <v/>
      </c>
      <c r="S74">
        <f>S75+S76+S77+S78+S79+S80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1500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HovercraftCannon</t>
        </is>
      </c>
      <c r="C75" s="7" t="inlineStr">
        <is>
          <t>Armament@cannon</t>
        </is>
      </c>
      <c r="L75" s="6" t="n">
        <v>12000</v>
      </c>
      <c r="M75" s="6" t="n">
        <v>25</v>
      </c>
      <c r="N75" s="6" t="n">
        <v>1</v>
      </c>
      <c r="O75" s="6" t="n"/>
      <c r="P75" s="6" t="n">
        <v>4876</v>
      </c>
      <c r="Q75" s="6" t="n">
        <v>1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^SmallArms, ^Chaingun, ^Grenade, ^ShrapnelWeapon, ^TankDestroyerCannon, ^MediumCannon</t>
        </is>
      </c>
    </row>
    <row r="76">
      <c r="B76" s="7" t="inlineStr">
        <is>
          <t xml:space="preserve">  ↳ HovercraftPlasmaCannon</t>
        </is>
      </c>
      <c r="C76" s="7" t="inlineStr">
        <is>
          <t>Armament@Upgrade</t>
        </is>
      </c>
      <c r="L76" s="6" t="n">
        <v>26000</v>
      </c>
      <c r="M76" s="6" t="n">
        <v>25</v>
      </c>
      <c r="N76" s="6" t="n">
        <v>1</v>
      </c>
      <c r="O76" s="6" t="n"/>
      <c r="P76" s="6" t="n">
        <v>4876</v>
      </c>
      <c r="Q76" s="6" t="n">
        <v>1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^TeslaWeapon, ^HeavyBomb, ^HeavyCannon, HovercraftCannon</t>
        </is>
      </c>
    </row>
    <row r="77">
      <c r="B77" s="7" t="inlineStr">
        <is>
          <t xml:space="preserve">  ↳ JapaneseHovercraftFlak</t>
        </is>
      </c>
      <c r="C77" s="7" t="inlineStr">
        <is>
          <t>Armament@flak</t>
        </is>
      </c>
      <c r="L77" s="6" t="n">
        <v>4000</v>
      </c>
      <c r="M77" s="6" t="n">
        <v>8</v>
      </c>
      <c r="N77" s="6" t="n">
        <v>1</v>
      </c>
      <c r="O77" s="6" t="n"/>
      <c r="P77" s="6" t="n">
        <v>4876</v>
      </c>
      <c r="Q77" s="6" t="n">
        <v>0.875</v>
      </c>
      <c r="R77">
        <f>M77+IF(N77&gt;1,N(O77)*(N77-1),0)</f>
        <v/>
      </c>
      <c r="S77">
        <f>IFERROR(L77*MAX(N77,1)/R77*IF(ISBLANK(K74),1,K74),0)</f>
        <v/>
      </c>
      <c r="AB77" s="7" t="inlineStr">
        <is>
          <t>^Warhead_Bullet_Light, ^Warhead_Flak_Medium</t>
        </is>
      </c>
    </row>
    <row r="78">
      <c r="B78" s="7" t="inlineStr">
        <is>
          <t xml:space="preserve">  ↳ JapaneseHovercraftFlakWaveforce</t>
        </is>
      </c>
      <c r="C78" s="7" t="inlineStr">
        <is>
          <t>Armament@Upgradeflak</t>
        </is>
      </c>
      <c r="L78" s="6" t="n">
        <v>6000</v>
      </c>
      <c r="M78" s="6" t="n">
        <v>8</v>
      </c>
      <c r="N78" s="6" t="n">
        <v>1</v>
      </c>
      <c r="O78" s="6" t="n"/>
      <c r="P78" s="6" t="n">
        <v>4876</v>
      </c>
      <c r="Q78" s="6" t="n">
        <v>1</v>
      </c>
      <c r="R78">
        <f>M78+IF(N78&gt;1,N(O78)*(N78-1),0)</f>
        <v/>
      </c>
      <c r="S78">
        <f>IFERROR(L78*MAX(N78,1)/R78*IF(ISBLANK(K74),1,K74),0)</f>
        <v/>
      </c>
      <c r="AB78" s="7" t="inlineStr">
        <is>
          <t>^Warhead_Railgun_Heavy, ^Warhead_Bullet_Light, ^Warhead_Flak_Medium</t>
        </is>
      </c>
    </row>
    <row r="79">
      <c r="B79" s="7" t="inlineStr">
        <is>
          <t xml:space="preserve">  ↳ JapaneseHovercraftFlakAA</t>
        </is>
      </c>
      <c r="C79" s="7" t="inlineStr">
        <is>
          <t>Armament@AA</t>
        </is>
      </c>
      <c r="L79" s="6" t="n">
        <v>4000</v>
      </c>
      <c r="M79" s="6" t="n">
        <v>8</v>
      </c>
      <c r="N79" s="6" t="n">
        <v>1</v>
      </c>
      <c r="O79" s="6" t="n"/>
      <c r="P79" s="6" t="n">
        <v>7314</v>
      </c>
      <c r="Q79" s="6" t="n">
        <v>0.875</v>
      </c>
      <c r="R79">
        <f>M79+IF(N79&gt;1,N(O79)*(N79-1),0)</f>
        <v/>
      </c>
      <c r="S79">
        <f>IFERROR(L79*MAX(N79,1)/R79*IF(ISBLANK(K74),1,K74),0)</f>
        <v/>
      </c>
      <c r="AB79" s="7" t="inlineStr">
        <is>
          <t>^Warhead_Bullet_Light, ^Warhead_Flak_Medium</t>
        </is>
      </c>
    </row>
    <row r="80">
      <c r="B80" s="7" t="inlineStr">
        <is>
          <t xml:space="preserve">  ↳ JapaneseHovercraftFlakAAkWaveforce</t>
        </is>
      </c>
      <c r="C80" s="7" t="inlineStr">
        <is>
          <t>Armament@UpgradeAA</t>
        </is>
      </c>
      <c r="L80" s="6" t="n">
        <v>6000</v>
      </c>
      <c r="M80" s="6" t="n">
        <v>8</v>
      </c>
      <c r="N80" s="6" t="n">
        <v>1</v>
      </c>
      <c r="O80" s="6" t="n"/>
      <c r="P80" s="6" t="n">
        <v>7314</v>
      </c>
      <c r="Q80" s="6" t="n">
        <v>1</v>
      </c>
      <c r="R80">
        <f>M80+IF(N80&gt;1,N(O80)*(N80-1),0)</f>
        <v/>
      </c>
      <c r="S80">
        <f>IFERROR(L80*MAX(N80,1)/R80*IF(ISBLANK(K74),1,K74),0)</f>
        <v/>
      </c>
      <c r="AB80" s="7" t="inlineStr">
        <is>
          <t>^Warhead_Railgun_Heavy, ^Warhead_Bullet_Light, ^Warhead_Flak_Medium</t>
        </is>
      </c>
    </row>
    <row r="81">
      <c r="A81" t="inlineStr">
        <is>
          <t>redalert</t>
        </is>
      </c>
      <c r="B81" t="inlineStr">
        <is>
          <t>japan_igomediumtank</t>
        </is>
      </c>
      <c r="C81" t="inlineStr">
        <is>
          <t>I-Go Medium Tank</t>
        </is>
      </c>
      <c r="D81" s="6" t="inlineStr">
        <is>
          <t>MainBattleTank</t>
        </is>
      </c>
      <c r="E81" s="6" t="n">
        <v>110000</v>
      </c>
      <c r="F81" s="6" t="n">
        <v>90</v>
      </c>
      <c r="G81" t="inlineStr">
        <is>
          <t>Heavy</t>
        </is>
      </c>
      <c r="H81" s="6" t="n">
        <v>1</v>
      </c>
      <c r="I81" s="6" t="n">
        <v>1</v>
      </c>
      <c r="J81" s="6" t="n">
        <v>1</v>
      </c>
      <c r="K81" s="6" t="n"/>
      <c r="P81">
        <f>MAX(P82,P83)</f>
        <v/>
      </c>
      <c r="S81">
        <f>S82+S83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(((E81/240000)+(F81/95)+(S81/600)+((P81/5500)*J81))*800/4+(((E81/240000)*(F81/95))+(((P81/5500)*J81)*(S81/600)))*800/2+((E81/240000)*(F81/95)*((P81/5500)*J81)*(S81/600))*800)*(H81/1.0)/3</f>
        <v/>
      </c>
      <c r="X81" s="6" t="n">
        <v>800</v>
      </c>
      <c r="Y81">
        <f>IFERROR(W81-X81,"")</f>
        <v/>
      </c>
      <c r="Z81">
        <f>IFERROR(ABS(Y81)/MAX(X81,1),"")</f>
        <v/>
      </c>
      <c r="AA81">
        <f>IFERROR(ROUND(((3*X81-(((E81/240000)+(F81/95)+(S81/600))*800/4+((E81/240000)*(F81/95))*800/2)*(H81/1.0))/(800/4+((S81/600))*800/2+((E81/240000)*(F81/95)*(S81/600))*800)*(H81/1.0)*5500)/J81,-1),"")</f>
        <v/>
      </c>
    </row>
    <row r="82">
      <c r="B82" s="7" t="inlineStr">
        <is>
          <t xml:space="preserve">  ↳ Type89Cannon</t>
        </is>
      </c>
      <c r="C82" s="7" t="inlineStr">
        <is>
          <t>Armament</t>
        </is>
      </c>
      <c r="L82" s="6" t="n">
        <v>10000</v>
      </c>
      <c r="M82" s="6" t="n">
        <v>52</v>
      </c>
      <c r="N82" s="6" t="n">
        <v>1</v>
      </c>
      <c r="O82" s="6" t="n"/>
      <c r="P82" s="6" t="n">
        <v>5243</v>
      </c>
      <c r="Q82" s="6" t="n">
        <v>1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^Warhead_CannonHE_Medium</t>
        </is>
      </c>
    </row>
    <row r="83">
      <c r="B83" s="7" t="inlineStr">
        <is>
          <t xml:space="preserve">  ↳ Type89PlasmaCannon</t>
        </is>
      </c>
      <c r="C83" s="7" t="inlineStr">
        <is>
          <t>Armament@Upgrade</t>
        </is>
      </c>
      <c r="L83" s="6" t="n">
        <v>13000</v>
      </c>
      <c r="M83" s="6" t="n">
        <v>52</v>
      </c>
      <c r="N83" s="6" t="n">
        <v>1</v>
      </c>
      <c r="O83" s="6" t="n"/>
      <c r="P83" s="6" t="n">
        <v>5243</v>
      </c>
      <c r="Q83" s="6" t="n">
        <v>1</v>
      </c>
      <c r="R83">
        <f>M83+IF(N83&gt;1,N(O83)*(N83-1),0)</f>
        <v/>
      </c>
      <c r="S83">
        <f>IFERROR(L83*MAX(N83,1)/R83*IF(ISBLANK(K81),1,K81),0)</f>
        <v/>
      </c>
      <c r="AB83" s="7" t="inlineStr">
        <is>
          <t>^TeslaWeapon, ^TankDestroyerCannon, ^HeavyCannon</t>
        </is>
      </c>
    </row>
    <row r="84">
      <c r="A84" t="inlineStr">
        <is>
          <t>redalert</t>
        </is>
      </c>
      <c r="B84" t="inlineStr">
        <is>
          <t>japan_japanesemobileconstructionvehicle</t>
        </is>
      </c>
      <c r="C84" t="inlineStr">
        <is>
          <t>Japanese Mobile Construction Vehicle</t>
        </is>
      </c>
      <c r="D84" s="6" t="inlineStr">
        <is>
          <t>SupportVehicle</t>
        </is>
      </c>
      <c r="E84" s="6" t="n">
        <v>300000</v>
      </c>
      <c r="F84" s="6" t="n">
        <v>75</v>
      </c>
      <c r="G84" t="inlineStr">
        <is>
          <t>Medium</t>
        </is>
      </c>
      <c r="H84" s="6" t="n">
        <v>0.7857</v>
      </c>
      <c r="I84" s="6" t="n">
        <v>1</v>
      </c>
      <c r="J84" s="6" t="n">
        <v>1</v>
      </c>
      <c r="K84" s="6" t="n"/>
      <c r="X84" s="6" t="n">
        <v>5000</v>
      </c>
    </row>
    <row r="85">
      <c r="A85" t="inlineStr">
        <is>
          <t>redalert</t>
        </is>
      </c>
      <c r="B85" t="inlineStr">
        <is>
          <t>japan_japaneseoretruck</t>
        </is>
      </c>
      <c r="C85" t="inlineStr">
        <is>
          <t>Japanese Ore Truck</t>
        </is>
      </c>
      <c r="D85" s="6" t="inlineStr">
        <is>
          <t>Harvester</t>
        </is>
      </c>
      <c r="E85" s="6" t="n">
        <v>75000</v>
      </c>
      <c r="F85" s="6" t="n">
        <v>120</v>
      </c>
      <c r="G85" t="inlineStr">
        <is>
          <t>Light</t>
        </is>
      </c>
      <c r="H85" s="6" t="n">
        <v>1</v>
      </c>
      <c r="I85" s="6" t="n">
        <v>1</v>
      </c>
      <c r="J85" s="6" t="n">
        <v>1</v>
      </c>
      <c r="K85" s="6" t="n"/>
      <c r="X85" s="6" t="n">
        <v>1000</v>
      </c>
    </row>
    <row r="86">
      <c r="A86" t="inlineStr">
        <is>
          <t>redalert</t>
        </is>
      </c>
      <c r="B86" t="inlineStr">
        <is>
          <t>japan_nanodronebuggy</t>
        </is>
      </c>
      <c r="C86" t="inlineStr">
        <is>
          <t>Nanodrone Buggy</t>
        </is>
      </c>
      <c r="D86" s="6" t="inlineStr">
        <is>
          <t>FireSupport</t>
        </is>
      </c>
      <c r="E86" s="6" t="n">
        <v>37500</v>
      </c>
      <c r="F86" s="6" t="n">
        <v>77</v>
      </c>
      <c r="G86" t="inlineStr">
        <is>
          <t>Light</t>
        </is>
      </c>
      <c r="H86" s="6" t="n">
        <v>1</v>
      </c>
      <c r="I86" s="6" t="n">
        <v>1</v>
      </c>
      <c r="J86" s="6" t="n">
        <v>1.25</v>
      </c>
      <c r="K86" s="6" t="n">
        <v>0.0033</v>
      </c>
      <c r="P86">
        <f>MAX(P87)</f>
        <v/>
      </c>
      <c r="S86">
        <f>S87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(((E86/120000)+(F86/90)+(S86/2100)+((P86/10000)*J86))*1400/4+(((E86/120000)*(F86/90))+(((P86/10000)*J86)*(S86/2100)))*1400/2+((E86/120000)*(F86/90)*((P86/10000)*J86)*(S86/2100))*1400)*(H86/0.6735)/3</f>
        <v/>
      </c>
      <c r="X86" s="6" t="n">
        <v>1200</v>
      </c>
      <c r="Y86">
        <f>IFERROR(W86-X86,"")</f>
        <v/>
      </c>
      <c r="Z86">
        <f>IFERROR(ABS(Y86)/MAX(X86,1),"")</f>
        <v/>
      </c>
      <c r="AA86">
        <f>IFERROR(ROUND(((3*X86-(((E86/120000)+(F86/90)+(S86/2100))*1400/4+((E86/120000)*(F86/90))*1400/2)*(H86/0.6735))/(1400/4+((S86/2100))*1400/2+((E86/120000)*(F86/90)*(S86/2100))*1400)*(H86/0.6735)*10000)/J86,-1),"")</f>
        <v/>
      </c>
    </row>
    <row r="87">
      <c r="B87" s="7" t="inlineStr">
        <is>
          <t xml:space="preserve">  ↳ NanoArtilleryAG</t>
        </is>
      </c>
      <c r="C87" s="7" t="inlineStr">
        <is>
          <t>Armament</t>
        </is>
      </c>
      <c r="L87" s="6" t="n">
        <v>23331</v>
      </c>
      <c r="M87" s="6" t="n">
        <v>77</v>
      </c>
      <c r="N87" s="6" t="n">
        <v>1</v>
      </c>
      <c r="O87" s="6" t="n"/>
      <c r="P87" s="6" t="n">
        <v>7777</v>
      </c>
      <c r="Q87" s="6" t="n">
        <v>1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^HeavyCannon, ^ShrapnelWeapon, ^Grenade</t>
        </is>
      </c>
    </row>
    <row r="88">
      <c r="A88" t="inlineStr">
        <is>
          <t>redalert</t>
        </is>
      </c>
      <c r="B88" t="inlineStr">
        <is>
          <t>japan_oitank</t>
        </is>
      </c>
      <c r="C88" t="inlineStr">
        <is>
          <t>O-I Tank</t>
        </is>
      </c>
      <c r="D88" s="6" t="inlineStr">
        <is>
          <t>HighTechTank</t>
        </is>
      </c>
      <c r="E88" s="6" t="n">
        <v>650000</v>
      </c>
      <c r="F88" s="6" t="n">
        <v>50</v>
      </c>
      <c r="G88" t="inlineStr">
        <is>
          <t>Superheavy</t>
        </is>
      </c>
      <c r="H88" s="6" t="n">
        <v>0.75</v>
      </c>
      <c r="I88" s="6" t="n">
        <v>1</v>
      </c>
      <c r="J88" s="6" t="n">
        <v>1</v>
      </c>
      <c r="K88" s="6" t="n"/>
      <c r="P88">
        <f>MAX(P89,P90,P91,P92,P93,P94,P95,P96,P97,P98,P99,P100)</f>
        <v/>
      </c>
      <c r="S88">
        <f>S89+S90+S91+S92+S93+S94+S95+S96+S97+S98+S99+S100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(((E88/700000)+(F88/65)+(S88/2000)+((P88/6500)*J88))*2000/4+(((E88/700000)*(F88/65))+(((P88/6500)*J88)*(S88/2000)))*2000/2+((E88/700000)*(F88/65)*((P88/6500)*J88)*(S88/2000))*2000)*(H88/0.75)/3</f>
        <v/>
      </c>
      <c r="X88" s="6" t="n">
        <v>7000</v>
      </c>
      <c r="Y88">
        <f>IFERROR(W88-X88,"")</f>
        <v/>
      </c>
      <c r="Z88">
        <f>IFERROR(ABS(Y88)/MAX(X88,1),"")</f>
        <v/>
      </c>
      <c r="AA88">
        <f>IFERROR(ROUND(((3*X88-(((E88/700000)+(F88/65)+(S88/2000))*2000/4+((E88/700000)*(F88/65))*2000/2)*(H88/0.75))/(2000/4+((S88/2000))*2000/2+((E88/700000)*(F88/65)*(S88/2000))*2000)*(H88/0.75)*6500)/J88,-1),"")</f>
        <v/>
      </c>
    </row>
    <row r="89">
      <c r="B89" s="7" t="inlineStr">
        <is>
          <t xml:space="preserve">  ↳ OIBigCannon</t>
        </is>
      </c>
      <c r="C89" s="7" t="inlineStr">
        <is>
          <t>Armament@MAIN</t>
        </is>
      </c>
      <c r="L89" s="6" t="n">
        <v>24000</v>
      </c>
      <c r="M89" s="6" t="n">
        <v>55</v>
      </c>
      <c r="N89" s="6" t="n">
        <v>1</v>
      </c>
      <c r="O89" s="6" t="n"/>
      <c r="P89" s="6" t="n">
        <v>5394</v>
      </c>
      <c r="Q89" s="6" t="n">
        <v>1.25</v>
      </c>
      <c r="R89">
        <f>M89+IF(N89&gt;1,N(O89)*(N89-1),0)</f>
        <v/>
      </c>
      <c r="S89">
        <f>IFERROR(L89*MAX(N89,1)/R89*IF(ISBLANK(K88),1,K88),0)</f>
        <v/>
      </c>
      <c r="AB89" s="7" t="inlineStr">
        <is>
          <t>^Warhead_CannonHE_Heavy</t>
        </is>
      </c>
    </row>
    <row r="90">
      <c r="B90" s="7" t="inlineStr">
        <is>
          <t xml:space="preserve">  ↳ OIBigPlasmaCannon</t>
        </is>
      </c>
      <c r="C90" s="7" t="inlineStr">
        <is>
          <t>Armament@Upgrade</t>
        </is>
      </c>
      <c r="L90" s="6" t="n">
        <v>24000</v>
      </c>
      <c r="M90" s="6" t="n">
        <v>55</v>
      </c>
      <c r="N90" s="6" t="n">
        <v>1</v>
      </c>
      <c r="O90" s="6" t="n"/>
      <c r="P90" s="6" t="n">
        <v>5394</v>
      </c>
      <c r="Q90" s="6" t="n">
        <v>1</v>
      </c>
      <c r="R90">
        <f>M90+IF(N90&gt;1,N(O90)*(N90-1),0)</f>
        <v/>
      </c>
      <c r="S90">
        <f>IFERROR(L90*MAX(N90,1)/R90*IF(ISBLANK(K88),1,K88),0)</f>
        <v/>
      </c>
      <c r="AB90" s="7" t="inlineStr">
        <is>
          <t>^Warhead_Tesla_Heavy, ^Warhead_Railgun_Heavy, ^Warhead_CannonHE_Heavy</t>
        </is>
      </c>
    </row>
    <row r="91">
      <c r="B91" s="7" t="inlineStr">
        <is>
          <t xml:space="preserve">  ↳ OISmallCannon</t>
        </is>
      </c>
      <c r="C91" s="7" t="inlineStr">
        <is>
          <t>Armament@PRIMARY</t>
        </is>
      </c>
      <c r="L91" s="6" t="n">
        <v>8000</v>
      </c>
      <c r="M91" s="6" t="n">
        <v>45</v>
      </c>
      <c r="N91" s="6" t="n">
        <v>1</v>
      </c>
      <c r="O91" s="6" t="n"/>
      <c r="P91" s="6" t="n">
        <v>5394</v>
      </c>
      <c r="Q91" s="6" t="n">
        <v>1</v>
      </c>
      <c r="R91">
        <f>M91+IF(N91&gt;1,N(O91)*(N91-1),0)</f>
        <v/>
      </c>
      <c r="S91">
        <f>IFERROR(L91*MAX(N91,1)/R91*IF(ISBLANK(K88),1,K88),0)</f>
        <v/>
      </c>
      <c r="AB91" s="7" t="inlineStr">
        <is>
          <t>^Warhead_CannonHE_Medium</t>
        </is>
      </c>
    </row>
    <row r="92">
      <c r="B92" s="7" t="inlineStr">
        <is>
          <t xml:space="preserve">  ↳ OISmallCannon</t>
        </is>
      </c>
      <c r="C92" s="7" t="inlineStr">
        <is>
          <t>Armament@SECONDARY</t>
        </is>
      </c>
      <c r="L92" s="6" t="n">
        <v>8000</v>
      </c>
      <c r="M92" s="6" t="n">
        <v>45</v>
      </c>
      <c r="N92" s="6" t="n">
        <v>1</v>
      </c>
      <c r="O92" s="6" t="n"/>
      <c r="P92" s="6" t="n">
        <v>5394</v>
      </c>
      <c r="Q92" s="6" t="n">
        <v>1</v>
      </c>
      <c r="R92">
        <f>M92+IF(N92&gt;1,N(O92)*(N92-1),0)</f>
        <v/>
      </c>
      <c r="S92">
        <f>IFERROR(L92*MAX(N92,1)/R92*IF(ISBLANK(K88),1,K88),0)</f>
        <v/>
      </c>
      <c r="AB92" s="7" t="inlineStr">
        <is>
          <t>^Warhead_CannonHE_Medium</t>
        </is>
      </c>
    </row>
    <row r="93">
      <c r="B93" s="7" t="inlineStr">
        <is>
          <t xml:space="preserve">  ↳ OISmallCannon</t>
        </is>
      </c>
      <c r="C93" s="7" t="inlineStr">
        <is>
          <t>Armament@Back</t>
        </is>
      </c>
      <c r="L93" s="6" t="n">
        <v>8000</v>
      </c>
      <c r="M93" s="6" t="n">
        <v>45</v>
      </c>
      <c r="N93" s="6" t="n">
        <v>1</v>
      </c>
      <c r="O93" s="6" t="n"/>
      <c r="P93" s="6" t="n">
        <v>5394</v>
      </c>
      <c r="Q93" s="6" t="n">
        <v>1</v>
      </c>
      <c r="R93">
        <f>M93+IF(N93&gt;1,N(O93)*(N93-1),0)</f>
        <v/>
      </c>
      <c r="S93">
        <f>IFERROR(L93*MAX(N93,1)/R93*IF(ISBLANK(K88),1,K88),0)</f>
        <v/>
      </c>
      <c r="AB93" s="7" t="inlineStr">
        <is>
          <t>^Warhead_CannonHE_Medium</t>
        </is>
      </c>
    </row>
    <row r="94">
      <c r="B94" s="7" t="inlineStr">
        <is>
          <t xml:space="preserve">  ↳ OISmallPlasmaCannon</t>
        </is>
      </c>
      <c r="C94" s="7" t="inlineStr">
        <is>
          <t>Armament@UpgradePRIMARY</t>
        </is>
      </c>
      <c r="L94" s="6" t="n">
        <v>8000</v>
      </c>
      <c r="M94" s="6" t="n">
        <v>45</v>
      </c>
      <c r="N94" s="6" t="n">
        <v>1</v>
      </c>
      <c r="O94" s="6" t="n"/>
      <c r="P94" s="6" t="n">
        <v>5394</v>
      </c>
      <c r="Q94" s="6" t="n">
        <v>1</v>
      </c>
      <c r="R94">
        <f>M94+IF(N94&gt;1,N(O94)*(N94-1),0)</f>
        <v/>
      </c>
      <c r="S94">
        <f>IFERROR(L94*MAX(N94,1)/R94*IF(ISBLANK(K88),1,K88),0)</f>
        <v/>
      </c>
      <c r="AB94" s="7" t="inlineStr">
        <is>
          <t>^HeavyChemicalWeapon, ^TeslaWeapon, ^RailgunWeapon, ^HeavyCannon</t>
        </is>
      </c>
    </row>
    <row r="95">
      <c r="B95" s="7" t="inlineStr">
        <is>
          <t xml:space="preserve">  ↳ OISmallPlasmaCannon</t>
        </is>
      </c>
      <c r="C95" s="7" t="inlineStr">
        <is>
          <t>Armament@UpgradeSECONDARY</t>
        </is>
      </c>
      <c r="L95" s="6" t="n">
        <v>8000</v>
      </c>
      <c r="M95" s="6" t="n">
        <v>45</v>
      </c>
      <c r="N95" s="6" t="n">
        <v>1</v>
      </c>
      <c r="O95" s="6" t="n"/>
      <c r="P95" s="6" t="n">
        <v>5394</v>
      </c>
      <c r="Q95" s="6" t="n">
        <v>1</v>
      </c>
      <c r="R95">
        <f>M95+IF(N95&gt;1,N(O95)*(N95-1),0)</f>
        <v/>
      </c>
      <c r="S95">
        <f>IFERROR(L95*MAX(N95,1)/R95*IF(ISBLANK(K88),1,K88),0)</f>
        <v/>
      </c>
      <c r="AB95" s="7" t="inlineStr">
        <is>
          <t>^HeavyChemicalWeapon, ^TeslaWeapon, ^RailgunWeapon, ^HeavyCannon</t>
        </is>
      </c>
    </row>
    <row r="96">
      <c r="B96" s="7" t="inlineStr">
        <is>
          <t xml:space="preserve">  ↳ OISmallPlasmaCannon</t>
        </is>
      </c>
      <c r="C96" s="7" t="inlineStr">
        <is>
          <t>Armament@UpgradeBack</t>
        </is>
      </c>
      <c r="L96" s="6" t="n">
        <v>8000</v>
      </c>
      <c r="M96" s="6" t="n">
        <v>45</v>
      </c>
      <c r="N96" s="6" t="n">
        <v>1</v>
      </c>
      <c r="O96" s="6" t="n"/>
      <c r="P96" s="6" t="n">
        <v>5394</v>
      </c>
      <c r="Q96" s="6" t="n">
        <v>1</v>
      </c>
      <c r="R96">
        <f>M96+IF(N96&gt;1,N(O96)*(N96-1),0)</f>
        <v/>
      </c>
      <c r="S96">
        <f>IFERROR(L96*MAX(N96,1)/R96*IF(ISBLANK(K88),1,K88),0)</f>
        <v/>
      </c>
      <c r="AB96" s="7" t="inlineStr">
        <is>
          <t>^HeavyChemicalWeapon, ^TeslaWeapon, ^RailgunWeapon, ^HeavyCannon</t>
        </is>
      </c>
    </row>
    <row r="97">
      <c r="B97" s="7" t="inlineStr">
        <is>
          <t xml:space="preserve">  ↳ OIFlamer</t>
        </is>
      </c>
      <c r="C97" s="7" t="inlineStr">
        <is>
          <t>Armament@PRIMARYFlame</t>
        </is>
      </c>
      <c r="L97" s="6" t="n">
        <v>2000</v>
      </c>
      <c r="M97" s="6" t="n">
        <v>60</v>
      </c>
      <c r="N97" s="6" t="n">
        <v>20</v>
      </c>
      <c r="O97" s="6" t="n">
        <v>1</v>
      </c>
      <c r="P97" s="6" t="n">
        <v>5394</v>
      </c>
      <c r="Q97" s="6" t="n">
        <v>1</v>
      </c>
      <c r="R97">
        <f>M97+IF(N97&gt;1,N(O97)*(N97-1),0)</f>
        <v/>
      </c>
      <c r="S97">
        <f>IFERROR(L97*MAX(N97,1)/R97*IF(ISBLANK(K88),1,K88),0)</f>
        <v/>
      </c>
      <c r="AB97" s="7" t="inlineStr">
        <is>
          <t>^Warhead_Flame_Medium</t>
        </is>
      </c>
    </row>
    <row r="98">
      <c r="B98" s="7" t="inlineStr">
        <is>
          <t xml:space="preserve">  ↳ OIFlamer</t>
        </is>
      </c>
      <c r="C98" s="7" t="inlineStr">
        <is>
          <t>Armament@SECONDARYFlame</t>
        </is>
      </c>
      <c r="L98" s="6" t="n">
        <v>2000</v>
      </c>
      <c r="M98" s="6" t="n">
        <v>60</v>
      </c>
      <c r="N98" s="6" t="n">
        <v>20</v>
      </c>
      <c r="O98" s="6" t="n">
        <v>1</v>
      </c>
      <c r="P98" s="6" t="n">
        <v>5394</v>
      </c>
      <c r="Q98" s="6" t="n">
        <v>1</v>
      </c>
      <c r="R98">
        <f>M98+IF(N98&gt;1,N(O98)*(N98-1),0)</f>
        <v/>
      </c>
      <c r="S98">
        <f>IFERROR(L98*MAX(N98,1)/R98*IF(ISBLANK(K88),1,K88),0)</f>
        <v/>
      </c>
      <c r="AB98" s="7" t="inlineStr">
        <is>
          <t>^Warhead_Flame_Medium</t>
        </is>
      </c>
    </row>
    <row r="99">
      <c r="B99" s="7" t="inlineStr">
        <is>
          <t xml:space="preserve">  ↳ OIPlasmaFlamer</t>
        </is>
      </c>
      <c r="C99" s="7" t="inlineStr">
        <is>
          <t>Armament@UpgradePRIMARYFlame</t>
        </is>
      </c>
      <c r="L99" s="6" t="n">
        <v>4000</v>
      </c>
      <c r="M99" s="6" t="n">
        <v>60</v>
      </c>
      <c r="N99" s="6" t="n">
        <v>20</v>
      </c>
      <c r="O99" s="6" t="n">
        <v>1</v>
      </c>
      <c r="P99" s="6" t="n">
        <v>5394</v>
      </c>
      <c r="Q99" s="6" t="n">
        <v>1.25</v>
      </c>
      <c r="R99">
        <f>M99+IF(N99&gt;1,N(O99)*(N99-1),0)</f>
        <v/>
      </c>
      <c r="S99">
        <f>IFERROR(L99*MAX(N99,1)/R99*IF(ISBLANK(K88),1,K88),0)</f>
        <v/>
      </c>
      <c r="AB99" s="7" t="inlineStr">
        <is>
          <t>^Warhead_Chemical_Heavy, ^Warhead_Flame_Heavy</t>
        </is>
      </c>
    </row>
    <row r="100">
      <c r="B100" s="7" t="inlineStr">
        <is>
          <t xml:space="preserve">  ↳ OIPlasmaFlamer</t>
        </is>
      </c>
      <c r="C100" s="7" t="inlineStr">
        <is>
          <t>Armament@UpgradeSECONDARYFlame</t>
        </is>
      </c>
      <c r="L100" s="6" t="n">
        <v>4000</v>
      </c>
      <c r="M100" s="6" t="n">
        <v>60</v>
      </c>
      <c r="N100" s="6" t="n">
        <v>20</v>
      </c>
      <c r="O100" s="6" t="n">
        <v>1</v>
      </c>
      <c r="P100" s="6" t="n">
        <v>5394</v>
      </c>
      <c r="Q100" s="6" t="n">
        <v>1.25</v>
      </c>
      <c r="R100">
        <f>M100+IF(N100&gt;1,N(O100)*(N100-1),0)</f>
        <v/>
      </c>
      <c r="S100">
        <f>IFERROR(L100*MAX(N100,1)/R100*IF(ISBLANK(K88),1,K88),0)</f>
        <v/>
      </c>
      <c r="AB100" s="7" t="inlineStr">
        <is>
          <t>^Warhead_Chemical_Heavy, ^Warhead_Flame_Heavy</t>
        </is>
      </c>
    </row>
    <row r="101">
      <c r="A101" t="inlineStr">
        <is>
          <t>redalert</t>
        </is>
      </c>
      <c r="B101" t="inlineStr">
        <is>
          <t>japan_scoutcar</t>
        </is>
      </c>
      <c r="C101" t="inlineStr">
        <is>
          <t>Scout Car</t>
        </is>
      </c>
      <c r="D101" s="6" t="inlineStr">
        <is>
          <t>ScoutVehicle</t>
        </is>
      </c>
      <c r="E101" s="6" t="n">
        <v>25000</v>
      </c>
      <c r="F101" s="6" t="n">
        <v>160</v>
      </c>
      <c r="G101" t="inlineStr">
        <is>
          <t>Scout</t>
        </is>
      </c>
      <c r="H101" s="6" t="n">
        <v>1</v>
      </c>
      <c r="I101" s="6" t="n">
        <v>0.333</v>
      </c>
      <c r="J101" s="6" t="n">
        <v>1</v>
      </c>
      <c r="K101" s="6" t="n"/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(((E101/30000)+(F101/200)+(S101/450)+((P101/4500)*J101))*300/4+(((E101/30000)*(F101/200))+(((P101/4500)*J101)*(S101/450)))*300/2+((E101/30000)*(F101/200)*((P101/4500)*J101)*(S101/450))*300)*(H101/1.0)/3</f>
        <v/>
      </c>
      <c r="X101" s="6" t="n">
        <v>300</v>
      </c>
      <c r="Y101">
        <f>IFERROR(W101-X101,"")</f>
        <v/>
      </c>
      <c r="Z101">
        <f>IFERROR(ABS(Y101)/MAX(X101,1),"")</f>
        <v/>
      </c>
      <c r="AA101">
        <f>IFERROR(ROUND(((3*X101-(((E101/30000)+(F101/200)+(S101/450))*300/4+((E101/30000)*(F101/200))*300/2)*(H101/1.0))/(300/4+((S101/450))*300/2+((E101/30000)*(F101/200)*(S101/450))*300)*(H101/1.0)*4500)/J101,-1),"")</f>
        <v/>
      </c>
    </row>
    <row r="102">
      <c r="B102" s="7" t="inlineStr">
        <is>
          <t xml:space="preserve">  ↳ NambuMG</t>
        </is>
      </c>
      <c r="C102" s="7" t="inlineStr">
        <is>
          <t>Armament</t>
        </is>
      </c>
      <c r="L102" s="6" t="n">
        <v>4000</v>
      </c>
      <c r="M102" s="6" t="n">
        <v>15</v>
      </c>
      <c r="N102" s="6" t="n">
        <v>5</v>
      </c>
      <c r="O102" s="6" t="n">
        <v>5</v>
      </c>
      <c r="P102" s="6" t="n">
        <v>5004</v>
      </c>
      <c r="Q102" s="6" t="n">
        <v>0.75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^Warhead_Bullet_Light</t>
        </is>
      </c>
    </row>
    <row r="103">
      <c r="B103" s="7" t="inlineStr">
        <is>
          <t xml:space="preserve">  ↳ NambuMGWaveforce</t>
        </is>
      </c>
      <c r="C103" s="7" t="inlineStr">
        <is>
          <t>Armament@Upgrade</t>
        </is>
      </c>
      <c r="L103" s="6" t="n">
        <v>4000</v>
      </c>
      <c r="M103" s="6" t="n">
        <v>15</v>
      </c>
      <c r="N103" s="6" t="n">
        <v>5</v>
      </c>
      <c r="O103" s="6" t="n">
        <v>5</v>
      </c>
      <c r="P103" s="6" t="n">
        <v>5004</v>
      </c>
      <c r="Q103" s="6" t="n">
        <v>1</v>
      </c>
      <c r="R103">
        <f>M103+IF(N103&gt;1,N(O103)*(N103-1),0)</f>
        <v/>
      </c>
      <c r="S103">
        <f>IFERROR(L103*MAX(N103,1)/R103*IF(ISBLANK(K101),1,K101),0)</f>
        <v/>
      </c>
      <c r="AB103" s="7" t="inlineStr">
        <is>
          <t>^Warhead_Railgun_Heavy, ^Warhead_Bullet_Light</t>
        </is>
      </c>
    </row>
    <row r="104">
      <c r="A104" t="inlineStr">
        <is>
          <t>redalert</t>
        </is>
      </c>
      <c r="B104" t="inlineStr">
        <is>
          <t>japan_shogunexecutioner</t>
        </is>
      </c>
      <c r="C104" t="inlineStr">
        <is>
          <t>Shogun Executioner</t>
        </is>
      </c>
      <c r="D104" s="6" t="inlineStr">
        <is>
          <t>EpicVehicle</t>
        </is>
      </c>
      <c r="E104" s="6" t="n">
        <v>3000000</v>
      </c>
      <c r="F104" s="6" t="n">
        <v>65</v>
      </c>
      <c r="G104" t="inlineStr">
        <is>
          <t>Superheavy</t>
        </is>
      </c>
      <c r="H104" s="6" t="n">
        <v>0.75</v>
      </c>
      <c r="I104" s="6" t="n">
        <v>0.4</v>
      </c>
      <c r="J104" s="6" t="n">
        <v>1.25</v>
      </c>
      <c r="K104" s="6" t="n"/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(((E104/4000000)+(F104/60)+(S104/20000)+((P104/8500)*J104))*10000/4+(((E104/4000000)*(F104/60))+(((P104/8500)*J104)*(S104/20000)))*10000/2+((E104/4000000)*(F104/60)*((P104/8500)*J104)*(S104/20000))*10000)*(H104/0.75)/3</f>
        <v/>
      </c>
      <c r="X104" s="6" t="n">
        <v>10000</v>
      </c>
      <c r="Y104">
        <f>IFERROR(W104-X104,"")</f>
        <v/>
      </c>
      <c r="Z104">
        <f>IFERROR(ABS(Y104)/MAX(X104,1),"")</f>
        <v/>
      </c>
      <c r="AA104">
        <f>IFERROR(ROUND(((3*X104-(((E104/4000000)+(F104/60)+(S104/20000))*10000/4+((E104/4000000)*(F104/60))*10000/2)*(H104/0.75))/(10000/4+((S104/20000))*10000/2+((E104/4000000)*(F104/60)*(S104/20000))*10000)*(H104/0.75)*8500)/J104,-1),"")</f>
        <v/>
      </c>
    </row>
    <row r="105">
      <c r="B105" s="7" t="inlineStr">
        <is>
          <t xml:space="preserve">  ↳ ExecutionerSword</t>
        </is>
      </c>
      <c r="C105" s="7" t="inlineStr">
        <is>
          <t>Armament</t>
        </is>
      </c>
      <c r="L105" s="6" t="n">
        <v>600000</v>
      </c>
      <c r="M105" s="6" t="n">
        <v>300</v>
      </c>
      <c r="N105" s="6" t="n">
        <v>1</v>
      </c>
      <c r="O105" s="6" t="n"/>
      <c r="P105" s="6" t="n">
        <v>3000</v>
      </c>
      <c r="Q105" s="6" t="n">
        <v>1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^Warhead_Melee_Medium</t>
        </is>
      </c>
    </row>
    <row r="106">
      <c r="A106" t="inlineStr">
        <is>
          <t>redalert</t>
        </is>
      </c>
      <c r="B106" t="inlineStr">
        <is>
          <t>japan_shrineminitank</t>
        </is>
      </c>
      <c r="C106" t="inlineStr">
        <is>
          <t>Shrine Minitank</t>
        </is>
      </c>
      <c r="D106" s="6" t="inlineStr">
        <is>
          <t>LightTank</t>
        </is>
      </c>
      <c r="E106" s="6" t="n">
        <v>60000</v>
      </c>
      <c r="F106" s="6" t="n">
        <v>120</v>
      </c>
      <c r="G106" t="inlineStr">
        <is>
          <t>Medium</t>
        </is>
      </c>
      <c r="H106" s="6" t="n">
        <v>0.8683999999999999</v>
      </c>
      <c r="I106" s="6" t="n">
        <v>1</v>
      </c>
      <c r="J106" s="6" t="n">
        <v>1</v>
      </c>
      <c r="K106" s="6" t="n"/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(((E106/100000)+(F106/125)+(S106/200)+((P106/5000)*J106))*400/4+(((E106/100000)*(F106/125))+(((P106/5000)*J106)*(S106/200)))*400/2+((E106/100000)*(F106/125)*((P106/5000)*J106)*(S106/200))*400)*(H106/1.0)/3</f>
        <v/>
      </c>
      <c r="X106" s="6" t="n">
        <v>1600</v>
      </c>
      <c r="Y106">
        <f>IFERROR(W106-X106,"")</f>
        <v/>
      </c>
      <c r="Z106">
        <f>IFERROR(ABS(Y106)/MAX(X106,1),"")</f>
        <v/>
      </c>
      <c r="AA106">
        <f>IFERROR(ROUND(((3*X106-(((E106/100000)+(F106/125)+(S106/200))*400/4+((E106/100000)*(F106/125))*400/2)*(H106/1.0))/(400/4+((S106/200))*400/2+((E106/100000)*(F106/125)*(S106/200))*400)*(H106/1.0)*5000)/J106,-1),"")</f>
        <v/>
      </c>
    </row>
    <row r="107">
      <c r="B107" s="7" t="inlineStr">
        <is>
          <t xml:space="preserve">  ↳ ShrineTankCannon</t>
        </is>
      </c>
      <c r="C107" s="7" t="inlineStr">
        <is>
          <t>Armament</t>
        </is>
      </c>
      <c r="L107" s="6" t="n">
        <v>24000</v>
      </c>
      <c r="M107" s="6" t="n">
        <v>50</v>
      </c>
      <c r="N107" s="6" t="n">
        <v>1</v>
      </c>
      <c r="O107" s="6" t="n"/>
      <c r="P107" s="6" t="n">
        <v>6370</v>
      </c>
      <c r="Q107" s="6" t="n">
        <v>1.25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^Warhead_Magic_Heavy</t>
        </is>
      </c>
    </row>
    <row r="108">
      <c r="A108" t="inlineStr">
        <is>
          <t>redalert</t>
        </is>
      </c>
      <c r="B108" t="inlineStr">
        <is>
          <t>japan_waveforceartillery</t>
        </is>
      </c>
      <c r="C108" t="inlineStr">
        <is>
          <t>Waveforce Artillery</t>
        </is>
      </c>
      <c r="D108" s="6" t="inlineStr">
        <is>
          <t>ArtilleryTank</t>
        </is>
      </c>
      <c r="E108" s="6" t="n">
        <v>50000</v>
      </c>
      <c r="F108" s="6" t="n">
        <v>55</v>
      </c>
      <c r="G108" t="inlineStr">
        <is>
          <t>Medium</t>
        </is>
      </c>
      <c r="H108" s="6" t="n">
        <v>0.75</v>
      </c>
      <c r="I108" s="6" t="n">
        <v>1</v>
      </c>
      <c r="J108" s="6" t="n">
        <v>1.25</v>
      </c>
      <c r="K108" s="6" t="n">
        <v>0.005</v>
      </c>
      <c r="X108" s="6" t="n">
        <v>2500</v>
      </c>
    </row>
    <row r="109">
      <c r="B109" s="7" t="inlineStr">
        <is>
          <t xml:space="preserve">  ↳ WaveArtilleryShell</t>
        </is>
      </c>
      <c r="C109" s="7" t="inlineStr">
        <is>
          <t>Armament@AG</t>
        </is>
      </c>
      <c r="L109" s="6" t="n"/>
      <c r="M109" s="6" t="n">
        <v>111</v>
      </c>
      <c r="N109" s="6" t="n">
        <v>1</v>
      </c>
      <c r="O109" s="6" t="n"/>
      <c r="P109" s="6" t="n">
        <v>11111</v>
      </c>
      <c r="Q109" s="6" t="n">
        <v>1</v>
      </c>
      <c r="R109">
        <f>M109+IF(N109&gt;1,N(O109)*(N109-1),0)</f>
        <v/>
      </c>
      <c r="S109">
        <f>IFERROR(L109*MAX(N109,1)/R109*IF(ISBLANK(K108),1,K108),0)</f>
        <v/>
      </c>
      <c r="AB109" s="7" t="inlineStr"/>
    </row>
    <row r="110">
      <c r="A110" t="inlineStr">
        <is>
          <t>redalert</t>
        </is>
      </c>
      <c r="B110" t="inlineStr">
        <is>
          <t>japan_waveforcetank</t>
        </is>
      </c>
      <c r="C110" t="inlineStr">
        <is>
          <t>Waveforce Tank</t>
        </is>
      </c>
      <c r="D110" s="6" t="inlineStr">
        <is>
          <t>FireSupport</t>
        </is>
      </c>
      <c r="E110" s="6" t="n">
        <v>60000</v>
      </c>
      <c r="F110" s="6" t="n">
        <v>60</v>
      </c>
      <c r="G110" t="inlineStr">
        <is>
          <t>Light</t>
        </is>
      </c>
      <c r="H110" s="6" t="n">
        <v>1</v>
      </c>
      <c r="I110" s="6" t="n">
        <v>1</v>
      </c>
      <c r="J110" s="6" t="n">
        <v>1</v>
      </c>
      <c r="K110" s="6" t="n"/>
      <c r="P110">
        <f>MAX(P111,P112,P113,P114)</f>
        <v/>
      </c>
      <c r="S110">
        <f>S111+S112+S113+S114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(((E110/120000)+(F110/90)+(S110/2100)+((P110/10000)*J110))*1400/4+(((E110/120000)*(F110/90))+(((P110/10000)*J110)*(S110/2100)))*1400/2+((E110/120000)*(F110/90)*((P110/10000)*J110)*(S110/2100))*1400)*(H110/0.6735)/3</f>
        <v/>
      </c>
      <c r="X110" s="6" t="n">
        <v>1800</v>
      </c>
      <c r="Y110">
        <f>IFERROR(W110-X110,"")</f>
        <v/>
      </c>
      <c r="Z110">
        <f>IFERROR(ABS(Y110)/MAX(X110,1),"")</f>
        <v/>
      </c>
      <c r="AA110">
        <f>IFERROR(ROUND(((3*X110-(((E110/120000)+(F110/90)+(S110/2100))*1400/4+((E110/120000)*(F110/90))*1400/2)*(H110/0.6735))/(1400/4+((S110/2100))*1400/2+((E110/120000)*(F110/90)*(S110/2100))*1400)*(H110/0.6735)*10000)/J110,-1),"")</f>
        <v/>
      </c>
    </row>
    <row r="111">
      <c r="B111" s="7" t="inlineStr">
        <is>
          <t xml:space="preserve">  ↳ WaveforceCannon</t>
        </is>
      </c>
      <c r="C111" s="7" t="inlineStr">
        <is>
          <t>Armament</t>
        </is>
      </c>
      <c r="L111" s="6" t="n">
        <v>20000</v>
      </c>
      <c r="M111" s="6" t="n">
        <v>60</v>
      </c>
      <c r="N111" s="6" t="n">
        <v>1</v>
      </c>
      <c r="O111" s="6" t="n"/>
      <c r="P111" s="6" t="n">
        <v>9343</v>
      </c>
      <c r="Q111" s="6" t="n">
        <v>1.25</v>
      </c>
      <c r="R111">
        <f>M111+IF(N111&gt;1,N(O111)*(N111-1),0)</f>
        <v/>
      </c>
      <c r="S111">
        <f>IFERROR(L111*MAX(N111,1)/R111*IF(ISBLANK(K110),1,K110),0)</f>
        <v/>
      </c>
      <c r="AB111" s="7" t="inlineStr">
        <is>
          <t>^Warhead_MissileHE_Heavy, ^Warhead_Railgun_Heavy</t>
        </is>
      </c>
    </row>
    <row r="112">
      <c r="B112" s="7" t="inlineStr">
        <is>
          <t xml:space="preserve">  ↳ WaveforceCannonChargedLaser</t>
        </is>
      </c>
      <c r="C112" s="7" t="inlineStr">
        <is>
          <t>Armament@Upgrade1</t>
        </is>
      </c>
      <c r="L112" s="6" t="n">
        <v>20000</v>
      </c>
      <c r="M112" s="6" t="n">
        <v>120</v>
      </c>
      <c r="N112" s="6" t="n">
        <v>1</v>
      </c>
      <c r="O112" s="6" t="n"/>
      <c r="P112" s="6" t="n">
        <v>9343</v>
      </c>
      <c r="Q112" s="6" t="n">
        <v>1.25</v>
      </c>
      <c r="R112">
        <f>M112+IF(N112&gt;1,N(O112)*(N112-1),0)</f>
        <v/>
      </c>
      <c r="S112">
        <f>IFERROR(L112*MAX(N112,1)/R112*IF(ISBLANK(K110),1,K110),0)</f>
        <v/>
      </c>
      <c r="AB112" s="7" t="inlineStr">
        <is>
          <t>^Warhead_MissileHE_Heavy, ^Warhead_Railgun_Heavy</t>
        </is>
      </c>
    </row>
    <row r="113">
      <c r="B113" s="7" t="inlineStr">
        <is>
          <t xml:space="preserve">  ↳ WaveforceCannonDistortedBeam1</t>
        </is>
      </c>
      <c r="C113" s="7" t="inlineStr">
        <is>
          <t>Armament@Upgrade2</t>
        </is>
      </c>
      <c r="L113" s="6" t="n">
        <v>20000</v>
      </c>
      <c r="M113" s="6" t="n">
        <v>120</v>
      </c>
      <c r="N113" s="6" t="n">
        <v>1</v>
      </c>
      <c r="O113" s="6" t="n"/>
      <c r="P113" s="6" t="n">
        <v>9343</v>
      </c>
      <c r="Q113" s="6" t="n">
        <v>1</v>
      </c>
      <c r="R113">
        <f>M113+IF(N113&gt;1,N(O113)*(N113-1),0)</f>
        <v/>
      </c>
      <c r="S113">
        <f>IFERROR(L113*MAX(N113,1)/R113*IF(ISBLANK(K110),1,K110),0)</f>
        <v/>
      </c>
      <c r="AB113" s="7" t="inlineStr">
        <is>
          <t>^TeslaWeapon, ^HeavyCannon</t>
        </is>
      </c>
    </row>
    <row r="114">
      <c r="B114" s="7" t="inlineStr">
        <is>
          <t xml:space="preserve">  ↳ WaveforceCannonDistortedBeam2</t>
        </is>
      </c>
      <c r="C114" s="7" t="inlineStr">
        <is>
          <t>Armament@Upgrade3</t>
        </is>
      </c>
      <c r="L114" s="6" t="n">
        <v>20000</v>
      </c>
      <c r="M114" s="6" t="n">
        <v>120</v>
      </c>
      <c r="N114" s="6" t="n">
        <v>1</v>
      </c>
      <c r="O114" s="6" t="n"/>
      <c r="P114" s="6" t="n">
        <v>9343</v>
      </c>
      <c r="Q114" s="6" t="n">
        <v>1.25</v>
      </c>
      <c r="R114">
        <f>M114+IF(N114&gt;1,N(O114)*(N114-1),0)</f>
        <v/>
      </c>
      <c r="S114">
        <f>IFERROR(L114*MAX(N114,1)/R114*IF(ISBLANK(K110),1,K110),0)</f>
        <v/>
      </c>
      <c r="AB114" s="7" t="inlineStr">
        <is>
          <t>^Warhead_Chemical_Heavy, ^Warhead_Flame_Heavy</t>
        </is>
      </c>
    </row>
    <row r="115">
      <c r="A115" s="4" t="inlineStr">
        <is>
          <t>AIRCRAFT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t="inlineStr">
        <is>
          <t>redalert</t>
        </is>
      </c>
      <c r="B116" t="inlineStr">
        <is>
          <t>japan_japanesebomber</t>
        </is>
      </c>
      <c r="C116" t="inlineStr">
        <is>
          <t>Japanese Bomber</t>
        </is>
      </c>
      <c r="D116" s="6" t="inlineStr">
        <is>
          <t>Bomber</t>
        </is>
      </c>
      <c r="E116" s="6" t="n">
        <v>122500</v>
      </c>
      <c r="F116" s="6" t="n">
        <v>165</v>
      </c>
      <c r="G116" t="inlineStr">
        <is>
          <t>Bomber</t>
        </is>
      </c>
      <c r="H116" s="6" t="n">
        <v>0.75</v>
      </c>
      <c r="I116" s="6" t="n">
        <v>1</v>
      </c>
      <c r="J116" s="6" t="n">
        <v>1</v>
      </c>
      <c r="K116" s="6" t="n"/>
      <c r="P116">
        <f>MAX(P117,P118,P119,P120)</f>
        <v/>
      </c>
      <c r="S116">
        <f>S117+S118+S119+S120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1500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ZeroFighterChainGun</t>
        </is>
      </c>
      <c r="C117" s="7" t="inlineStr">
        <is>
          <t>Armament@Guns</t>
        </is>
      </c>
      <c r="L117" s="6" t="n">
        <v>6000</v>
      </c>
      <c r="M117" s="6" t="n">
        <v>92</v>
      </c>
      <c r="N117" s="6" t="n">
        <v>12</v>
      </c>
      <c r="O117" s="6" t="n">
        <v>4</v>
      </c>
      <c r="P117" s="6" t="n">
        <v>6615</v>
      </c>
      <c r="Q117" s="6" t="n">
        <v>1</v>
      </c>
      <c r="R117">
        <f>M117+IF(N117&gt;1,N(O117)*(N117-1),0)</f>
        <v/>
      </c>
      <c r="S117">
        <f>IFERROR(L117*MAX(N117,1)/R117*IF(ISBLANK(K116),1,K116),0)</f>
        <v/>
      </c>
      <c r="AB117" s="7" t="inlineStr">
        <is>
          <t>^Warhead_Bullet_Medium</t>
        </is>
      </c>
    </row>
    <row r="118">
      <c r="B118" s="7" t="inlineStr">
        <is>
          <t xml:space="preserve">  ↳ ZeroFighterChainGunWaveforce</t>
        </is>
      </c>
      <c r="C118" s="7" t="inlineStr">
        <is>
          <t>Armament@UpgradeGuns</t>
        </is>
      </c>
      <c r="L118" s="6" t="n">
        <v>11000</v>
      </c>
      <c r="M118" s="6" t="n">
        <v>92</v>
      </c>
      <c r="N118" s="6" t="n">
        <v>12</v>
      </c>
      <c r="O118" s="6" t="n">
        <v>4</v>
      </c>
      <c r="P118" s="6" t="n">
        <v>6615</v>
      </c>
      <c r="Q118" s="6" t="n">
        <v>1.125</v>
      </c>
      <c r="R118">
        <f>M118+IF(N118&gt;1,N(O118)*(N118-1),0)</f>
        <v/>
      </c>
      <c r="S118">
        <f>IFERROR(L118*MAX(N118,1)/R118*IF(ISBLANK(K116),1,K116),0)</f>
        <v/>
      </c>
      <c r="AB118" s="7" t="inlineStr">
        <is>
          <t>^Warhead_Railgun_Heavy, ^Warhead_Bullet_Medium</t>
        </is>
      </c>
    </row>
    <row r="119">
      <c r="B119" s="7" t="inlineStr">
        <is>
          <t xml:space="preserve">  ↳ JapaneseHeavyBomb</t>
        </is>
      </c>
      <c r="C119" s="7" t="inlineStr">
        <is>
          <t>Armament@Bombs</t>
        </is>
      </c>
      <c r="L119" s="6" t="n">
        <v>20000</v>
      </c>
      <c r="M119" s="6" t="n">
        <v>100</v>
      </c>
      <c r="N119" s="6" t="n">
        <v>4</v>
      </c>
      <c r="O119" s="6" t="n">
        <v>3</v>
      </c>
      <c r="P119" s="6" t="n">
        <v>6000</v>
      </c>
      <c r="Q119" s="6" t="n">
        <v>1.25</v>
      </c>
      <c r="R119">
        <f>M119+IF(N119&gt;1,N(O119)*(N119-1),0)</f>
        <v/>
      </c>
      <c r="S119">
        <f>IFERROR(L119*MAX(N119,1)/R119*IF(ISBLANK(K116),1,K116),0)</f>
        <v/>
      </c>
      <c r="AB119" s="7" t="inlineStr">
        <is>
          <t>^Warhead_Demolition_Heavy</t>
        </is>
      </c>
    </row>
    <row r="120">
      <c r="B120" s="7" t="inlineStr">
        <is>
          <t xml:space="preserve">  ↳ JapanesePlasmaBomb</t>
        </is>
      </c>
      <c r="C120" s="7" t="inlineStr">
        <is>
          <t>Armament@UpgradeBombs</t>
        </is>
      </c>
      <c r="L120" s="6" t="n">
        <v>30000</v>
      </c>
      <c r="M120" s="6" t="n">
        <v>100</v>
      </c>
      <c r="N120" s="6" t="n">
        <v>4</v>
      </c>
      <c r="O120" s="6" t="n">
        <v>5</v>
      </c>
      <c r="P120" s="6" t="n">
        <v>6000</v>
      </c>
      <c r="Q120" s="6" t="n">
        <v>1.25</v>
      </c>
      <c r="R120">
        <f>M120+IF(N120&gt;1,N(O120)*(N120-1),0)</f>
        <v/>
      </c>
      <c r="S120">
        <f>IFERROR(L120*MAX(N120,1)/R120*IF(ISBLANK(K116),1,K116),0)</f>
        <v/>
      </c>
      <c r="AB120" s="7" t="inlineStr">
        <is>
          <t>^Warhead_Chemical_Heavy, ^Warhead_Flame_Heavy</t>
        </is>
      </c>
    </row>
    <row r="121">
      <c r="A121" t="inlineStr">
        <is>
          <t>redalert</t>
        </is>
      </c>
      <c r="B121" t="inlineStr">
        <is>
          <t>japan_skyhawk</t>
        </is>
      </c>
      <c r="C121" t="inlineStr">
        <is>
          <t>Sky Hawk</t>
        </is>
      </c>
      <c r="D121" s="6" t="inlineStr">
        <is>
          <t>Helicopter</t>
        </is>
      </c>
      <c r="E121" s="6" t="n">
        <v>75000</v>
      </c>
      <c r="F121" s="6" t="n">
        <v>125</v>
      </c>
      <c r="G121" t="inlineStr">
        <is>
          <t>Helicopter</t>
        </is>
      </c>
      <c r="H121" s="6" t="n">
        <v>0.75</v>
      </c>
      <c r="I121" s="6" t="n">
        <v>1</v>
      </c>
      <c r="J121" s="6" t="n">
        <v>1.25</v>
      </c>
      <c r="K121" s="6" t="n"/>
      <c r="P121">
        <f>MAX(P122,P123,P124,P125,P126,P127)</f>
        <v/>
      </c>
      <c r="S121">
        <f>S122+S123+S124+S125+S126+S127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2000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SkyHawkArrows</t>
        </is>
      </c>
      <c r="C122" s="7" t="inlineStr">
        <is>
          <t>Armament@Missiles</t>
        </is>
      </c>
      <c r="L122" s="6" t="n">
        <v>64000</v>
      </c>
      <c r="M122" s="6" t="n">
        <v>128</v>
      </c>
      <c r="N122" s="6" t="n">
        <v>1</v>
      </c>
      <c r="O122" s="6" t="n"/>
      <c r="P122" s="6" t="n">
        <v>3053</v>
      </c>
      <c r="Q122" s="6" t="n">
        <v>0.875</v>
      </c>
      <c r="R122">
        <f>M122+IF(N122&gt;1,N(O122)*(N122-1),0)</f>
        <v/>
      </c>
      <c r="S122">
        <f>IFERROR(L122*MAX(N122,1)/R122*IF(ISBLANK(K121),1,K121),0)</f>
        <v/>
      </c>
      <c r="AB122" s="7" t="inlineStr">
        <is>
          <t>^Warhead_MissileHE_Medium, ^Warhead_Arrow_Light</t>
        </is>
      </c>
    </row>
    <row r="123">
      <c r="B123" s="7" t="inlineStr">
        <is>
          <t xml:space="preserve">  ↳ SkyHawkArrowsEnergized</t>
        </is>
      </c>
      <c r="C123" s="7" t="inlineStr">
        <is>
          <t>Armament@MissilesUpgrade</t>
        </is>
      </c>
      <c r="L123" s="6" t="n">
        <v>64000</v>
      </c>
      <c r="M123" s="6" t="n">
        <v>128</v>
      </c>
      <c r="N123" s="6" t="n">
        <v>1</v>
      </c>
      <c r="O123" s="6" t="n"/>
      <c r="P123" s="6" t="n">
        <v>3053</v>
      </c>
      <c r="Q123" s="6" t="n">
        <v>0.875</v>
      </c>
      <c r="R123">
        <f>M123+IF(N123&gt;1,N(O123)*(N123-1),0)</f>
        <v/>
      </c>
      <c r="S123">
        <f>IFERROR(L123*MAX(N123,1)/R123*IF(ISBLANK(K121),1,K121),0)</f>
        <v/>
      </c>
      <c r="AB123" s="7" t="inlineStr">
        <is>
          <t>^Warhead_MissileHE_Medium, ^Warhead_Arrow_Light</t>
        </is>
      </c>
    </row>
    <row r="124">
      <c r="B124" s="7" t="inlineStr">
        <is>
          <t xml:space="preserve">  ↳ SkyHawkCannon</t>
        </is>
      </c>
      <c r="C124" s="7" t="inlineStr">
        <is>
          <t>Armament@Cannon</t>
        </is>
      </c>
      <c r="L124" s="6" t="n">
        <v>16000</v>
      </c>
      <c r="M124" s="6" t="n">
        <v>32</v>
      </c>
      <c r="N124" s="6" t="n">
        <v>1</v>
      </c>
      <c r="O124" s="6" t="n"/>
      <c r="P124" s="6" t="n">
        <v>3053</v>
      </c>
      <c r="Q124" s="6" t="n">
        <v>0.875</v>
      </c>
      <c r="R124">
        <f>M124+IF(N124&gt;1,N(O124)*(N124-1),0)</f>
        <v/>
      </c>
      <c r="S124">
        <f>IFERROR(L124*MAX(N124,1)/R124*IF(ISBLANK(K121),1,K121),0)</f>
        <v/>
      </c>
      <c r="AB124" s="7" t="inlineStr">
        <is>
          <t>^Warhead_Concussion_Medium, ^Warhead_CannonAP_Light</t>
        </is>
      </c>
    </row>
    <row r="125">
      <c r="B125" s="7" t="inlineStr">
        <is>
          <t xml:space="preserve">  ↳ SkyHawkPlasmaCannon</t>
        </is>
      </c>
      <c r="C125" s="7" t="inlineStr">
        <is>
          <t>Armament@CannonUpgrade</t>
        </is>
      </c>
      <c r="L125" s="6" t="n">
        <v>16000</v>
      </c>
      <c r="M125" s="6" t="n">
        <v>32</v>
      </c>
      <c r="N125" s="6" t="n">
        <v>1</v>
      </c>
      <c r="O125" s="6" t="n"/>
      <c r="P125" s="6" t="n">
        <v>3053</v>
      </c>
      <c r="Q125" s="6" t="n">
        <v>1</v>
      </c>
      <c r="R125">
        <f>M125+IF(N125&gt;1,N(O125)*(N125-1),0)</f>
        <v/>
      </c>
      <c r="S125">
        <f>IFERROR(L125*MAX(N125,1)/R125*IF(ISBLANK(K121),1,K121),0)</f>
        <v/>
      </c>
      <c r="AB125" s="7" t="inlineStr">
        <is>
          <t>^Warhead_Tesla_Heavy, ^Warhead_MissileAP_Medium, ^Warhead_Concussion_Medium, ^Warhead_CannonAP_Light</t>
        </is>
      </c>
    </row>
    <row r="126">
      <c r="B126" s="7" t="inlineStr">
        <is>
          <t xml:space="preserve">  ↳ SkyHawkChainGun</t>
        </is>
      </c>
      <c r="C126" s="7" t="inlineStr">
        <is>
          <t>Armament@ChainGun</t>
        </is>
      </c>
      <c r="L126" s="6" t="n">
        <v>4000</v>
      </c>
      <c r="M126" s="6" t="n">
        <v>8</v>
      </c>
      <c r="N126" s="6" t="n">
        <v>1</v>
      </c>
      <c r="O126" s="6" t="n"/>
      <c r="P126" s="6" t="n">
        <v>3053</v>
      </c>
      <c r="Q126" s="6" t="n">
        <v>0.875</v>
      </c>
      <c r="R126">
        <f>M126+IF(N126&gt;1,N(O126)*(N126-1),0)</f>
        <v/>
      </c>
      <c r="S126">
        <f>IFERROR(L126*MAX(N126,1)/R126*IF(ISBLANK(K121),1,K121),0)</f>
        <v/>
      </c>
      <c r="AB126" s="7" t="inlineStr">
        <is>
          <t>^Warhead_Demolition_Light, ^Warhead_Bullet_Medium</t>
        </is>
      </c>
    </row>
    <row r="127">
      <c r="B127" s="7" t="inlineStr">
        <is>
          <t xml:space="preserve">  ↳ SkyHawkChainGunWaveforce</t>
        </is>
      </c>
      <c r="C127" s="7" t="inlineStr">
        <is>
          <t>Armament@ChainGunUpgrade</t>
        </is>
      </c>
      <c r="L127" s="6" t="n">
        <v>6000</v>
      </c>
      <c r="M127" s="6" t="n">
        <v>8</v>
      </c>
      <c r="N127" s="6" t="n">
        <v>1</v>
      </c>
      <c r="O127" s="6" t="n"/>
      <c r="P127" s="6" t="n">
        <v>3053</v>
      </c>
      <c r="Q127" s="6" t="n">
        <v>1</v>
      </c>
      <c r="R127">
        <f>M127+IF(N127&gt;1,N(O127)*(N127-1),0)</f>
        <v/>
      </c>
      <c r="S127">
        <f>IFERROR(L127*MAX(N127,1)/R127*IF(ISBLANK(K121),1,K121),0)</f>
        <v/>
      </c>
      <c r="AB127" s="7" t="inlineStr">
        <is>
          <t>^Warhead_Railgun_Heavy, ^Warhead_Demolition_Light, ^Warhead_Bullet_Medium</t>
        </is>
      </c>
    </row>
    <row r="128">
      <c r="A128" t="inlineStr">
        <is>
          <t>redalert</t>
        </is>
      </c>
      <c r="B128" t="inlineStr">
        <is>
          <t>japan_zerofighter</t>
        </is>
      </c>
      <c r="C128" t="inlineStr">
        <is>
          <t>Zero Fighter</t>
        </is>
      </c>
      <c r="D128" s="6" t="inlineStr">
        <is>
          <t>Fighter</t>
        </is>
      </c>
      <c r="E128" s="6" t="n">
        <v>30000</v>
      </c>
      <c r="F128" s="6" t="n">
        <v>175</v>
      </c>
      <c r="G128" t="inlineStr">
        <is>
          <t>Fighter</t>
        </is>
      </c>
      <c r="H128" s="6" t="n">
        <v>0.7174</v>
      </c>
      <c r="I128" s="6" t="n">
        <v>1</v>
      </c>
      <c r="J128" s="6" t="n">
        <v>1</v>
      </c>
      <c r="K128" s="6" t="n">
        <v>0.005</v>
      </c>
      <c r="P128">
        <f>MAX(P129,P130,P131,P132)</f>
        <v/>
      </c>
      <c r="S128">
        <f>S129+S130+S131+S132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1200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ZeroFighterArrows</t>
        </is>
      </c>
      <c r="C129" s="7" t="inlineStr">
        <is>
          <t>Armament@Missiles</t>
        </is>
      </c>
      <c r="L129" s="6" t="n">
        <v>36000</v>
      </c>
      <c r="M129" s="6" t="n">
        <v>110</v>
      </c>
      <c r="N129" s="6" t="n">
        <v>2</v>
      </c>
      <c r="O129" s="6" t="n">
        <v>9</v>
      </c>
      <c r="P129" s="6" t="n">
        <v>6615</v>
      </c>
      <c r="Q129" s="6" t="n">
        <v>0.875</v>
      </c>
      <c r="R129">
        <f>M129+IF(N129&gt;1,N(O129)*(N129-1),0)</f>
        <v/>
      </c>
      <c r="S129">
        <f>IFERROR(L129*MAX(N129,1)/R129*IF(ISBLANK(K128),1,K128),0)</f>
        <v/>
      </c>
      <c r="AB129" s="7" t="inlineStr">
        <is>
          <t>^Warhead_MissileHE_Medium, ^Warhead_Arrow_Light</t>
        </is>
      </c>
    </row>
    <row r="130">
      <c r="B130" s="7" t="inlineStr">
        <is>
          <t xml:space="preserve">  ↳ ZeroFighterArrowsEnergized</t>
        </is>
      </c>
      <c r="C130" s="7" t="inlineStr">
        <is>
          <t>Armament@MissilesUpgrade</t>
        </is>
      </c>
      <c r="L130" s="6" t="n">
        <v>32000</v>
      </c>
      <c r="M130" s="6" t="n">
        <v>110</v>
      </c>
      <c r="N130" s="6" t="n">
        <v>2</v>
      </c>
      <c r="O130" s="6" t="n">
        <v>9</v>
      </c>
      <c r="P130" s="6" t="n">
        <v>6615</v>
      </c>
      <c r="Q130" s="6" t="n">
        <v>0.875</v>
      </c>
      <c r="R130">
        <f>M130+IF(N130&gt;1,N(O130)*(N130-1),0)</f>
        <v/>
      </c>
      <c r="S130">
        <f>IFERROR(L130*MAX(N130,1)/R130*IF(ISBLANK(K128),1,K128),0)</f>
        <v/>
      </c>
      <c r="AB130" s="7" t="inlineStr">
        <is>
          <t>^Warhead_MissileHE_Medium, ^Warhead_Arrow_Light</t>
        </is>
      </c>
    </row>
    <row r="131">
      <c r="B131" s="7" t="inlineStr">
        <is>
          <t xml:space="preserve">  ↳ ZeroFighterChainGun</t>
        </is>
      </c>
      <c r="C131" s="7" t="inlineStr">
        <is>
          <t>Armament@PRIMARY</t>
        </is>
      </c>
      <c r="L131" s="6" t="n">
        <v>6000</v>
      </c>
      <c r="M131" s="6" t="n">
        <v>92</v>
      </c>
      <c r="N131" s="6" t="n">
        <v>12</v>
      </c>
      <c r="O131" s="6" t="n">
        <v>4</v>
      </c>
      <c r="P131" s="6" t="n">
        <v>6615</v>
      </c>
      <c r="Q131" s="6" t="n">
        <v>1</v>
      </c>
      <c r="R131">
        <f>M131+IF(N131&gt;1,N(O131)*(N131-1),0)</f>
        <v/>
      </c>
      <c r="S131">
        <f>IFERROR(L131*MAX(N131,1)/R131*IF(ISBLANK(K128),1,K128),0)</f>
        <v/>
      </c>
      <c r="AB131" s="7" t="inlineStr">
        <is>
          <t>^Warhead_Bullet_Medium</t>
        </is>
      </c>
    </row>
    <row r="132">
      <c r="B132" s="7" t="inlineStr">
        <is>
          <t xml:space="preserve">  ↳ ZeroFighterChainGunWaveforce</t>
        </is>
      </c>
      <c r="C132" s="7" t="inlineStr">
        <is>
          <t>Armament@Upgrade</t>
        </is>
      </c>
      <c r="L132" s="6" t="n">
        <v>11000</v>
      </c>
      <c r="M132" s="6" t="n">
        <v>92</v>
      </c>
      <c r="N132" s="6" t="n">
        <v>12</v>
      </c>
      <c r="O132" s="6" t="n">
        <v>4</v>
      </c>
      <c r="P132" s="6" t="n">
        <v>6615</v>
      </c>
      <c r="Q132" s="6" t="n">
        <v>1.125</v>
      </c>
      <c r="R132">
        <f>M132+IF(N132&gt;1,N(O132)*(N132-1),0)</f>
        <v/>
      </c>
      <c r="S132">
        <f>IFERROR(L132*MAX(N132,1)/R132*IF(ISBLANK(K128),1,K128),0)</f>
        <v/>
      </c>
      <c r="AB132" s="7" t="inlineStr">
        <is>
          <t>^Warhead_Railgun_Heavy, ^Warhead_Bullet_Medium</t>
        </is>
      </c>
    </row>
    <row r="133">
      <c r="A133" s="4" t="inlineStr">
        <is>
          <t>DEFENSES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t="inlineStr">
        <is>
          <t>redalert</t>
        </is>
      </c>
      <c r="B134" t="inlineStr">
        <is>
          <t>japan_ballistatower</t>
        </is>
      </c>
      <c r="C134" t="inlineStr">
        <is>
          <t>Ballista Tower</t>
        </is>
      </c>
      <c r="D134" s="6" t="inlineStr">
        <is>
          <t>AdvancedDefense</t>
        </is>
      </c>
      <c r="E134" s="6" t="n">
        <v>190000</v>
      </c>
      <c r="F134" s="6" t="n">
        <v>100</v>
      </c>
      <c r="G134" t="inlineStr">
        <is>
          <t>Steel</t>
        </is>
      </c>
      <c r="H134" s="6" t="n">
        <v>1</v>
      </c>
      <c r="I134" s="6" t="n">
        <v>0.325</v>
      </c>
      <c r="J134" s="6" t="n">
        <v>1</v>
      </c>
      <c r="K134" s="6" t="n">
        <v>0.0075</v>
      </c>
      <c r="P134">
        <f>MAX(P135,P136,P137,P138)</f>
        <v/>
      </c>
      <c r="S134">
        <f>S135+S136+S137+S138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1400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BallistaTowerMultiShot</t>
        </is>
      </c>
      <c r="C135" s="7" t="inlineStr">
        <is>
          <t>Armament@PRIMARY</t>
        </is>
      </c>
      <c r="L135" s="6" t="n">
        <v>40000</v>
      </c>
      <c r="M135" s="6" t="n">
        <v>176</v>
      </c>
      <c r="N135" s="6" t="n">
        <v>5</v>
      </c>
      <c r="O135" s="6" t="n">
        <v>6</v>
      </c>
      <c r="P135" s="6" t="n">
        <v>9214</v>
      </c>
      <c r="Q135" s="6" t="n">
        <v>1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BallistaMultiShot</t>
        </is>
      </c>
    </row>
    <row r="136">
      <c r="B136" s="7" t="inlineStr">
        <is>
          <t xml:space="preserve">  ↳ BallistaSingleShotAir</t>
        </is>
      </c>
      <c r="C136" s="7" t="inlineStr">
        <is>
          <t>Armament@AIR</t>
        </is>
      </c>
      <c r="L136" s="6" t="n">
        <v>160000</v>
      </c>
      <c r="M136" s="6" t="n">
        <v>200</v>
      </c>
      <c r="N136" s="6" t="n">
        <v>1</v>
      </c>
      <c r="O136" s="6" t="n"/>
      <c r="P136" s="6" t="n">
        <v>9214</v>
      </c>
      <c r="Q136" s="6" t="n">
        <v>0.75</v>
      </c>
      <c r="R136">
        <f>M136+IF(N136&gt;1,N(O136)*(N136-1),0)</f>
        <v/>
      </c>
      <c r="S136">
        <f>IFERROR(L136*MAX(N136,1)/R136*IF(ISBLANK(K134),1,K134),0)</f>
        <v/>
      </c>
      <c r="AB136" s="7" t="inlineStr">
        <is>
          <t>^Warhead_Arrow_Light</t>
        </is>
      </c>
    </row>
    <row r="137">
      <c r="B137" s="7" t="inlineStr">
        <is>
          <t xml:space="preserve">  ↳ BallistaTowerMultiShotEnergized</t>
        </is>
      </c>
      <c r="C137" s="7" t="inlineStr">
        <is>
          <t>Armament@Upgrade</t>
        </is>
      </c>
      <c r="L137" s="6" t="n">
        <v>40000</v>
      </c>
      <c r="M137" s="6" t="n">
        <v>176</v>
      </c>
      <c r="N137" s="6" t="n">
        <v>5</v>
      </c>
      <c r="O137" s="6" t="n">
        <v>6</v>
      </c>
      <c r="P137" s="6" t="n">
        <v>9214</v>
      </c>
      <c r="Q137" s="6" t="n">
        <v>1</v>
      </c>
      <c r="R137">
        <f>M137+IF(N137&gt;1,N(O137)*(N137-1),0)</f>
        <v/>
      </c>
      <c r="S137">
        <f>IFERROR(L137*MAX(N137,1)/R137*IF(ISBLANK(K134),1,K134),0)</f>
        <v/>
      </c>
      <c r="AB137" s="7" t="inlineStr">
        <is>
          <t>BallistaMultiShotEnergized</t>
        </is>
      </c>
    </row>
    <row r="138">
      <c r="B138" s="7" t="inlineStr">
        <is>
          <t xml:space="preserve">  ↳ BallistaSingleShotAirEnergized</t>
        </is>
      </c>
      <c r="C138" s="7" t="inlineStr">
        <is>
          <t>Armament@UpgradeAIR</t>
        </is>
      </c>
      <c r="L138" s="6" t="n">
        <v>160000</v>
      </c>
      <c r="M138" s="6" t="n">
        <v>200</v>
      </c>
      <c r="N138" s="6" t="n">
        <v>1</v>
      </c>
      <c r="O138" s="6" t="n"/>
      <c r="P138" s="6" t="n">
        <v>9214</v>
      </c>
      <c r="Q138" s="6" t="n">
        <v>0.75</v>
      </c>
      <c r="R138">
        <f>M138+IF(N138&gt;1,N(O138)*(N138-1),0)</f>
        <v/>
      </c>
      <c r="S138">
        <f>IFERROR(L138*MAX(N138,1)/R138*IF(ISBLANK(K134),1,K134),0)</f>
        <v/>
      </c>
      <c r="AB138" s="7" t="inlineStr">
        <is>
          <t>^Warhead_MissileAP_Light, ^Warhead_Arrow_Light</t>
        </is>
      </c>
    </row>
    <row r="139">
      <c r="A139" t="inlineStr">
        <is>
          <t>redalert</t>
        </is>
      </c>
      <c r="B139" t="inlineStr">
        <is>
          <t>japan_japanesemgnest</t>
        </is>
      </c>
      <c r="C139" t="inlineStr">
        <is>
          <t>Japanese MG Nest</t>
        </is>
      </c>
      <c r="D139" s="6" t="inlineStr">
        <is>
          <t>BasicDefense</t>
        </is>
      </c>
      <c r="E139" s="6" t="n">
        <v>110000</v>
      </c>
      <c r="F139" s="6" t="n">
        <v>100</v>
      </c>
      <c r="G139" t="inlineStr">
        <is>
          <t>Concrete</t>
        </is>
      </c>
      <c r="H139" s="6" t="n">
        <v>1</v>
      </c>
      <c r="I139" s="6" t="n">
        <v>1</v>
      </c>
      <c r="J139" s="6" t="n">
        <v>1</v>
      </c>
      <c r="K139" s="6" t="n"/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1000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JHighV</t>
        </is>
      </c>
      <c r="C140" s="7" t="inlineStr">
        <is>
          <t>Armament</t>
        </is>
      </c>
      <c r="L140" s="6" t="n">
        <v>8000</v>
      </c>
      <c r="M140" s="6" t="n">
        <v>25</v>
      </c>
      <c r="N140" s="6" t="n">
        <v>5</v>
      </c>
      <c r="O140" s="6" t="n">
        <v>5</v>
      </c>
      <c r="P140" s="6" t="n">
        <v>6696</v>
      </c>
      <c r="Q140" s="6" t="n">
        <v>0.875</v>
      </c>
      <c r="R140">
        <f>M140+IF(N140&gt;1,N(O140)*(N140-1),0)</f>
        <v/>
      </c>
      <c r="S140">
        <f>IFERROR(L140*MAX(N140,1)/R140*IF(ISBLANK(K139),1,K139),0)</f>
        <v/>
      </c>
      <c r="AB140" s="7" t="inlineStr">
        <is>
          <t>^Warhead_Bullet_Light, ^Warhead_Bullet_Medium</t>
        </is>
      </c>
    </row>
    <row r="141">
      <c r="B141" s="7" t="inlineStr">
        <is>
          <t xml:space="preserve">  ↳ JHighVWaveforce</t>
        </is>
      </c>
      <c r="C141" s="7" t="inlineStr">
        <is>
          <t>Armament@Upgrade</t>
        </is>
      </c>
      <c r="L141" s="6" t="n">
        <v>12000</v>
      </c>
      <c r="M141" s="6" t="n">
        <v>25</v>
      </c>
      <c r="N141" s="6" t="n">
        <v>5</v>
      </c>
      <c r="O141" s="6" t="n">
        <v>5</v>
      </c>
      <c r="P141" s="6" t="n">
        <v>6696</v>
      </c>
      <c r="Q141" s="6" t="n">
        <v>1</v>
      </c>
      <c r="R141">
        <f>M141+IF(N141&gt;1,N(O141)*(N141-1),0)</f>
        <v/>
      </c>
      <c r="S141">
        <f>IFERROR(L141*MAX(N141,1)/R141*IF(ISBLANK(K139),1,K139),0)</f>
        <v/>
      </c>
      <c r="AB141" s="7" t="inlineStr">
        <is>
          <t>^Warhead_Railgun_Heavy, ^Warhead_Bullet_Light, ^Warhead_Bullet_Medium</t>
        </is>
      </c>
    </row>
    <row r="142">
      <c r="A142" t="inlineStr">
        <is>
          <t>redalert</t>
        </is>
      </c>
      <c r="B142" t="inlineStr">
        <is>
          <t>japan_japaneseshrine</t>
        </is>
      </c>
      <c r="C142" t="inlineStr">
        <is>
          <t>Japanese Shrine</t>
        </is>
      </c>
      <c r="D142" s="6" t="inlineStr">
        <is>
          <t>Defense</t>
        </is>
      </c>
      <c r="E142" s="6" t="n">
        <v>1000000</v>
      </c>
      <c r="F142" s="6" t="n">
        <v>100</v>
      </c>
      <c r="G142" t="inlineStr">
        <is>
          <t>Concrete</t>
        </is>
      </c>
      <c r="H142" s="6" t="n">
        <v>0.55</v>
      </c>
      <c r="I142" s="6" t="n">
        <v>1</v>
      </c>
      <c r="J142" s="6" t="n">
        <v>1</v>
      </c>
      <c r="K142" s="6" t="n"/>
      <c r="X142" s="6" t="n">
        <v>10000</v>
      </c>
    </row>
    <row r="143">
      <c r="A143" t="inlineStr">
        <is>
          <t>redalert</t>
        </is>
      </c>
      <c r="B143" t="inlineStr">
        <is>
          <t>japan_waveforceturret</t>
        </is>
      </c>
      <c r="C143" t="inlineStr">
        <is>
          <t>Waveforce Turret</t>
        </is>
      </c>
      <c r="D143" s="6" t="inlineStr">
        <is>
          <t>AdvancedDefense</t>
        </is>
      </c>
      <c r="E143" s="6" t="n">
        <v>220000</v>
      </c>
      <c r="F143" s="6" t="n">
        <v>100</v>
      </c>
      <c r="G143" t="inlineStr">
        <is>
          <t>Steel</t>
        </is>
      </c>
      <c r="H143" s="6" t="n">
        <v>1</v>
      </c>
      <c r="I143" s="6" t="n">
        <v>0.325</v>
      </c>
      <c r="J143" s="6" t="n">
        <v>1.25</v>
      </c>
      <c r="K143" s="6" t="n">
        <v>0.005</v>
      </c>
      <c r="X143" s="6" t="n">
        <v>3200</v>
      </c>
    </row>
    <row r="144">
      <c r="B144" s="7" t="inlineStr">
        <is>
          <t xml:space="preserve">  ↳ WaveTurretShell</t>
        </is>
      </c>
      <c r="C144" s="7" t="inlineStr">
        <is>
          <t>Armament@WaveTurretShell</t>
        </is>
      </c>
      <c r="L144" s="6" t="n"/>
      <c r="M144" s="6" t="n">
        <v>100</v>
      </c>
      <c r="N144" s="6" t="n">
        <v>1</v>
      </c>
      <c r="O144" s="6" t="n"/>
      <c r="P144" s="6" t="n">
        <v>9825</v>
      </c>
      <c r="Q144" s="6" t="n">
        <v>1</v>
      </c>
      <c r="R144">
        <f>M144+IF(N144&gt;1,N(O144)*(N144-1),0)</f>
        <v/>
      </c>
      <c r="S144">
        <f>IFERROR(L144*MAX(N144,1)/R144*IF(ISBLANK(K143),1,K143),0)</f>
        <v/>
      </c>
      <c r="AB144" s="7" t="inlineStr">
        <is>
          <t>WaveArtilleryShell</t>
        </is>
      </c>
    </row>
    <row r="145">
      <c r="A145" s="4" t="inlineStr">
        <is>
          <t>BUILDINGS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t="inlineStr">
        <is>
          <t>redalert</t>
        </is>
      </c>
      <c r="B146" t="inlineStr">
        <is>
          <t>japan_japaneseairfield</t>
        </is>
      </c>
      <c r="C146" t="inlineStr">
        <is>
          <t>Japanese Airfield</t>
        </is>
      </c>
      <c r="D146" s="6" t="inlineStr">
        <is>
          <t>Building</t>
        </is>
      </c>
      <c r="E146" s="6" t="n">
        <v>300000</v>
      </c>
      <c r="F146" s="6" t="n"/>
      <c r="G146" t="inlineStr">
        <is>
          <t>Wood</t>
        </is>
      </c>
      <c r="H146" s="6" t="n">
        <v>0.825</v>
      </c>
      <c r="I146" s="6" t="n">
        <v>1</v>
      </c>
      <c r="J146" s="6" t="n">
        <v>1</v>
      </c>
      <c r="K146" s="6" t="n"/>
      <c r="X146" s="6" t="n">
        <v>1500</v>
      </c>
    </row>
    <row r="147">
      <c r="A147" t="inlineStr">
        <is>
          <t>redalert</t>
        </is>
      </c>
      <c r="B147" t="inlineStr">
        <is>
          <t>japan_japanesebarracks</t>
        </is>
      </c>
      <c r="C147" t="inlineStr">
        <is>
          <t>Japanese Barracks</t>
        </is>
      </c>
      <c r="D147" s="6" t="inlineStr">
        <is>
          <t>Building</t>
        </is>
      </c>
      <c r="E147" s="6" t="n">
        <v>200000</v>
      </c>
      <c r="F147" s="6" t="n"/>
      <c r="G147" t="inlineStr">
        <is>
          <t>Wood</t>
        </is>
      </c>
      <c r="H147" s="6" t="n">
        <v>1</v>
      </c>
      <c r="I147" s="6" t="n">
        <v>1</v>
      </c>
      <c r="J147" s="6" t="n">
        <v>1</v>
      </c>
      <c r="K147" s="6" t="n"/>
      <c r="X147" s="6" t="n">
        <v>1000</v>
      </c>
    </row>
    <row r="148">
      <c r="A148" t="inlineStr">
        <is>
          <t>redalert</t>
        </is>
      </c>
      <c r="B148" t="inlineStr">
        <is>
          <t>japan_japaneseconstructionyard</t>
        </is>
      </c>
      <c r="C148" t="inlineStr">
        <is>
          <t>Japanese Construction Yard</t>
        </is>
      </c>
      <c r="D148" s="6" t="inlineStr">
        <is>
          <t>Building</t>
        </is>
      </c>
      <c r="E148" s="6" t="n">
        <v>1000000</v>
      </c>
      <c r="F148" s="6" t="n"/>
      <c r="G148" t="inlineStr">
        <is>
          <t>Concrete</t>
        </is>
      </c>
      <c r="H148" s="6" t="n">
        <v>1</v>
      </c>
      <c r="I148" s="6" t="n">
        <v>1</v>
      </c>
      <c r="J148" s="6" t="n">
        <v>1</v>
      </c>
      <c r="K148" s="6" t="n"/>
      <c r="X148" s="6" t="n">
        <v>5000</v>
      </c>
    </row>
    <row r="149">
      <c r="A149" t="inlineStr">
        <is>
          <t>redalert</t>
        </is>
      </c>
      <c r="B149" t="inlineStr">
        <is>
          <t>japan_japaneseorerefinery</t>
        </is>
      </c>
      <c r="C149" t="inlineStr">
        <is>
          <t>Japanese Ore Refinery</t>
        </is>
      </c>
      <c r="D149" s="6" t="inlineStr">
        <is>
          <t>Building</t>
        </is>
      </c>
      <c r="E149" s="6" t="n">
        <v>300000</v>
      </c>
      <c r="F149" s="6" t="n"/>
      <c r="G149" t="inlineStr">
        <is>
          <t>Concrete</t>
        </is>
      </c>
      <c r="H149" s="6" t="n">
        <v>1</v>
      </c>
      <c r="I149" s="6" t="n">
        <v>1</v>
      </c>
      <c r="J149" s="6" t="n">
        <v>1</v>
      </c>
      <c r="K149" s="6" t="n"/>
      <c r="X149" s="6" t="n">
        <v>3000</v>
      </c>
    </row>
    <row r="150">
      <c r="A150" t="inlineStr">
        <is>
          <t>redalert</t>
        </is>
      </c>
      <c r="B150" t="inlineStr">
        <is>
          <t>japan_japaneseradararray</t>
        </is>
      </c>
      <c r="C150" t="inlineStr">
        <is>
          <t>Japanese Radar Array</t>
        </is>
      </c>
      <c r="D150" s="6" t="inlineStr">
        <is>
          <t>Building</t>
        </is>
      </c>
      <c r="E150" s="6" t="n">
        <v>250000</v>
      </c>
      <c r="F150" s="6" t="n"/>
      <c r="G150" t="inlineStr">
        <is>
          <t>Wood</t>
        </is>
      </c>
      <c r="H150" s="6" t="n">
        <v>1</v>
      </c>
      <c r="I150" s="6" t="n">
        <v>1</v>
      </c>
      <c r="J150" s="6" t="n">
        <v>1</v>
      </c>
      <c r="K150" s="6" t="n"/>
      <c r="X150" s="6" t="n">
        <v>2500</v>
      </c>
    </row>
    <row r="151">
      <c r="A151" t="inlineStr">
        <is>
          <t>redalert</t>
        </is>
      </c>
      <c r="B151" t="inlineStr">
        <is>
          <t>japan_japaneseservicedepot</t>
        </is>
      </c>
      <c r="C151" t="inlineStr">
        <is>
          <t>Japanese Service Depot</t>
        </is>
      </c>
      <c r="D151" s="6" t="inlineStr">
        <is>
          <t>Building</t>
        </is>
      </c>
      <c r="E151" s="6" t="n">
        <v>250000</v>
      </c>
      <c r="F151" s="6" t="n"/>
      <c r="G151" t="inlineStr">
        <is>
          <t>Concrete</t>
        </is>
      </c>
      <c r="H151" s="6" t="n">
        <v>0.8683999999999999</v>
      </c>
      <c r="I151" s="6" t="n">
        <v>1</v>
      </c>
      <c r="J151" s="6" t="n">
        <v>1</v>
      </c>
      <c r="K151" s="6" t="n"/>
      <c r="X151" s="6" t="n">
        <v>1000</v>
      </c>
    </row>
    <row r="152">
      <c r="A152" t="inlineStr">
        <is>
          <t>redalert</t>
        </is>
      </c>
      <c r="B152" t="inlineStr">
        <is>
          <t>japan_japanesetechcenter</t>
        </is>
      </c>
      <c r="C152" t="inlineStr">
        <is>
          <t>Japanese Tech Center</t>
        </is>
      </c>
      <c r="D152" s="6" t="inlineStr">
        <is>
          <t>Building</t>
        </is>
      </c>
      <c r="E152" s="6" t="n">
        <v>500000</v>
      </c>
      <c r="F152" s="6" t="n"/>
      <c r="G152" t="inlineStr">
        <is>
          <t>Concrete</t>
        </is>
      </c>
      <c r="H152" s="6" t="n">
        <v>0.825</v>
      </c>
      <c r="I152" s="6" t="n">
        <v>1</v>
      </c>
      <c r="J152" s="6" t="n">
        <v>1</v>
      </c>
      <c r="K152" s="6" t="n"/>
      <c r="X152" s="6" t="n">
        <v>5000</v>
      </c>
    </row>
    <row r="153">
      <c r="A153" t="inlineStr">
        <is>
          <t>redalert</t>
        </is>
      </c>
      <c r="B153" t="inlineStr">
        <is>
          <t>japan_japanesewarfactory</t>
        </is>
      </c>
      <c r="C153" t="inlineStr">
        <is>
          <t>Japanese War Factory</t>
        </is>
      </c>
      <c r="D153" s="6" t="inlineStr">
        <is>
          <t>Building</t>
        </is>
      </c>
      <c r="E153" s="6" t="n">
        <v>400000</v>
      </c>
      <c r="F153" s="6" t="n"/>
      <c r="G153" t="inlineStr">
        <is>
          <t>Concrete</t>
        </is>
      </c>
      <c r="H153" s="6" t="n">
        <v>1</v>
      </c>
      <c r="I153" s="6" t="n">
        <v>1</v>
      </c>
      <c r="J153" s="6" t="n">
        <v>1</v>
      </c>
      <c r="K153" s="6" t="n"/>
      <c r="X153" s="6" t="n">
        <v>2000</v>
      </c>
    </row>
    <row r="154">
      <c r="A154" t="inlineStr">
        <is>
          <t>redalert</t>
        </is>
      </c>
      <c r="B154" t="inlineStr">
        <is>
          <t>japan_waveforcereactor</t>
        </is>
      </c>
      <c r="C154" t="inlineStr">
        <is>
          <t>Waveforce Reactor</t>
        </is>
      </c>
      <c r="D154" s="6" t="inlineStr">
        <is>
          <t>Building</t>
        </is>
      </c>
      <c r="E154" s="6" t="n">
        <v>175000</v>
      </c>
      <c r="F154" s="6" t="n"/>
      <c r="G154" t="inlineStr">
        <is>
          <t>Wood</t>
        </is>
      </c>
      <c r="H154" s="6" t="n">
        <v>1</v>
      </c>
      <c r="I154" s="6" t="n">
        <v>1</v>
      </c>
      <c r="J154" s="6" t="n">
        <v>1</v>
      </c>
      <c r="K154" s="6" t="n"/>
      <c r="X154" s="6" t="n">
        <v>750</v>
      </c>
    </row>
    <row r="155">
      <c r="A155" s="4" t="inlineStr">
        <is>
          <t>UPGRADES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t="inlineStr">
        <is>
          <t>redalert</t>
        </is>
      </c>
      <c r="B156" t="inlineStr">
        <is>
          <t>japan_upgrade_advancedplasmaweapons</t>
        </is>
      </c>
      <c r="C156" t="inlineStr">
        <is>
          <t>Advanced Plasma Weapons</t>
        </is>
      </c>
      <c r="D156" s="6" t="inlineStr">
        <is>
          <t>ResearchedUpgrade</t>
        </is>
      </c>
      <c r="E156" s="6" t="n"/>
      <c r="F156" s="6" t="n"/>
      <c r="H156" s="6" t="n">
        <v>0.55</v>
      </c>
      <c r="I156" s="6" t="n">
        <v>1</v>
      </c>
      <c r="J156" s="6" t="n">
        <v>1</v>
      </c>
      <c r="K156" s="6" t="n"/>
      <c r="X156" s="6" t="n">
        <v>10000</v>
      </c>
    </row>
    <row r="157">
      <c r="A157" t="inlineStr">
        <is>
          <t>redalert</t>
        </is>
      </c>
      <c r="B157" t="inlineStr">
        <is>
          <t>japan_upgrade_bushidodiscipline</t>
        </is>
      </c>
      <c r="C157" t="inlineStr">
        <is>
          <t>Bushido Discipline</t>
        </is>
      </c>
      <c r="D157" s="6" t="inlineStr">
        <is>
          <t>ResearchedUpgrade</t>
        </is>
      </c>
      <c r="E157" s="6" t="n"/>
      <c r="F157" s="6" t="n"/>
      <c r="H157" s="6" t="n">
        <v>0.825</v>
      </c>
      <c r="I157" s="6" t="n">
        <v>1</v>
      </c>
      <c r="J157" s="6" t="n">
        <v>1</v>
      </c>
      <c r="K157" s="6" t="n"/>
      <c r="X157" s="6" t="n">
        <v>5000</v>
      </c>
    </row>
    <row r="158">
      <c r="A158" t="inlineStr">
        <is>
          <t>redalert</t>
        </is>
      </c>
      <c r="B158" t="inlineStr">
        <is>
          <t>japan_upgrade_divinewindprotocol</t>
        </is>
      </c>
      <c r="C158" t="inlineStr">
        <is>
          <t>Divine Wind Protocol</t>
        </is>
      </c>
      <c r="D158" s="6" t="inlineStr">
        <is>
          <t>ResearchedUpgrade</t>
        </is>
      </c>
      <c r="E158" s="6" t="n"/>
      <c r="F158" s="6" t="n"/>
      <c r="H158" s="6" t="n">
        <v>0.825</v>
      </c>
      <c r="I158" s="6" t="n">
        <v>1</v>
      </c>
      <c r="J158" s="6" t="n">
        <v>1</v>
      </c>
      <c r="K158" s="6" t="n"/>
      <c r="X158" s="6" t="n">
        <v>5000</v>
      </c>
    </row>
    <row r="159">
      <c r="A159" t="inlineStr">
        <is>
          <t>redalert</t>
        </is>
      </c>
      <c r="B159" t="inlineStr">
        <is>
          <t>japan_upgrade_energizedarrows</t>
        </is>
      </c>
      <c r="C159" t="inlineStr">
        <is>
          <t>Energized Arrows</t>
        </is>
      </c>
      <c r="D159" s="6" t="inlineStr">
        <is>
          <t>ResearchedUpgrade</t>
        </is>
      </c>
      <c r="E159" s="6" t="n"/>
      <c r="F159" s="6" t="n"/>
      <c r="H159" s="6" t="n">
        <v>0.55</v>
      </c>
      <c r="I159" s="6" t="n">
        <v>1</v>
      </c>
      <c r="J159" s="6" t="n">
        <v>1</v>
      </c>
      <c r="K159" s="6" t="n"/>
      <c r="X159" s="6" t="n">
        <v>7500</v>
      </c>
    </row>
    <row r="160">
      <c r="A160" t="inlineStr">
        <is>
          <t>redalert</t>
        </is>
      </c>
      <c r="B160" t="inlineStr">
        <is>
          <t>japan_upgrade_nanotechrepairs</t>
        </is>
      </c>
      <c r="C160" t="inlineStr">
        <is>
          <t>Nanotech Repairs</t>
        </is>
      </c>
      <c r="D160" s="6" t="inlineStr">
        <is>
          <t>Upgrade</t>
        </is>
      </c>
      <c r="E160" s="6" t="n"/>
      <c r="F160" s="6" t="n"/>
      <c r="H160" s="6" t="n">
        <v>0.55</v>
      </c>
      <c r="I160" s="6" t="n">
        <v>1</v>
      </c>
      <c r="J160" s="6" t="n">
        <v>1</v>
      </c>
      <c r="K160" s="6" t="n"/>
      <c r="X160" s="6" t="n">
        <v>12500</v>
      </c>
    </row>
    <row r="161">
      <c r="A161" t="inlineStr">
        <is>
          <t>redalert</t>
        </is>
      </c>
      <c r="B161" t="inlineStr">
        <is>
          <t>japan_upgrade_stealthsuitintegration</t>
        </is>
      </c>
      <c r="C161" t="inlineStr">
        <is>
          <t>Stealth Suit Integration</t>
        </is>
      </c>
      <c r="D161" s="6" t="inlineStr">
        <is>
          <t>ResearchedUpgrade</t>
        </is>
      </c>
      <c r="E161" s="6" t="n"/>
      <c r="F161" s="6" t="n"/>
      <c r="H161" s="6" t="n">
        <v>0.55</v>
      </c>
      <c r="I161" s="6" t="n">
        <v>1</v>
      </c>
      <c r="J161" s="6" t="n">
        <v>1</v>
      </c>
      <c r="K161" s="6" t="n"/>
      <c r="X161" s="6" t="n">
        <v>7500</v>
      </c>
    </row>
    <row r="162">
      <c r="A162" t="inlineStr">
        <is>
          <t>redalert</t>
        </is>
      </c>
      <c r="B162" t="inlineStr">
        <is>
          <t>japan_upgrade_superiorwarengines</t>
        </is>
      </c>
      <c r="C162" t="inlineStr">
        <is>
          <t>Superior War Engines</t>
        </is>
      </c>
      <c r="D162" s="6" t="inlineStr">
        <is>
          <t>ResearchedUpgrade</t>
        </is>
      </c>
      <c r="E162" s="6" t="n"/>
      <c r="F162" s="6" t="n"/>
      <c r="H162" s="6" t="n">
        <v>0.55</v>
      </c>
      <c r="I162" s="6" t="n">
        <v>1</v>
      </c>
      <c r="J162" s="6" t="n">
        <v>1</v>
      </c>
      <c r="K162" s="6" t="n"/>
      <c r="X162" s="6" t="n">
        <v>7500</v>
      </c>
    </row>
    <row r="163">
      <c r="A163" t="inlineStr">
        <is>
          <t>redalert</t>
        </is>
      </c>
      <c r="B163" t="inlineStr">
        <is>
          <t>japan_upgrade_waveforcebullets</t>
        </is>
      </c>
      <c r="C163" t="inlineStr">
        <is>
          <t>Waveforce Bullets</t>
        </is>
      </c>
      <c r="D163" s="6" t="inlineStr">
        <is>
          <t>ResearchedUpgrade</t>
        </is>
      </c>
      <c r="E163" s="6" t="n"/>
      <c r="F163" s="6" t="n"/>
      <c r="H163" s="6" t="n">
        <v>0.825</v>
      </c>
      <c r="I163" s="6" t="n">
        <v>1</v>
      </c>
      <c r="J163" s="6" t="n">
        <v>1</v>
      </c>
      <c r="K163" s="6" t="n"/>
      <c r="X163" s="6" t="n">
        <v>5000</v>
      </c>
    </row>
    <row r="164">
      <c r="A164" s="4" t="inlineStr">
        <is>
          <t>PROMOTIONS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t="inlineStr">
        <is>
          <t>redalert</t>
        </is>
      </c>
      <c r="B165" t="inlineStr">
        <is>
          <t>japan_promotion_archermaiden</t>
        </is>
      </c>
      <c r="C165" t="inlineStr">
        <is>
          <t>Unlock Archer Maiden</t>
        </is>
      </c>
      <c r="D165" s="6" t="inlineStr">
        <is>
          <t>PromotionUpgrade</t>
        </is>
      </c>
      <c r="E165" s="6" t="n"/>
      <c r="F165" s="6" t="n"/>
      <c r="H165" s="6" t="n">
        <v>1</v>
      </c>
      <c r="I165" s="6" t="n">
        <v>1</v>
      </c>
      <c r="J165" s="6" t="n">
        <v>1</v>
      </c>
      <c r="K165" s="6" t="n"/>
      <c r="X165" s="6" t="n"/>
    </row>
    <row r="166">
      <c r="A166" t="inlineStr">
        <is>
          <t>redalert</t>
        </is>
      </c>
      <c r="B166" t="inlineStr">
        <is>
          <t>japan_promotion_armoredcar</t>
        </is>
      </c>
      <c r="C166" t="inlineStr">
        <is>
          <t>Unlock Armored Car</t>
        </is>
      </c>
      <c r="D166" s="6" t="inlineStr">
        <is>
          <t>PromotionUpgrade</t>
        </is>
      </c>
      <c r="E166" s="6" t="n"/>
      <c r="F166" s="6" t="n"/>
      <c r="H166" s="6" t="n">
        <v>1</v>
      </c>
      <c r="I166" s="6" t="n">
        <v>1</v>
      </c>
      <c r="J166" s="6" t="n">
        <v>1</v>
      </c>
      <c r="K166" s="6" t="n"/>
      <c r="X166" s="6" t="n"/>
    </row>
    <row r="167">
      <c r="A167" t="inlineStr">
        <is>
          <t>redalert</t>
        </is>
      </c>
      <c r="B167" t="inlineStr">
        <is>
          <t>japan_promotion_exorcist</t>
        </is>
      </c>
      <c r="C167" t="inlineStr">
        <is>
          <t>Unlock Exorcist</t>
        </is>
      </c>
      <c r="D167" s="6" t="inlineStr">
        <is>
          <t>PromotionUpgrade</t>
        </is>
      </c>
      <c r="E167" s="6" t="n"/>
      <c r="F167" s="6" t="n"/>
      <c r="H167" s="6" t="n">
        <v>1</v>
      </c>
      <c r="I167" s="6" t="n">
        <v>1</v>
      </c>
      <c r="J167" s="6" t="n">
        <v>1</v>
      </c>
      <c r="K167" s="6" t="n"/>
      <c r="X167" s="6" t="n"/>
    </row>
    <row r="168">
      <c r="A168" t="inlineStr">
        <is>
          <t>redalert</t>
        </is>
      </c>
      <c r="B168" t="inlineStr">
        <is>
          <t>japan_promotion_grenadebuggy</t>
        </is>
      </c>
      <c r="C168" t="inlineStr">
        <is>
          <t>Unlock Grenade Buggy</t>
        </is>
      </c>
      <c r="D168" s="6" t="inlineStr">
        <is>
          <t>PromotionUpgrade</t>
        </is>
      </c>
      <c r="E168" s="6" t="n"/>
      <c r="F168" s="6" t="n"/>
      <c r="H168" s="6" t="n">
        <v>1</v>
      </c>
      <c r="I168" s="6" t="n">
        <v>1</v>
      </c>
      <c r="J168" s="6" t="n">
        <v>1</v>
      </c>
      <c r="K168" s="6" t="n"/>
      <c r="X168" s="6" t="n"/>
    </row>
    <row r="169">
      <c r="A169" t="inlineStr">
        <is>
          <t>redalert</t>
        </is>
      </c>
      <c r="B169" t="inlineStr">
        <is>
          <t>japan_promotion_heavychihaheavytank</t>
        </is>
      </c>
      <c r="C169" t="inlineStr">
        <is>
          <t>Unlock Heavy Chi-Ha Heavy Tank</t>
        </is>
      </c>
      <c r="D169" s="6" t="inlineStr">
        <is>
          <t>PromotionUpgrade</t>
        </is>
      </c>
      <c r="E169" s="6" t="n"/>
      <c r="F169" s="6" t="n"/>
      <c r="H169" s="6" t="n">
        <v>1</v>
      </c>
      <c r="I169" s="6" t="n">
        <v>1</v>
      </c>
      <c r="J169" s="6" t="n">
        <v>1</v>
      </c>
      <c r="K169" s="6" t="n"/>
      <c r="X169" s="6" t="n"/>
    </row>
    <row r="170">
      <c r="A170" t="inlineStr">
        <is>
          <t>redalert</t>
        </is>
      </c>
      <c r="B170" t="inlineStr">
        <is>
          <t>japan_promotion_hovercraftflametank</t>
        </is>
      </c>
      <c r="C170" t="inlineStr">
        <is>
          <t>Unlock Hovercraft Flametank</t>
        </is>
      </c>
      <c r="D170" s="6" t="inlineStr">
        <is>
          <t>PromotionUpgrade</t>
        </is>
      </c>
      <c r="E170" s="6" t="n"/>
      <c r="F170" s="6" t="n"/>
      <c r="H170" s="6" t="n">
        <v>1</v>
      </c>
      <c r="I170" s="6" t="n">
        <v>1</v>
      </c>
      <c r="J170" s="6" t="n">
        <v>1</v>
      </c>
      <c r="K170" s="6" t="n"/>
      <c r="X170" s="6" t="n"/>
    </row>
    <row r="171">
      <c r="A171" t="inlineStr">
        <is>
          <t>redalert</t>
        </is>
      </c>
      <c r="B171" t="inlineStr">
        <is>
          <t>japan_promotion_rocketangel</t>
        </is>
      </c>
      <c r="C171" t="inlineStr">
        <is>
          <t>Unlock Rocket Angel</t>
        </is>
      </c>
      <c r="D171" s="6" t="inlineStr">
        <is>
          <t>PromotionUpgrade</t>
        </is>
      </c>
      <c r="E171" s="6" t="n"/>
      <c r="F171" s="6" t="n"/>
      <c r="H171" s="6" t="n">
        <v>1</v>
      </c>
      <c r="I171" s="6" t="n">
        <v>1</v>
      </c>
      <c r="J171" s="6" t="n">
        <v>1</v>
      </c>
      <c r="K171" s="6" t="n"/>
      <c r="X171" s="6" t="n"/>
    </row>
    <row r="172">
      <c r="A172" t="inlineStr">
        <is>
          <t>redalert</t>
        </is>
      </c>
      <c r="B172" t="inlineStr">
        <is>
          <t>japan_promotion_samurai</t>
        </is>
      </c>
      <c r="C172" t="inlineStr">
        <is>
          <t>Unlock Samurai</t>
        </is>
      </c>
      <c r="D172" s="6" t="inlineStr">
        <is>
          <t>PromotionUpgrade</t>
        </is>
      </c>
      <c r="E172" s="6" t="n"/>
      <c r="F172" s="6" t="n"/>
      <c r="H172" s="6" t="n">
        <v>1</v>
      </c>
      <c r="I172" s="6" t="n">
        <v>1</v>
      </c>
      <c r="J172" s="6" t="n">
        <v>1</v>
      </c>
      <c r="K172" s="6" t="n"/>
      <c r="X172" s="6" t="n"/>
    </row>
    <row r="173">
      <c r="A173" t="inlineStr">
        <is>
          <t>redalert</t>
        </is>
      </c>
      <c r="B173" t="inlineStr">
        <is>
          <t>japan_promotion_shogunexecutioner</t>
        </is>
      </c>
      <c r="C173" t="inlineStr">
        <is>
          <t>Unlock Shogun Executioner</t>
        </is>
      </c>
      <c r="D173" s="6" t="inlineStr">
        <is>
          <t>PromotionUpgrade</t>
        </is>
      </c>
      <c r="E173" s="6" t="n"/>
      <c r="F173" s="6" t="n"/>
      <c r="H173" s="6" t="n">
        <v>1</v>
      </c>
      <c r="I173" s="6" t="n">
        <v>1</v>
      </c>
      <c r="J173" s="6" t="n">
        <v>1</v>
      </c>
      <c r="K173" s="6" t="n"/>
      <c r="X173" s="6" t="n"/>
    </row>
    <row r="174">
      <c r="A174" t="inlineStr">
        <is>
          <t>redalert</t>
        </is>
      </c>
      <c r="B174" t="inlineStr">
        <is>
          <t>japan_promotion_shrinetank</t>
        </is>
      </c>
      <c r="C174" t="inlineStr">
        <is>
          <t>Unlock Shrine Tank</t>
        </is>
      </c>
      <c r="D174" s="6" t="inlineStr">
        <is>
          <t>PromotionUpgrade</t>
        </is>
      </c>
      <c r="E174" s="6" t="n"/>
      <c r="F174" s="6" t="n"/>
      <c r="H174" s="6" t="n">
        <v>1</v>
      </c>
      <c r="I174" s="6" t="n">
        <v>1</v>
      </c>
      <c r="J174" s="6" t="n">
        <v>1</v>
      </c>
      <c r="K174" s="6" t="n"/>
      <c r="X174" s="6" t="n"/>
    </row>
    <row r="175">
      <c r="A175" t="inlineStr">
        <is>
          <t>redalert</t>
        </is>
      </c>
      <c r="B175" t="inlineStr">
        <is>
          <t>japan_promotion_waveforceartillery</t>
        </is>
      </c>
      <c r="C175" t="inlineStr">
        <is>
          <t>Unlock Waveforce Artillery</t>
        </is>
      </c>
      <c r="D175" s="6" t="inlineStr">
        <is>
          <t>PromotionUpgrade</t>
        </is>
      </c>
      <c r="E175" s="6" t="n"/>
      <c r="F175" s="6" t="n"/>
      <c r="H175" s="6" t="n">
        <v>1</v>
      </c>
      <c r="I175" s="6" t="n">
        <v>1</v>
      </c>
      <c r="J175" s="6" t="n">
        <v>1</v>
      </c>
      <c r="K175" s="6" t="n"/>
      <c r="X175" s="6" t="n"/>
    </row>
    <row r="176">
      <c r="A176" t="inlineStr">
        <is>
          <t>redalert</t>
        </is>
      </c>
      <c r="B176" t="inlineStr">
        <is>
          <t>japan_promotion_waveforcetank</t>
        </is>
      </c>
      <c r="C176" t="inlineStr">
        <is>
          <t>Unlock Waveforce Tank</t>
        </is>
      </c>
      <c r="D176" s="6" t="inlineStr">
        <is>
          <t>PromotionUpgrade</t>
        </is>
      </c>
      <c r="E176" s="6" t="n"/>
      <c r="F176" s="6" t="n"/>
      <c r="H176" s="6" t="n">
        <v>1</v>
      </c>
      <c r="I176" s="6" t="n">
        <v>1</v>
      </c>
      <c r="J176" s="6" t="n">
        <v>1</v>
      </c>
      <c r="K176" s="6" t="n"/>
      <c r="X17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ra1_soviets_ak47conscript</t>
        </is>
      </c>
      <c r="C3" t="inlineStr">
        <is>
          <t>AK-47 Conscript</t>
        </is>
      </c>
      <c r="D3" s="6" t="inlineStr">
        <is>
          <t>ScoutInfantry</t>
        </is>
      </c>
      <c r="E3" s="6" t="n">
        <v>44000</v>
      </c>
      <c r="F3" s="6" t="n">
        <v>71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>
        <v>0.0014</v>
      </c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(((E3/20000)+(F3/60)+(S3/60)+((P3/5000)*J3))*100/4+(((E3/20000)*(F3/60))+(((P3/5000)*J3)*(S3/60)))*100/2+((E3/20000)*(F3/60)*((P3/5000)*J3)*(S3/60))*100)*(H3/1.0)/3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IFERROR(ROUND(((3*X3-(((E3/20000)+(F3/60)+(S3/60))*100/4+((E3/20000)*(F3/60))*100/2)*(H3/1.0))/(100/4+((S3/60))*100/2+((E3/20000)*(F3/60)*(S3/60))*100)*(H3/1.0)*5000)/J3,-1),"")</f>
        <v/>
      </c>
    </row>
    <row r="4">
      <c r="B4" s="7" t="inlineStr">
        <is>
          <t xml:space="preserve">  ↳ ra1_soviets_ak47conscript_rifle</t>
        </is>
      </c>
      <c r="C4" s="7" t="inlineStr">
        <is>
          <t>Armament</t>
        </is>
      </c>
      <c r="L4" s="6" t="n">
        <v>4000</v>
      </c>
      <c r="M4" s="6" t="n">
        <v>11</v>
      </c>
      <c r="N4" s="6" t="n">
        <v>3</v>
      </c>
      <c r="O4" s="6" t="n">
        <v>2</v>
      </c>
      <c r="P4" s="6" t="n">
        <v>4822</v>
      </c>
      <c r="Q4" s="6" t="n">
        <v>0.875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^Warhead_Bullet_Light, ^Warhead_Bullet_Medium</t>
        </is>
      </c>
    </row>
    <row r="5">
      <c r="B5" s="7" t="inlineStr">
        <is>
          <t xml:space="preserve">  ↳ ra1_soviets_ak47conscript_rifle</t>
        </is>
      </c>
      <c r="C5" s="7" t="inlineStr">
        <is>
          <t>Armament@GARRISONED</t>
        </is>
      </c>
      <c r="L5" s="6" t="n">
        <v>4000</v>
      </c>
      <c r="M5" s="6" t="n">
        <v>11</v>
      </c>
      <c r="N5" s="6" t="n">
        <v>3</v>
      </c>
      <c r="O5" s="6" t="n">
        <v>2</v>
      </c>
      <c r="P5" s="6" t="n">
        <v>4822</v>
      </c>
      <c r="Q5" s="6" t="n">
        <v>0.875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^Warhead_Bullet_Light, ^Warhead_Bullet_Medium</t>
        </is>
      </c>
    </row>
    <row r="6">
      <c r="A6" t="inlineStr">
        <is>
          <t>redalert</t>
        </is>
      </c>
      <c r="B6" t="inlineStr">
        <is>
          <t>ra1_soviets_attackdog</t>
        </is>
      </c>
      <c r="C6" t="inlineStr">
        <is>
          <t>actor_dog.name</t>
        </is>
      </c>
      <c r="D6" s="6" t="inlineStr">
        <is>
          <t>Dog</t>
        </is>
      </c>
      <c r="E6" s="6" t="n">
        <v>5000</v>
      </c>
      <c r="F6" s="6" t="n">
        <v>100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K6" s="6" t="n"/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(((E6/27000)+(F6/90)+(S6/300)+((P6/1500)*J6))*280/4+(((E6/27000)*(F6/90))+(((P6/1500)*J6)*(S6/300)))*280/2+((E6/27000)*(F6/90)*((P6/1500)*J6)*(S6/300))*280)*(H6/1.0)/3</f>
        <v/>
      </c>
      <c r="X6" s="6" t="n">
        <v>200</v>
      </c>
      <c r="Y6">
        <f>IFERROR(W6-X6,"")</f>
        <v/>
      </c>
      <c r="Z6">
        <f>IFERROR(ABS(Y6)/MAX(X6,1),"")</f>
        <v/>
      </c>
      <c r="AA6">
        <f>IFERROR(ROUND(((3*X6-(((E6/27000)+(F6/90)+(S6/300))*280/4+((E6/27000)*(F6/90))*280/2)*(H6/1.0))/(280/4+((S6/300))*280/2+((E6/27000)*(F6/90)*(S6/300))*280)*(H6/1.0)*1500)/J6,-1),"")</f>
        <v/>
      </c>
    </row>
    <row r="7">
      <c r="B7" s="7" t="inlineStr">
        <is>
          <t xml:space="preserve">  ↳ DogJaw</t>
        </is>
      </c>
      <c r="C7" s="7" t="inlineStr">
        <is>
          <t>Armament</t>
        </is>
      </c>
      <c r="L7" s="6" t="n">
        <v>100000</v>
      </c>
      <c r="M7" s="6" t="n">
        <v>10</v>
      </c>
      <c r="N7" s="6" t="n">
        <v>1</v>
      </c>
      <c r="O7" s="6" t="n"/>
      <c r="P7" s="6" t="n">
        <v>2000</v>
      </c>
      <c r="Q7" s="6" t="n">
        <v>1</v>
      </c>
      <c r="R7">
        <f>M7+IF(N7&gt;1,N(O7)*(N7-1),0)</f>
        <v/>
      </c>
      <c r="S7">
        <f>IFERROR(L7*MAX(N7,1)/R7*IF(ISBLANK(K6),1,K6),0)</f>
        <v/>
      </c>
      <c r="AB7" s="7" t="inlineStr"/>
    </row>
    <row r="8">
      <c r="A8" t="inlineStr">
        <is>
          <t>redalert</t>
        </is>
      </c>
      <c r="B8" t="inlineStr">
        <is>
          <t>ra1_soviets_commissar</t>
        </is>
      </c>
      <c r="C8" t="inlineStr">
        <is>
          <t>Commissar</t>
        </is>
      </c>
      <c r="D8" s="6" t="inlineStr">
        <is>
          <t>SniperInfantry</t>
        </is>
      </c>
      <c r="E8" s="6" t="n">
        <v>30000</v>
      </c>
      <c r="F8" s="6" t="n">
        <v>70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K8" s="6" t="n"/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700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CommissarPistol</t>
        </is>
      </c>
      <c r="C9" s="7" t="inlineStr">
        <is>
          <t>Armament@PRIMARY</t>
        </is>
      </c>
      <c r="L9" s="6" t="n">
        <v>10000</v>
      </c>
      <c r="M9" s="6" t="n">
        <v>20</v>
      </c>
      <c r="N9" s="6" t="n">
        <v>1</v>
      </c>
      <c r="O9" s="6" t="n"/>
      <c r="P9" s="6" t="n">
        <v>6770</v>
      </c>
      <c r="Q9" s="6" t="n">
        <v>0.75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^Warhead_Sniper_Light</t>
        </is>
      </c>
    </row>
    <row r="10">
      <c r="B10" s="7" t="inlineStr">
        <is>
          <t xml:space="preserve">  ↳ CommissarPistol</t>
        </is>
      </c>
      <c r="C10" s="7" t="inlineStr">
        <is>
          <t>Armament@GARRISONED</t>
        </is>
      </c>
      <c r="L10" s="6" t="n">
        <v>10000</v>
      </c>
      <c r="M10" s="6" t="n">
        <v>20</v>
      </c>
      <c r="N10" s="6" t="n">
        <v>1</v>
      </c>
      <c r="O10" s="6" t="n"/>
      <c r="P10" s="6" t="n">
        <v>6770</v>
      </c>
      <c r="Q10" s="6" t="n">
        <v>0.75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^Warhead_Sniper_Light</t>
        </is>
      </c>
    </row>
    <row r="11">
      <c r="A11" t="inlineStr">
        <is>
          <t>redalert</t>
        </is>
      </c>
      <c r="B11" t="inlineStr">
        <is>
          <t>ra1_soviets_cyberdog</t>
        </is>
      </c>
      <c r="C11" t="inlineStr">
        <is>
          <t>Cyberdog</t>
        </is>
      </c>
      <c r="D11" s="6" t="inlineStr">
        <is>
          <t>Dog</t>
        </is>
      </c>
      <c r="E11" s="6" t="n">
        <v>50000</v>
      </c>
      <c r="F11" s="6" t="n">
        <v>100</v>
      </c>
      <c r="G11" t="inlineStr">
        <is>
          <t>Plate</t>
        </is>
      </c>
      <c r="H11" s="6" t="n">
        <v>1</v>
      </c>
      <c r="I11" s="6" t="n">
        <v>1</v>
      </c>
      <c r="J11" s="6" t="n">
        <v>1</v>
      </c>
      <c r="K11" s="6" t="n"/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(((E11/27000)+(F11/90)+(S11/300)+((P11/1500)*J11))*280/4+(((E11/27000)*(F11/90))+(((P11/1500)*J11)*(S11/300)))*280/2+((E11/27000)*(F11/90)*((P11/1500)*J11)*(S11/300))*280)*(H11/1.0)/3</f>
        <v/>
      </c>
      <c r="X11" s="6" t="n">
        <v>1000</v>
      </c>
      <c r="Y11">
        <f>IFERROR(W11-X11,"")</f>
        <v/>
      </c>
      <c r="Z11">
        <f>IFERROR(ABS(Y11)/MAX(X11,1),"")</f>
        <v/>
      </c>
      <c r="AA11">
        <f>IFERROR(ROUND(((3*X11-(((E11/27000)+(F11/90)+(S11/300))*280/4+((E11/27000)*(F11/90))*280/2)*(H11/1.0))/(280/4+((S11/300))*280/2+((E11/27000)*(F11/90)*(S11/300))*280)*(H11/1.0)*1500)/J11,-1),"")</f>
        <v/>
      </c>
    </row>
    <row r="12">
      <c r="B12" s="7" t="inlineStr">
        <is>
          <t xml:space="preserve">  ↳ CyberneticDogJaw</t>
        </is>
      </c>
      <c r="C12" s="7" t="inlineStr">
        <is>
          <t>Armament</t>
        </is>
      </c>
      <c r="L12" s="6" t="n">
        <v>100000</v>
      </c>
      <c r="M12" s="6" t="n">
        <v>10</v>
      </c>
      <c r="N12" s="6" t="n">
        <v>1</v>
      </c>
      <c r="O12" s="6" t="n"/>
      <c r="P12" s="6" t="n">
        <v>2500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/>
    </row>
    <row r="13">
      <c r="A13" t="inlineStr">
        <is>
          <t>redalert</t>
        </is>
      </c>
      <c r="B13" t="inlineStr">
        <is>
          <t>ra1_soviets_dragunovantimaterialsniper</t>
        </is>
      </c>
      <c r="C13" t="inlineStr">
        <is>
          <t>Dragunov Anti Material Sniper</t>
        </is>
      </c>
      <c r="D13" s="6" t="inlineStr">
        <is>
          <t>AntiTankAntiAirInfantry</t>
        </is>
      </c>
      <c r="E13" s="6" t="n">
        <v>20000</v>
      </c>
      <c r="F13" s="6" t="n">
        <v>40</v>
      </c>
      <c r="G13" t="inlineStr">
        <is>
          <t>Flak</t>
        </is>
      </c>
      <c r="H13" s="6" t="n">
        <v>0.75</v>
      </c>
      <c r="I13" s="6" t="n">
        <v>1</v>
      </c>
      <c r="J13" s="6" t="n">
        <v>1</v>
      </c>
      <c r="K13" s="6" t="n">
        <v>0.0103</v>
      </c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(((E13/25000)+(F13/80)+(S13/400)+((P13/8000)*J13))*700/4+(((E13/25000)*(F13/80))+(((P13/8000)*J13)*(S13/400)))*700/2+((E13/25000)*(F13/80)*((P13/8000)*J13)*(S13/400))*700)*(H13/0.7674)/3</f>
        <v/>
      </c>
      <c r="X13" s="6" t="n">
        <v>422</v>
      </c>
      <c r="Y13">
        <f>IFERROR(W13-X13,"")</f>
        <v/>
      </c>
      <c r="Z13">
        <f>IFERROR(ABS(Y13)/MAX(X13,1),"")</f>
        <v/>
      </c>
      <c r="AA13">
        <f>IFERROR(ROUND(((3*X13-(((E13/25000)+(F13/80)+(S13/400))*700/4+((E13/25000)*(F13/80))*700/2)*(H13/0.7674))/(700/4+((S13/400))*700/2+((E13/25000)*(F13/80)*(S13/400))*700)*(H13/0.7674)*8000)/J13,-1),"")</f>
        <v/>
      </c>
    </row>
    <row r="14">
      <c r="B14" s="7" t="inlineStr">
        <is>
          <t xml:space="preserve">  ↳ DragunovSniper</t>
        </is>
      </c>
      <c r="C14" s="7" t="inlineStr">
        <is>
          <t>Armament</t>
        </is>
      </c>
      <c r="L14" s="6" t="n">
        <v>400000</v>
      </c>
      <c r="M14" s="6" t="n">
        <v>85</v>
      </c>
      <c r="N14" s="6" t="n">
        <v>1</v>
      </c>
      <c r="O14" s="6" t="n"/>
      <c r="P14" s="6" t="n">
        <v>5804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^TankDestroyerCannon, ^RailgunWeapon, ^LightMissile, ^HeavyCannon, ^FlakWeapon</t>
        </is>
      </c>
    </row>
    <row r="15">
      <c r="B15" s="7" t="inlineStr">
        <is>
          <t xml:space="preserve">  ↳ DragunovSniper</t>
        </is>
      </c>
      <c r="C15" s="7" t="inlineStr">
        <is>
          <t>Armament@GARRISONED</t>
        </is>
      </c>
      <c r="L15" s="6" t="n">
        <v>400000</v>
      </c>
      <c r="M15" s="6" t="n">
        <v>85</v>
      </c>
      <c r="N15" s="6" t="n">
        <v>1</v>
      </c>
      <c r="O15" s="6" t="n"/>
      <c r="P15" s="6" t="n">
        <v>5804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^TankDestroyerCannon, ^RailgunWeapon, ^LightMissile, ^HeavyCannon, ^FlakWeapon</t>
        </is>
      </c>
    </row>
    <row r="16">
      <c r="A16" t="inlineStr">
        <is>
          <t>redalert</t>
        </is>
      </c>
      <c r="B16" t="inlineStr">
        <is>
          <t>ra1_soviets_firerocketsoldier</t>
        </is>
      </c>
      <c r="C16" t="inlineStr">
        <is>
          <t>Fire Rocket Soldier</t>
        </is>
      </c>
      <c r="D16" s="6" t="inlineStr">
        <is>
          <t>AntiTankAntiAirInfantry</t>
        </is>
      </c>
      <c r="E16" s="6" t="n">
        <v>16000</v>
      </c>
      <c r="F16" s="6" t="n">
        <v>48</v>
      </c>
      <c r="G16" t="inlineStr">
        <is>
          <t>Flak</t>
        </is>
      </c>
      <c r="H16" s="6" t="n">
        <v>1</v>
      </c>
      <c r="I16" s="6" t="n">
        <v>0.5</v>
      </c>
      <c r="J16" s="6" t="n">
        <v>1</v>
      </c>
      <c r="K16" s="6" t="n"/>
      <c r="P16">
        <f>MAX(P17,P19)</f>
        <v/>
      </c>
      <c r="S16">
        <f>S17+S19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400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FireRockets</t>
        </is>
      </c>
      <c r="C17" s="7" t="inlineStr">
        <is>
          <t>Armament@PRIMARY</t>
        </is>
      </c>
      <c r="L17" s="6" t="n">
        <v>32000</v>
      </c>
      <c r="M17" s="6" t="n">
        <v>53</v>
      </c>
      <c r="N17" s="6" t="n">
        <v>1</v>
      </c>
      <c r="O17" s="6" t="n"/>
      <c r="P17" s="6" t="n">
        <v>6036</v>
      </c>
      <c r="Q17" s="6" t="n">
        <v>0.75</v>
      </c>
      <c r="R17">
        <f>M17+IF(N17&gt;1,N(O17)*(N17-1),0)</f>
        <v/>
      </c>
      <c r="S17">
        <f>IFERROR(L17*MAX(N17,1)/R17*IF(ISBLANK(K16),1,K16),0)</f>
        <v/>
      </c>
      <c r="AB17" s="7" t="inlineStr">
        <is>
          <t>^Warhead_FireMissile_Light</t>
        </is>
      </c>
    </row>
    <row r="18">
      <c r="B18" s="7" t="inlineStr">
        <is>
          <t xml:space="preserve">  ↳ FireRockets</t>
        </is>
      </c>
      <c r="C18" s="7" t="inlineStr">
        <is>
          <t>Armament@GARRISONED</t>
        </is>
      </c>
      <c r="L18" s="6" t="n">
        <v>32000</v>
      </c>
      <c r="M18" s="6" t="n">
        <v>53</v>
      </c>
      <c r="N18" s="6" t="n">
        <v>1</v>
      </c>
      <c r="O18" s="6" t="n"/>
      <c r="P18" s="6" t="n">
        <v>6036</v>
      </c>
      <c r="Q18" s="6" t="n">
        <v>0.75</v>
      </c>
      <c r="R18">
        <f>M18+IF(N18&gt;1,N(O18)*(N18-1),0)</f>
        <v/>
      </c>
      <c r="S18">
        <f>IFERROR(L18*MAX(N18,1)/R18*IF(ISBLANK(K16),1,K16),0)</f>
        <v/>
      </c>
      <c r="AB18" s="7" t="inlineStr">
        <is>
          <t>^Warhead_FireMissile_Light</t>
        </is>
      </c>
    </row>
    <row r="19">
      <c r="B19" s="7" t="inlineStr">
        <is>
          <t xml:space="preserve">  ↳ FireRocketsThermobaric</t>
        </is>
      </c>
      <c r="C19" s="7" t="inlineStr">
        <is>
          <t>Armament@Upgrade</t>
        </is>
      </c>
      <c r="L19" s="6" t="n">
        <v>32000</v>
      </c>
      <c r="M19" s="6" t="n">
        <v>58</v>
      </c>
      <c r="N19" s="6" t="n">
        <v>1</v>
      </c>
      <c r="O19" s="6" t="n"/>
      <c r="P19" s="6" t="n">
        <v>6692</v>
      </c>
      <c r="Q19" s="6" t="n">
        <v>1</v>
      </c>
      <c r="R19">
        <f>M19+IF(N19&gt;1,N(O19)*(N19-1),0)</f>
        <v/>
      </c>
      <c r="S19">
        <f>IFERROR(L19*MAX(N19,1)/R19*IF(ISBLANK(K16),1,K16),0)</f>
        <v/>
      </c>
      <c r="AB19" s="7" t="inlineStr">
        <is>
          <t>^Warhead_FireMissile_Medium</t>
        </is>
      </c>
    </row>
    <row r="20">
      <c r="B20" s="7" t="inlineStr">
        <is>
          <t xml:space="preserve">  ↳ FireRocketsThermobaric</t>
        </is>
      </c>
      <c r="C20" s="7" t="inlineStr">
        <is>
          <t>Armament@UpgradeGARRISONED</t>
        </is>
      </c>
      <c r="L20" s="6" t="n">
        <v>32000</v>
      </c>
      <c r="M20" s="6" t="n">
        <v>58</v>
      </c>
      <c r="N20" s="6" t="n">
        <v>1</v>
      </c>
      <c r="O20" s="6" t="n"/>
      <c r="P20" s="6" t="n">
        <v>6692</v>
      </c>
      <c r="Q20" s="6" t="n">
        <v>1</v>
      </c>
      <c r="R20">
        <f>M20+IF(N20&gt;1,N(O20)*(N20-1),0)</f>
        <v/>
      </c>
      <c r="S20">
        <f>IFERROR(L20*MAX(N20,1)/R20*IF(ISBLANK(K16),1,K16),0)</f>
        <v/>
      </c>
      <c r="AB20" s="7" t="inlineStr">
        <is>
          <t>^Warhead_FireMissile_Medium</t>
        </is>
      </c>
    </row>
    <row r="21">
      <c r="A21" t="inlineStr">
        <is>
          <t>redalert</t>
        </is>
      </c>
      <c r="B21" t="inlineStr">
        <is>
          <t>ra1_soviets_flamethrower</t>
        </is>
      </c>
      <c r="C21" t="inlineStr">
        <is>
          <t>Soviet Flamethrower</t>
        </is>
      </c>
      <c r="D21" s="6" t="inlineStr">
        <is>
          <t>HeavyInfantry</t>
        </is>
      </c>
      <c r="E21" s="6" t="n">
        <v>16000</v>
      </c>
      <c r="F21" s="6" t="n">
        <v>56</v>
      </c>
      <c r="G21" t="inlineStr">
        <is>
          <t>Plate</t>
        </is>
      </c>
      <c r="H21" s="6" t="n">
        <v>1</v>
      </c>
      <c r="I21" s="6" t="n">
        <v>0.4</v>
      </c>
      <c r="J21" s="6" t="n">
        <v>1</v>
      </c>
      <c r="K21" s="6" t="n"/>
      <c r="P21">
        <f>MAX(P22,P24)</f>
        <v/>
      </c>
      <c r="S21">
        <f>S22+S24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(T21+U21+V21)/3</f>
        <v/>
      </c>
      <c r="X21" s="6" t="n">
        <v>200</v>
      </c>
      <c r="Y21">
        <f>IFERROR(W21-X21,"")</f>
        <v/>
      </c>
      <c r="Z21">
        <f>IFERROR(ABS(Y21)/MAX(X21,1),"")</f>
        <v/>
      </c>
      <c r="AA21">
        <f>IFERROR((X21-(((E21/100000+F21/100+S21/200)*200*I21*H21)+((E21*F21/25000)*I21*H21))/3)/(((J21/5)*200*I21*H21)+((J21*S21/2.5)*I21*H21)+((E21*F21*J21*S21*I21*H21)/12500000))/3*1000,"")</f>
        <v/>
      </c>
    </row>
    <row r="22">
      <c r="B22" s="7" t="inlineStr">
        <is>
          <t xml:space="preserve">  ↳ FireballGun</t>
        </is>
      </c>
      <c r="C22" s="7" t="inlineStr">
        <is>
          <t>Armament</t>
        </is>
      </c>
      <c r="L22" s="6" t="n">
        <v>8000</v>
      </c>
      <c r="M22" s="6" t="n">
        <v>24</v>
      </c>
      <c r="N22" s="6" t="n">
        <v>1</v>
      </c>
      <c r="O22" s="6" t="n"/>
      <c r="P22" s="6" t="n">
        <v>5004</v>
      </c>
      <c r="Q22" s="6" t="n">
        <v>1</v>
      </c>
      <c r="R22">
        <f>M22+IF(N22&gt;1,N(O22)*(N22-1),0)</f>
        <v/>
      </c>
      <c r="S22">
        <f>IFERROR(L22*MAX(N22,1)/R22*IF(ISBLANK(K21),1,K21),0)</f>
        <v/>
      </c>
      <c r="AB22" s="7" t="inlineStr">
        <is>
          <t>^Warhead_Flame_Medium</t>
        </is>
      </c>
    </row>
    <row r="23">
      <c r="B23" s="7" t="inlineStr">
        <is>
          <t xml:space="preserve">  ↳ FireballGun</t>
        </is>
      </c>
      <c r="C23" s="7" t="inlineStr">
        <is>
          <t>Armament@GARRISONED</t>
        </is>
      </c>
      <c r="L23" s="6" t="n">
        <v>8000</v>
      </c>
      <c r="M23" s="6" t="n">
        <v>24</v>
      </c>
      <c r="N23" s="6" t="n">
        <v>1</v>
      </c>
      <c r="O23" s="6" t="n"/>
      <c r="P23" s="6" t="n">
        <v>5004</v>
      </c>
      <c r="Q23" s="6" t="n">
        <v>1</v>
      </c>
      <c r="R23">
        <f>M23+IF(N23&gt;1,N(O23)*(N23-1),0)</f>
        <v/>
      </c>
      <c r="S23">
        <f>IFERROR(L23*MAX(N23,1)/R23*IF(ISBLANK(K21),1,K21),0)</f>
        <v/>
      </c>
      <c r="AB23" s="7" t="inlineStr">
        <is>
          <t>^Warhead_Flame_Medium</t>
        </is>
      </c>
    </row>
    <row r="24">
      <c r="B24" s="7" t="inlineStr">
        <is>
          <t xml:space="preserve">  ↳ FireballGunThermobaric</t>
        </is>
      </c>
      <c r="C24" s="7" t="inlineStr">
        <is>
          <t>Armament@Upgrade</t>
        </is>
      </c>
      <c r="L24" s="6" t="n">
        <v>8000</v>
      </c>
      <c r="M24" s="6" t="n">
        <v>24</v>
      </c>
      <c r="N24" s="6" t="n">
        <v>1</v>
      </c>
      <c r="O24" s="6" t="n"/>
      <c r="P24" s="6" t="n">
        <v>5004</v>
      </c>
      <c r="Q24" s="6" t="n">
        <v>1</v>
      </c>
      <c r="R24">
        <f>M24+IF(N24&gt;1,N(O24)*(N24-1),0)</f>
        <v/>
      </c>
      <c r="S24">
        <f>IFERROR(L24*MAX(N24,1)/R24*IF(ISBLANK(K21),1,K21),0)</f>
        <v/>
      </c>
      <c r="AB24" s="7" t="inlineStr">
        <is>
          <t>^Warhead_Flame_Medium</t>
        </is>
      </c>
    </row>
    <row r="25">
      <c r="B25" s="7" t="inlineStr">
        <is>
          <t xml:space="preserve">  ↳ FireballGunThermobaric</t>
        </is>
      </c>
      <c r="C25" s="7" t="inlineStr">
        <is>
          <t>Armament@UpgradeGARRISONED</t>
        </is>
      </c>
      <c r="L25" s="6" t="n">
        <v>8000</v>
      </c>
      <c r="M25" s="6" t="n">
        <v>24</v>
      </c>
      <c r="N25" s="6" t="n">
        <v>1</v>
      </c>
      <c r="O25" s="6" t="n"/>
      <c r="P25" s="6" t="n">
        <v>5004</v>
      </c>
      <c r="Q25" s="6" t="n">
        <v>1</v>
      </c>
      <c r="R25">
        <f>M25+IF(N25&gt;1,N(O25)*(N25-1),0)</f>
        <v/>
      </c>
      <c r="S25">
        <f>IFERROR(L25*MAX(N25,1)/R25*IF(ISBLANK(K21),1,K21),0)</f>
        <v/>
      </c>
      <c r="AB25" s="7" t="inlineStr">
        <is>
          <t>^Warhead_Flame_Medium</t>
        </is>
      </c>
    </row>
    <row r="26">
      <c r="A26" t="inlineStr">
        <is>
          <t>redalert</t>
        </is>
      </c>
      <c r="B26" t="inlineStr">
        <is>
          <t>ra1_soviets_grenadier</t>
        </is>
      </c>
      <c r="C26" t="inlineStr">
        <is>
          <t>Soviet Grenadier</t>
        </is>
      </c>
      <c r="D26" s="6" t="inlineStr">
        <is>
          <t>GrenadierInfantry</t>
        </is>
      </c>
      <c r="E26" s="6" t="n">
        <v>8000</v>
      </c>
      <c r="F26" s="6" t="n">
        <v>75</v>
      </c>
      <c r="G26" t="inlineStr">
        <is>
          <t>None</t>
        </is>
      </c>
      <c r="H26" s="6" t="n">
        <v>1</v>
      </c>
      <c r="I26" s="6" t="n">
        <v>0.4</v>
      </c>
      <c r="J26" s="6" t="n">
        <v>1</v>
      </c>
      <c r="K26" s="6" t="n"/>
      <c r="P26">
        <f>MAX(P27,P29)</f>
        <v/>
      </c>
      <c r="S26">
        <f>S27+S29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200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GrenadeRA</t>
        </is>
      </c>
      <c r="C27" s="7" t="inlineStr">
        <is>
          <t>Armament</t>
        </is>
      </c>
      <c r="L27" s="6" t="n">
        <v>16000</v>
      </c>
      <c r="M27" s="6" t="n">
        <v>40</v>
      </c>
      <c r="N27" s="6" t="n">
        <v>1</v>
      </c>
      <c r="O27" s="6" t="n"/>
      <c r="P27" s="6" t="n">
        <v>5791</v>
      </c>
      <c r="Q27" s="6" t="n">
        <v>0.75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^Warhead_Demolition_Light, ^Warhead_Flame_Light</t>
        </is>
      </c>
    </row>
    <row r="28">
      <c r="B28" s="7" t="inlineStr">
        <is>
          <t xml:space="preserve">  ↳ GrenadeRA</t>
        </is>
      </c>
      <c r="C28" s="7" t="inlineStr">
        <is>
          <t>Armament@GARRISONED</t>
        </is>
      </c>
      <c r="L28" s="6" t="n">
        <v>16000</v>
      </c>
      <c r="M28" s="6" t="n">
        <v>40</v>
      </c>
      <c r="N28" s="6" t="n">
        <v>1</v>
      </c>
      <c r="O28" s="6" t="n"/>
      <c r="P28" s="6" t="n">
        <v>5791</v>
      </c>
      <c r="Q28" s="6" t="n">
        <v>0.75</v>
      </c>
      <c r="R28">
        <f>M28+IF(N28&gt;1,N(O28)*(N28-1),0)</f>
        <v/>
      </c>
      <c r="S28">
        <f>IFERROR(L28*MAX(N28,1)/R28*IF(ISBLANK(K26),1,K26),0)</f>
        <v/>
      </c>
      <c r="AB28" s="7" t="inlineStr">
        <is>
          <t>^Warhead_Demolition_Light, ^Warhead_Flame_Light</t>
        </is>
      </c>
    </row>
    <row r="29">
      <c r="B29" s="7" t="inlineStr">
        <is>
          <t xml:space="preserve">  ↳ GrenadeThermobaric</t>
        </is>
      </c>
      <c r="C29" s="7" t="inlineStr">
        <is>
          <t>Armament@Upgrade</t>
        </is>
      </c>
      <c r="L29" s="6" t="n">
        <v>16000</v>
      </c>
      <c r="M29" s="6" t="n">
        <v>40</v>
      </c>
      <c r="N29" s="6" t="n">
        <v>1</v>
      </c>
      <c r="O29" s="6" t="n"/>
      <c r="P29" s="6" t="n">
        <v>5791</v>
      </c>
      <c r="Q29" s="6" t="n">
        <v>0.75</v>
      </c>
      <c r="R29">
        <f>M29+IF(N29&gt;1,N(O29)*(N29-1),0)</f>
        <v/>
      </c>
      <c r="S29">
        <f>IFERROR(L29*MAX(N29,1)/R29*IF(ISBLANK(K26),1,K26),0)</f>
        <v/>
      </c>
      <c r="AB29" s="7" t="inlineStr">
        <is>
          <t>^Warhead_Demolition_Light, ^Warhead_Flame_Light</t>
        </is>
      </c>
    </row>
    <row r="30">
      <c r="B30" s="7" t="inlineStr">
        <is>
          <t xml:space="preserve">  ↳ GrenadeThermobaric</t>
        </is>
      </c>
      <c r="C30" s="7" t="inlineStr">
        <is>
          <t>Armament@UpgradeGARRISONED</t>
        </is>
      </c>
      <c r="L30" s="6" t="n">
        <v>16000</v>
      </c>
      <c r="M30" s="6" t="n">
        <v>40</v>
      </c>
      <c r="N30" s="6" t="n">
        <v>1</v>
      </c>
      <c r="O30" s="6" t="n"/>
      <c r="P30" s="6" t="n">
        <v>5791</v>
      </c>
      <c r="Q30" s="6" t="n">
        <v>0.75</v>
      </c>
      <c r="R30">
        <f>M30+IF(N30&gt;1,N(O30)*(N30-1),0)</f>
        <v/>
      </c>
      <c r="S30">
        <f>IFERROR(L30*MAX(N30,1)/R30*IF(ISBLANK(K26),1,K26),0)</f>
        <v/>
      </c>
      <c r="AB30" s="7" t="inlineStr">
        <is>
          <t>^Warhead_Demolition_Light, ^Warhead_Flame_Light</t>
        </is>
      </c>
    </row>
    <row r="31">
      <c r="A31" t="inlineStr">
        <is>
          <t>redalert</t>
        </is>
      </c>
      <c r="B31" t="inlineStr">
        <is>
          <t>ra1_soviets_mortarsoldier</t>
        </is>
      </c>
      <c r="C31" t="inlineStr">
        <is>
          <t>Soviet Mortar Soldier</t>
        </is>
      </c>
      <c r="D31" s="6" t="inlineStr">
        <is>
          <t>MortarInfantry</t>
        </is>
      </c>
      <c r="E31" s="6" t="n">
        <v>16000</v>
      </c>
      <c r="F31" s="6" t="n">
        <v>48</v>
      </c>
      <c r="G31" t="inlineStr">
        <is>
          <t>None</t>
        </is>
      </c>
      <c r="H31" s="6" t="n">
        <v>1</v>
      </c>
      <c r="I31" s="6" t="n">
        <v>0.6</v>
      </c>
      <c r="J31" s="6" t="n">
        <v>1</v>
      </c>
      <c r="K31" s="6" t="n">
        <v>0.0075</v>
      </c>
      <c r="P31">
        <f>MAX(P32,P34)</f>
        <v/>
      </c>
      <c r="S31">
        <f>S32+S34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500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SiegeMortar</t>
        </is>
      </c>
      <c r="C32" s="7" t="inlineStr">
        <is>
          <t>Armament@PRIMARY</t>
        </is>
      </c>
      <c r="L32" s="6" t="n">
        <v>32000</v>
      </c>
      <c r="M32" s="6" t="n">
        <v>88</v>
      </c>
      <c r="N32" s="6" t="n">
        <v>1</v>
      </c>
      <c r="O32" s="6" t="n"/>
      <c r="P32" s="6" t="n">
        <v>10830</v>
      </c>
      <c r="Q32" s="6" t="n">
        <v>1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^Warhead_Thermobaric_Medium</t>
        </is>
      </c>
    </row>
    <row r="33">
      <c r="B33" s="7" t="inlineStr">
        <is>
          <t xml:space="preserve">  ↳ SiegeMortar</t>
        </is>
      </c>
      <c r="C33" s="7" t="inlineStr">
        <is>
          <t>Armament@GARRISONED</t>
        </is>
      </c>
      <c r="L33" s="6" t="n">
        <v>32000</v>
      </c>
      <c r="M33" s="6" t="n">
        <v>88</v>
      </c>
      <c r="N33" s="6" t="n">
        <v>1</v>
      </c>
      <c r="O33" s="6" t="n"/>
      <c r="P33" s="6" t="n">
        <v>10830</v>
      </c>
      <c r="Q33" s="6" t="n">
        <v>1</v>
      </c>
      <c r="R33">
        <f>M33+IF(N33&gt;1,N(O33)*(N33-1),0)</f>
        <v/>
      </c>
      <c r="S33">
        <f>IFERROR(L33*MAX(N33,1)/R33*IF(ISBLANK(K31),1,K31),0)</f>
        <v/>
      </c>
      <c r="AB33" s="7" t="inlineStr">
        <is>
          <t>^Warhead_Thermobaric_Medium</t>
        </is>
      </c>
    </row>
    <row r="34">
      <c r="B34" s="7" t="inlineStr">
        <is>
          <t xml:space="preserve">  ↳ SiegeMortarThermobaric</t>
        </is>
      </c>
      <c r="C34" s="7" t="inlineStr">
        <is>
          <t>Armament@Upgrade</t>
        </is>
      </c>
      <c r="L34" s="6" t="n">
        <v>24000</v>
      </c>
      <c r="M34" s="6" t="n">
        <v>88</v>
      </c>
      <c r="N34" s="6" t="n">
        <v>1</v>
      </c>
      <c r="O34" s="6" t="n"/>
      <c r="P34" s="6" t="n">
        <v>10830</v>
      </c>
      <c r="Q34" s="6" t="n">
        <v>1.25</v>
      </c>
      <c r="R34">
        <f>M34+IF(N34&gt;1,N(O34)*(N34-1),0)</f>
        <v/>
      </c>
      <c r="S34">
        <f>IFERROR(L34*MAX(N34,1)/R34*IF(ISBLANK(K31),1,K31),0)</f>
        <v/>
      </c>
      <c r="AB34" s="7" t="inlineStr">
        <is>
          <t>^Warhead_Thermobaric_Heavy</t>
        </is>
      </c>
    </row>
    <row r="35">
      <c r="B35" s="7" t="inlineStr">
        <is>
          <t xml:space="preserve">  ↳ SiegeMortarThermobaric</t>
        </is>
      </c>
      <c r="C35" s="7" t="inlineStr">
        <is>
          <t>Armament@UpgradeGARRISONED</t>
        </is>
      </c>
      <c r="L35" s="6" t="n">
        <v>24000</v>
      </c>
      <c r="M35" s="6" t="n">
        <v>88</v>
      </c>
      <c r="N35" s="6" t="n">
        <v>1</v>
      </c>
      <c r="O35" s="6" t="n"/>
      <c r="P35" s="6" t="n">
        <v>10830</v>
      </c>
      <c r="Q35" s="6" t="n">
        <v>1.25</v>
      </c>
      <c r="R35">
        <f>M35+IF(N35&gt;1,N(O35)*(N35-1),0)</f>
        <v/>
      </c>
      <c r="S35">
        <f>IFERROR(L35*MAX(N35,1)/R35*IF(ISBLANK(K31),1,K31),0)</f>
        <v/>
      </c>
      <c r="AB35" s="7" t="inlineStr">
        <is>
          <t>^Warhead_Thermobaric_Heavy</t>
        </is>
      </c>
    </row>
    <row r="36">
      <c r="A36" t="inlineStr">
        <is>
          <t>redalert</t>
        </is>
      </c>
      <c r="B36" t="inlineStr">
        <is>
          <t>ra1_soviets_rifleinfantry</t>
        </is>
      </c>
      <c r="C36" t="inlineStr">
        <is>
          <t>Rifle Infantry</t>
        </is>
      </c>
      <c r="D36" s="6" t="inlineStr">
        <is>
          <t>ScoutInfantry</t>
        </is>
      </c>
      <c r="E36" s="6" t="n">
        <v>34000</v>
      </c>
      <c r="F36" s="6" t="n">
        <v>54</v>
      </c>
      <c r="G36" t="inlineStr">
        <is>
          <t>None</t>
        </is>
      </c>
      <c r="H36" s="6" t="n">
        <v>1</v>
      </c>
      <c r="I36" s="6" t="n">
        <v>1</v>
      </c>
      <c r="J36" s="6" t="n">
        <v>1</v>
      </c>
      <c r="K36" s="6" t="n">
        <v>0.0042</v>
      </c>
      <c r="P36">
        <f>MAX(P37,P39)</f>
        <v/>
      </c>
      <c r="S36">
        <f>S37+S39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(((E36/20000)+(F36/60)+(S36/60)+((P36/5000)*J36))*100/4+(((E36/20000)*(F36/60))+(((P36/5000)*J36)*(S36/60)))*100/2+((E36/20000)*(F36/60)*((P36/5000)*J36)*(S36/60))*100)*(H36/1.0)/3</f>
        <v/>
      </c>
      <c r="X36" s="6" t="n">
        <v>100</v>
      </c>
      <c r="Y36">
        <f>IFERROR(W36-X36,"")</f>
        <v/>
      </c>
      <c r="Z36">
        <f>IFERROR(ABS(Y36)/MAX(X36,1),"")</f>
        <v/>
      </c>
      <c r="AA36">
        <f>IFERROR(ROUND(((3*X36-(((E36/20000)+(F36/60)+(S36/60))*100/4+((E36/20000)*(F36/60))*100/2)*(H36/1.0))/(100/4+((S36/60))*100/2+((E36/20000)*(F36/60)*(S36/60))*100)*(H36/1.0)*5000)/J36,-1),"")</f>
        <v/>
      </c>
    </row>
    <row r="37">
      <c r="B37" s="7" t="inlineStr">
        <is>
          <t xml:space="preserve">  ↳ ra1_soviets_rifleinfantry_carbine</t>
        </is>
      </c>
      <c r="C37" s="7" t="inlineStr">
        <is>
          <t>Armament@PRIMARY</t>
        </is>
      </c>
      <c r="L37" s="6" t="n">
        <v>2000</v>
      </c>
      <c r="M37" s="6" t="n">
        <v>50</v>
      </c>
      <c r="N37" s="6" t="n">
        <v>3</v>
      </c>
      <c r="O37" s="6" t="n">
        <v>5</v>
      </c>
      <c r="P37" s="6" t="n">
        <v>4668</v>
      </c>
      <c r="Q37" s="6" t="n">
        <v>0.75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^Warhead_Bullet_Light</t>
        </is>
      </c>
    </row>
    <row r="38">
      <c r="B38" s="7" t="inlineStr">
        <is>
          <t xml:space="preserve">  ↳ ra1_soviets_rifleinfantry_carbine</t>
        </is>
      </c>
      <c r="C38" s="7" t="inlineStr">
        <is>
          <t>Armament@GARRISONED</t>
        </is>
      </c>
      <c r="L38" s="6" t="n">
        <v>2000</v>
      </c>
      <c r="M38" s="6" t="n">
        <v>50</v>
      </c>
      <c r="N38" s="6" t="n">
        <v>3</v>
      </c>
      <c r="O38" s="6" t="n">
        <v>5</v>
      </c>
      <c r="P38" s="6" t="n">
        <v>4668</v>
      </c>
      <c r="Q38" s="6" t="n">
        <v>0.75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^Warhead_Bullet_Light</t>
        </is>
      </c>
    </row>
    <row r="39">
      <c r="B39" s="7" t="inlineStr">
        <is>
          <t xml:space="preserve">  ↳ ra1_soviets_rifleinfantry_carbine_incendiary</t>
        </is>
      </c>
      <c r="C39" s="7" t="inlineStr">
        <is>
          <t>Armament@Upgrade</t>
        </is>
      </c>
      <c r="L39" s="6" t="n">
        <v>4000</v>
      </c>
      <c r="M39" s="6" t="n">
        <v>50</v>
      </c>
      <c r="N39" s="6" t="n">
        <v>3</v>
      </c>
      <c r="O39" s="6" t="n">
        <v>5</v>
      </c>
      <c r="P39" s="6" t="n">
        <v>4668</v>
      </c>
      <c r="Q39" s="6" t="n">
        <v>0.75</v>
      </c>
      <c r="R39">
        <f>M39+IF(N39&gt;1,N(O39)*(N39-1),0)</f>
        <v/>
      </c>
      <c r="S39">
        <f>IFERROR(L39*MAX(N39,1)/R39*IF(ISBLANK(K36),1,K36),0)</f>
        <v/>
      </c>
      <c r="AB39" s="7" t="inlineStr">
        <is>
          <t>^Warhead_Flame_Light, ^Warhead_Bullet_Light</t>
        </is>
      </c>
    </row>
    <row r="40">
      <c r="B40" s="7" t="inlineStr">
        <is>
          <t xml:space="preserve">  ↳ ra1_soviets_rifleinfantry_carbine_incendiary</t>
        </is>
      </c>
      <c r="C40" s="7" t="inlineStr">
        <is>
          <t>Armament@UpgradeGARRISONED</t>
        </is>
      </c>
      <c r="L40" s="6" t="n">
        <v>4000</v>
      </c>
      <c r="M40" s="6" t="n">
        <v>50</v>
      </c>
      <c r="N40" s="6" t="n">
        <v>3</v>
      </c>
      <c r="O40" s="6" t="n">
        <v>5</v>
      </c>
      <c r="P40" s="6" t="n">
        <v>4668</v>
      </c>
      <c r="Q40" s="6" t="n">
        <v>0.75</v>
      </c>
      <c r="R40">
        <f>M40+IF(N40&gt;1,N(O40)*(N40-1),0)</f>
        <v/>
      </c>
      <c r="S40">
        <f>IFERROR(L40*MAX(N40,1)/R40*IF(ISBLANK(K36),1,K36),0)</f>
        <v/>
      </c>
      <c r="AB40" s="7" t="inlineStr">
        <is>
          <t>^Warhead_Flame_Light, ^Warhead_Bullet_Light</t>
        </is>
      </c>
    </row>
    <row r="41">
      <c r="A41" t="inlineStr">
        <is>
          <t>redalert</t>
        </is>
      </c>
      <c r="B41" t="inlineStr">
        <is>
          <t>ra1_soviets_rocketsoldier</t>
        </is>
      </c>
      <c r="C41" t="inlineStr">
        <is>
          <t>Soviet Rocket Soldier</t>
        </is>
      </c>
      <c r="D41" s="6" t="inlineStr">
        <is>
          <t>AntiTankAntiAirInfantry</t>
        </is>
      </c>
      <c r="E41" s="6" t="n">
        <v>10000</v>
      </c>
      <c r="F41" s="6" t="n">
        <v>55</v>
      </c>
      <c r="G41" t="inlineStr">
        <is>
          <t>Flak</t>
        </is>
      </c>
      <c r="H41" s="6" t="n">
        <v>1</v>
      </c>
      <c r="I41" s="6" t="n">
        <v>1</v>
      </c>
      <c r="J41" s="6" t="n">
        <v>1</v>
      </c>
      <c r="K41" s="6" t="n"/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300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RocketsRA</t>
        </is>
      </c>
      <c r="C42" s="7" t="inlineStr">
        <is>
          <t>Armament@PRIMARY</t>
        </is>
      </c>
      <c r="L42" s="6" t="n">
        <v>20000</v>
      </c>
      <c r="M42" s="6" t="n">
        <v>50</v>
      </c>
      <c r="N42" s="6" t="n">
        <v>1</v>
      </c>
      <c r="O42" s="6" t="n"/>
      <c r="P42" s="6" t="n">
        <v>6643</v>
      </c>
      <c r="Q42" s="6" t="n">
        <v>0.875</v>
      </c>
      <c r="R42">
        <f>M42+IF(N42&gt;1,N(O42)*(N42-1),0)</f>
        <v/>
      </c>
      <c r="S42">
        <f>IFERROR(L42*MAX(N42,1)/R42*IF(ISBLANK(K41),1,K41),0)</f>
        <v/>
      </c>
      <c r="AB42" s="7" t="inlineStr">
        <is>
          <t>^Warhead_MissileHE_Medium, ^Warhead_MissileHE_Light</t>
        </is>
      </c>
    </row>
    <row r="43">
      <c r="B43" s="7" t="inlineStr">
        <is>
          <t xml:space="preserve">  ↳ RocketsRA</t>
        </is>
      </c>
      <c r="C43" s="7" t="inlineStr">
        <is>
          <t>Armament@GARRISONED</t>
        </is>
      </c>
      <c r="L43" s="6" t="n">
        <v>20000</v>
      </c>
      <c r="M43" s="6" t="n">
        <v>50</v>
      </c>
      <c r="N43" s="6" t="n">
        <v>1</v>
      </c>
      <c r="O43" s="6" t="n"/>
      <c r="P43" s="6" t="n">
        <v>6643</v>
      </c>
      <c r="Q43" s="6" t="n">
        <v>0.875</v>
      </c>
      <c r="R43">
        <f>M43+IF(N43&gt;1,N(O43)*(N43-1),0)</f>
        <v/>
      </c>
      <c r="S43">
        <f>IFERROR(L43*MAX(N43,1)/R43*IF(ISBLANK(K41),1,K41),0)</f>
        <v/>
      </c>
      <c r="AB43" s="7" t="inlineStr">
        <is>
          <t>^Warhead_MissileHE_Medium, ^Warhead_MissileHE_Light</t>
        </is>
      </c>
    </row>
    <row r="44">
      <c r="A44" t="inlineStr">
        <is>
          <t>redalert</t>
        </is>
      </c>
      <c r="B44" t="inlineStr">
        <is>
          <t>ra1_soviets_shocktrooper</t>
        </is>
      </c>
      <c r="C44" t="inlineStr">
        <is>
          <t>Shock Trooper</t>
        </is>
      </c>
      <c r="D44" s="6" t="inlineStr">
        <is>
          <t>HeavyInfantry</t>
        </is>
      </c>
      <c r="E44" s="6" t="n">
        <v>40000</v>
      </c>
      <c r="F44" s="6" t="n">
        <v>40</v>
      </c>
      <c r="G44" t="inlineStr">
        <is>
          <t>Plate</t>
        </is>
      </c>
      <c r="H44" s="6" t="n">
        <v>0.75</v>
      </c>
      <c r="I44" s="6" t="n">
        <v>0.8</v>
      </c>
      <c r="J44" s="6" t="n">
        <v>1.25</v>
      </c>
      <c r="K44" s="6" t="n"/>
      <c r="P44">
        <f>MAX(P45,P46,P47)</f>
        <v/>
      </c>
      <c r="S44">
        <f>S45+S46+S47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600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PortaTesla</t>
        </is>
      </c>
      <c r="C45" s="7" t="inlineStr">
        <is>
          <t>Armament@PRIMARY</t>
        </is>
      </c>
      <c r="L45" s="6" t="n">
        <v>20000</v>
      </c>
      <c r="M45" s="6" t="n">
        <v>40</v>
      </c>
      <c r="N45" s="6" t="n">
        <v>1</v>
      </c>
      <c r="O45" s="6" t="n"/>
      <c r="P45" s="6" t="n">
        <v>4652</v>
      </c>
      <c r="Q45" s="6" t="n">
        <v>1.25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^Warhead_Tesla_Heavy</t>
        </is>
      </c>
    </row>
    <row r="46">
      <c r="B46" s="7" t="inlineStr">
        <is>
          <t xml:space="preserve">  ↳ PortaTesla_EMP</t>
        </is>
      </c>
      <c r="C46" s="7" t="inlineStr">
        <is>
          <t>Armament@Upgrade1</t>
        </is>
      </c>
      <c r="L46" s="6" t="n">
        <v>20000</v>
      </c>
      <c r="M46" s="6" t="n">
        <v>40</v>
      </c>
      <c r="N46" s="6" t="n">
        <v>1</v>
      </c>
      <c r="O46" s="6" t="n"/>
      <c r="P46" s="6" t="n">
        <v>4652</v>
      </c>
      <c r="Q46" s="6" t="n">
        <v>1.25</v>
      </c>
      <c r="R46">
        <f>M46+IF(N46&gt;1,N(O46)*(N46-1),0)</f>
        <v/>
      </c>
      <c r="S46">
        <f>IFERROR(L46*MAX(N46,1)/R46*IF(ISBLANK(K44),1,K44),0)</f>
        <v/>
      </c>
      <c r="AB46" s="7" t="inlineStr">
        <is>
          <t>^Warhead_Tesla_Heavy</t>
        </is>
      </c>
    </row>
    <row r="47">
      <c r="B47" s="7" t="inlineStr">
        <is>
          <t xml:space="preserve">  ↳ PortaTeslaArc_EMP</t>
        </is>
      </c>
      <c r="C47" s="7" t="inlineStr">
        <is>
          <t>Armament@Upgrade2</t>
        </is>
      </c>
      <c r="L47" s="6" t="n">
        <v>20000</v>
      </c>
      <c r="M47" s="6" t="n">
        <v>40</v>
      </c>
      <c r="N47" s="6" t="n">
        <v>1</v>
      </c>
      <c r="O47" s="6" t="n"/>
      <c r="P47" s="6" t="n">
        <v>4652</v>
      </c>
      <c r="Q47" s="6" t="n">
        <v>1.25</v>
      </c>
      <c r="R47">
        <f>M47+IF(N47&gt;1,N(O47)*(N47-1),0)</f>
        <v/>
      </c>
      <c r="S47">
        <f>IFERROR(L47*MAX(N47,1)/R47*IF(ISBLANK(K44),1,K44),0)</f>
        <v/>
      </c>
      <c r="AB47" s="7" t="inlineStr">
        <is>
          <t>^Warhead_Tesla_Heavy</t>
        </is>
      </c>
    </row>
    <row r="48">
      <c r="B48" s="7" t="inlineStr">
        <is>
          <t xml:space="preserve">  ↳ PortaTesla</t>
        </is>
      </c>
      <c r="C48" s="7" t="inlineStr">
        <is>
          <t>Armament@GARRISONED</t>
        </is>
      </c>
      <c r="L48" s="6" t="n">
        <v>20000</v>
      </c>
      <c r="M48" s="6" t="n">
        <v>40</v>
      </c>
      <c r="N48" s="6" t="n">
        <v>1</v>
      </c>
      <c r="O48" s="6" t="n"/>
      <c r="P48" s="6" t="n">
        <v>4652</v>
      </c>
      <c r="Q48" s="6" t="n">
        <v>1.25</v>
      </c>
      <c r="R48">
        <f>M48+IF(N48&gt;1,N(O48)*(N48-1),0)</f>
        <v/>
      </c>
      <c r="S48">
        <f>IFERROR(L48*MAX(N48,1)/R48*IF(ISBLANK(K44),1,K44),0)</f>
        <v/>
      </c>
      <c r="AB48" s="7" t="inlineStr">
        <is>
          <t>^Warhead_Tesla_Heavy</t>
        </is>
      </c>
    </row>
    <row r="49">
      <c r="B49" s="7" t="inlineStr">
        <is>
          <t xml:space="preserve">  ↳ PortaTesla_EMP</t>
        </is>
      </c>
      <c r="C49" s="7" t="inlineStr">
        <is>
          <t>Armament@Upgrade1GARRISONED</t>
        </is>
      </c>
      <c r="L49" s="6" t="n">
        <v>20000</v>
      </c>
      <c r="M49" s="6" t="n">
        <v>40</v>
      </c>
      <c r="N49" s="6" t="n">
        <v>1</v>
      </c>
      <c r="O49" s="6" t="n"/>
      <c r="P49" s="6" t="n">
        <v>4652</v>
      </c>
      <c r="Q49" s="6" t="n">
        <v>1.25</v>
      </c>
      <c r="R49">
        <f>M49+IF(N49&gt;1,N(O49)*(N49-1),0)</f>
        <v/>
      </c>
      <c r="S49">
        <f>IFERROR(L49*MAX(N49,1)/R49*IF(ISBLANK(K44),1,K44),0)</f>
        <v/>
      </c>
      <c r="AB49" s="7" t="inlineStr">
        <is>
          <t>^Warhead_Tesla_Heavy</t>
        </is>
      </c>
    </row>
    <row r="50">
      <c r="B50" s="7" t="inlineStr">
        <is>
          <t xml:space="preserve">  ↳ PortaTeslaArc_EMP</t>
        </is>
      </c>
      <c r="C50" s="7" t="inlineStr">
        <is>
          <t>Armament@Upgrade2GARRISONED</t>
        </is>
      </c>
      <c r="L50" s="6" t="n">
        <v>20000</v>
      </c>
      <c r="M50" s="6" t="n">
        <v>40</v>
      </c>
      <c r="N50" s="6" t="n">
        <v>1</v>
      </c>
      <c r="O50" s="6" t="n"/>
      <c r="P50" s="6" t="n">
        <v>4652</v>
      </c>
      <c r="Q50" s="6" t="n">
        <v>1.25</v>
      </c>
      <c r="R50">
        <f>M50+IF(N50&gt;1,N(O50)*(N50-1),0)</f>
        <v/>
      </c>
      <c r="S50">
        <f>IFERROR(L50*MAX(N50,1)/R50*IF(ISBLANK(K44),1,K44),0)</f>
        <v/>
      </c>
      <c r="AB50" s="7" t="inlineStr">
        <is>
          <t>^Warhead_Tesla_Heavy</t>
        </is>
      </c>
    </row>
    <row r="51">
      <c r="A51" t="inlineStr">
        <is>
          <t>redalert</t>
        </is>
      </c>
      <c r="B51" t="inlineStr">
        <is>
          <t>ra1_soviets_volkov</t>
        </is>
      </c>
      <c r="C51" t="inlineStr">
        <is>
          <t>Volkov</t>
        </is>
      </c>
      <c r="D51" s="6" t="inlineStr">
        <is>
          <t>HeroInfantry</t>
        </is>
      </c>
      <c r="E51" s="6" t="n">
        <v>400000</v>
      </c>
      <c r="F51" s="6" t="n">
        <v>55</v>
      </c>
      <c r="G51" t="inlineStr">
        <is>
          <t>Heroic</t>
        </is>
      </c>
      <c r="H51" s="6" t="n">
        <v>0.75</v>
      </c>
      <c r="I51" s="6" t="n">
        <v>1</v>
      </c>
      <c r="J51" s="6" t="n">
        <v>1</v>
      </c>
      <c r="K51" s="6" t="n"/>
      <c r="P51">
        <f>MAX(P52,P53,P54,P55,P56,P57)</f>
        <v/>
      </c>
      <c r="S51">
        <f>S52+S53+S54+S55+S56+S57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10000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VolkovMagneticWeapon</t>
        </is>
      </c>
      <c r="C52" s="7" t="inlineStr">
        <is>
          <t>Armament</t>
        </is>
      </c>
      <c r="L52" s="6" t="n">
        <v>30000</v>
      </c>
      <c r="M52" s="6" t="n">
        <v>15</v>
      </c>
      <c r="N52" s="6" t="n">
        <v>2</v>
      </c>
      <c r="O52" s="6" t="n">
        <v>5</v>
      </c>
      <c r="P52" s="6" t="n">
        <v>5400</v>
      </c>
      <c r="Q52" s="6" t="n">
        <v>1.25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^Warhead_CannonHE_Heavy</t>
        </is>
      </c>
    </row>
    <row r="53">
      <c r="B53" s="7" t="inlineStr">
        <is>
          <t xml:space="preserve">  ↳ VolkovMagneticWeaponTesla</t>
        </is>
      </c>
      <c r="C53" s="7" t="inlineStr">
        <is>
          <t>Armament@Tesla</t>
        </is>
      </c>
      <c r="L53" s="6" t="n">
        <v>32000</v>
      </c>
      <c r="M53" s="6" t="n">
        <v>30</v>
      </c>
      <c r="N53" s="6" t="n">
        <v>2</v>
      </c>
      <c r="O53" s="6" t="n">
        <v>9</v>
      </c>
      <c r="P53" s="6" t="n">
        <v>5660</v>
      </c>
      <c r="Q53" s="6" t="n">
        <v>1.25</v>
      </c>
      <c r="R53">
        <f>M53+IF(N53&gt;1,N(O53)*(N53-1),0)</f>
        <v/>
      </c>
      <c r="S53">
        <f>IFERROR(L53*MAX(N53,1)/R53*IF(ISBLANK(K51),1,K51),0)</f>
        <v/>
      </c>
      <c r="AB53" s="7" t="inlineStr">
        <is>
          <t>^Warhead_CannonHE_Heavy, ^Warhead_Tesla_Heavy</t>
        </is>
      </c>
    </row>
    <row r="54">
      <c r="B54" s="7" t="inlineStr">
        <is>
          <t xml:space="preserve">  ↳ VolkovMagneticWeaponNuclearShells</t>
        </is>
      </c>
      <c r="C54" s="7" t="inlineStr">
        <is>
          <t>Armament@NuclearShells</t>
        </is>
      </c>
      <c r="L54" s="6" t="n">
        <v>160000</v>
      </c>
      <c r="M54" s="6" t="n">
        <v>40</v>
      </c>
      <c r="N54" s="6" t="n">
        <v>1</v>
      </c>
      <c r="O54" s="6" t="n">
        <v>5</v>
      </c>
      <c r="P54" s="6" t="n">
        <v>5400</v>
      </c>
      <c r="Q54" s="6" t="n">
        <v>1.375</v>
      </c>
      <c r="R54">
        <f>M54+IF(N54&gt;1,N(O54)*(N54-1),0)</f>
        <v/>
      </c>
      <c r="S54">
        <f>IFERROR(L54*MAX(N54,1)/R54*IF(ISBLANK(K51),1,K51),0)</f>
        <v/>
      </c>
      <c r="AB54" s="7" t="inlineStr">
        <is>
          <t>^Warhead_Nuclear_Super, ^Warhead_CannonHE_Heavy</t>
        </is>
      </c>
    </row>
    <row r="55">
      <c r="B55" s="7" t="inlineStr">
        <is>
          <t xml:space="preserve">  ↳ VolkovMagneticWeaponIncendiary</t>
        </is>
      </c>
      <c r="C55" s="7" t="inlineStr">
        <is>
          <t>Armament@Incendiary</t>
        </is>
      </c>
      <c r="L55" s="6" t="n">
        <v>40000</v>
      </c>
      <c r="M55" s="6" t="n">
        <v>15</v>
      </c>
      <c r="N55" s="6" t="n">
        <v>2</v>
      </c>
      <c r="O55" s="6" t="n">
        <v>5</v>
      </c>
      <c r="P55" s="6" t="n">
        <v>5400</v>
      </c>
      <c r="Q55" s="6" t="n">
        <v>1.125</v>
      </c>
      <c r="R55">
        <f>M55+IF(N55&gt;1,N(O55)*(N55-1),0)</f>
        <v/>
      </c>
      <c r="S55">
        <f>IFERROR(L55*MAX(N55,1)/R55*IF(ISBLANK(K51),1,K51),0)</f>
        <v/>
      </c>
      <c r="AB55" s="7" t="inlineStr">
        <is>
          <t>^Warhead_Flame_Medium, ^Warhead_CannonHE_Heavy</t>
        </is>
      </c>
    </row>
    <row r="56">
      <c r="B56" s="7" t="inlineStr">
        <is>
          <t xml:space="preserve">  ↳ VolkovMagneticWeaponIncendiaryTesla</t>
        </is>
      </c>
      <c r="C56" s="7" t="inlineStr">
        <is>
          <t>Armament@IncendiaryTesla</t>
        </is>
      </c>
      <c r="L56" s="6" t="n">
        <v>40000</v>
      </c>
      <c r="M56" s="6" t="n">
        <v>30</v>
      </c>
      <c r="N56" s="6" t="n">
        <v>2</v>
      </c>
      <c r="O56" s="6" t="n">
        <v>9</v>
      </c>
      <c r="P56" s="6" t="n">
        <v>5660</v>
      </c>
      <c r="Q56" s="6" t="n">
        <v>1.25</v>
      </c>
      <c r="R56">
        <f>M56+IF(N56&gt;1,N(O56)*(N56-1),0)</f>
        <v/>
      </c>
      <c r="S56">
        <f>IFERROR(L56*MAX(N56,1)/R56*IF(ISBLANK(K51),1,K51),0)</f>
        <v/>
      </c>
      <c r="AB56" s="7" t="inlineStr">
        <is>
          <t>^Warhead_CannonHE_Heavy</t>
        </is>
      </c>
    </row>
    <row r="57">
      <c r="B57" s="7" t="inlineStr">
        <is>
          <t xml:space="preserve">  ↳ VolkovMagneticWeaponIncendiaryNuclearShells</t>
        </is>
      </c>
      <c r="C57" s="7" t="inlineStr">
        <is>
          <t>Armament@IncendiaryNuclearShells</t>
        </is>
      </c>
      <c r="L57" s="6" t="n">
        <v>200000</v>
      </c>
      <c r="M57" s="6" t="n">
        <v>40</v>
      </c>
      <c r="N57" s="6" t="n">
        <v>1</v>
      </c>
      <c r="O57" s="6" t="n">
        <v>5</v>
      </c>
      <c r="P57" s="6" t="n">
        <v>5400</v>
      </c>
      <c r="Q57" s="6" t="n">
        <v>1.25</v>
      </c>
      <c r="R57">
        <f>M57+IF(N57&gt;1,N(O57)*(N57-1),0)</f>
        <v/>
      </c>
      <c r="S57">
        <f>IFERROR(L57*MAX(N57,1)/R57*IF(ISBLANK(K51),1,K51),0)</f>
        <v/>
      </c>
      <c r="AB57" s="7" t="inlineStr">
        <is>
          <t>^Warhead_CannonHE_Heavy</t>
        </is>
      </c>
    </row>
    <row r="58">
      <c r="B58" s="7" t="inlineStr">
        <is>
          <t xml:space="preserve">  ↳ VolkovMagneticWeapon</t>
        </is>
      </c>
      <c r="C58" s="7" t="inlineStr">
        <is>
          <t>Armament@GARRISONED</t>
        </is>
      </c>
      <c r="L58" s="6" t="n">
        <v>30000</v>
      </c>
      <c r="M58" s="6" t="n">
        <v>15</v>
      </c>
      <c r="N58" s="6" t="n">
        <v>2</v>
      </c>
      <c r="O58" s="6" t="n">
        <v>5</v>
      </c>
      <c r="P58" s="6" t="n">
        <v>5400</v>
      </c>
      <c r="Q58" s="6" t="n">
        <v>1.25</v>
      </c>
      <c r="R58">
        <f>M58+IF(N58&gt;1,N(O58)*(N58-1),0)</f>
        <v/>
      </c>
      <c r="S58">
        <f>IFERROR(L58*MAX(N58,1)/R58*IF(ISBLANK(K51),1,K51),0)</f>
        <v/>
      </c>
      <c r="AB58" s="7" t="inlineStr">
        <is>
          <t>^Warhead_CannonHE_Heavy</t>
        </is>
      </c>
    </row>
    <row r="59">
      <c r="B59" s="7" t="inlineStr">
        <is>
          <t xml:space="preserve">  ↳ VolkovMagneticWeaponTesla</t>
        </is>
      </c>
      <c r="C59" s="7" t="inlineStr">
        <is>
          <t>Armament@GARRISONEDTesla</t>
        </is>
      </c>
      <c r="L59" s="6" t="n">
        <v>32000</v>
      </c>
      <c r="M59" s="6" t="n">
        <v>30</v>
      </c>
      <c r="N59" s="6" t="n">
        <v>2</v>
      </c>
      <c r="O59" s="6" t="n">
        <v>9</v>
      </c>
      <c r="P59" s="6" t="n">
        <v>5660</v>
      </c>
      <c r="Q59" s="6" t="n">
        <v>1.25</v>
      </c>
      <c r="R59">
        <f>M59+IF(N59&gt;1,N(O59)*(N59-1),0)</f>
        <v/>
      </c>
      <c r="S59">
        <f>IFERROR(L59*MAX(N59,1)/R59*IF(ISBLANK(K51),1,K51),0)</f>
        <v/>
      </c>
      <c r="AB59" s="7" t="inlineStr">
        <is>
          <t>^Warhead_CannonHE_Heavy, ^Warhead_Tesla_Heavy</t>
        </is>
      </c>
    </row>
    <row r="60">
      <c r="B60" s="7" t="inlineStr">
        <is>
          <t xml:space="preserve">  ↳ VolkovMagneticWeaponNuclearShells</t>
        </is>
      </c>
      <c r="C60" s="7" t="inlineStr">
        <is>
          <t>Armament@GARRISONEDNuclearShells</t>
        </is>
      </c>
      <c r="L60" s="6" t="n">
        <v>160000</v>
      </c>
      <c r="M60" s="6" t="n">
        <v>40</v>
      </c>
      <c r="N60" s="6" t="n">
        <v>1</v>
      </c>
      <c r="O60" s="6" t="n">
        <v>5</v>
      </c>
      <c r="P60" s="6" t="n">
        <v>5400</v>
      </c>
      <c r="Q60" s="6" t="n">
        <v>1.375</v>
      </c>
      <c r="R60">
        <f>M60+IF(N60&gt;1,N(O60)*(N60-1),0)</f>
        <v/>
      </c>
      <c r="S60">
        <f>IFERROR(L60*MAX(N60,1)/R60*IF(ISBLANK(K51),1,K51),0)</f>
        <v/>
      </c>
      <c r="AB60" s="7" t="inlineStr">
        <is>
          <t>^Warhead_Nuclear_Super, ^Warhead_CannonHE_Heavy</t>
        </is>
      </c>
    </row>
    <row r="61">
      <c r="B61" s="7" t="inlineStr">
        <is>
          <t xml:space="preserve">  ↳ VolkovMagneticWeaponIncendiary</t>
        </is>
      </c>
      <c r="C61" s="7" t="inlineStr">
        <is>
          <t>Armament@GARRISONEDIncendiary</t>
        </is>
      </c>
      <c r="L61" s="6" t="n">
        <v>40000</v>
      </c>
      <c r="M61" s="6" t="n">
        <v>15</v>
      </c>
      <c r="N61" s="6" t="n">
        <v>2</v>
      </c>
      <c r="O61" s="6" t="n">
        <v>5</v>
      </c>
      <c r="P61" s="6" t="n">
        <v>5400</v>
      </c>
      <c r="Q61" s="6" t="n">
        <v>1.125</v>
      </c>
      <c r="R61">
        <f>M61+IF(N61&gt;1,N(O61)*(N61-1),0)</f>
        <v/>
      </c>
      <c r="S61">
        <f>IFERROR(L61*MAX(N61,1)/R61*IF(ISBLANK(K51),1,K51),0)</f>
        <v/>
      </c>
      <c r="AB61" s="7" t="inlineStr">
        <is>
          <t>^Warhead_Flame_Medium, ^Warhead_CannonHE_Heavy</t>
        </is>
      </c>
    </row>
    <row r="62">
      <c r="B62" s="7" t="inlineStr">
        <is>
          <t xml:space="preserve">  ↳ VolkovMagneticWeaponIncendiaryTesla</t>
        </is>
      </c>
      <c r="C62" s="7" t="inlineStr">
        <is>
          <t>Armament@GARRISONEDIncendiaryTesla</t>
        </is>
      </c>
      <c r="L62" s="6" t="n">
        <v>40000</v>
      </c>
      <c r="M62" s="6" t="n">
        <v>30</v>
      </c>
      <c r="N62" s="6" t="n">
        <v>2</v>
      </c>
      <c r="O62" s="6" t="n">
        <v>9</v>
      </c>
      <c r="P62" s="6" t="n">
        <v>5660</v>
      </c>
      <c r="Q62" s="6" t="n">
        <v>1.25</v>
      </c>
      <c r="R62">
        <f>M62+IF(N62&gt;1,N(O62)*(N62-1),0)</f>
        <v/>
      </c>
      <c r="S62">
        <f>IFERROR(L62*MAX(N62,1)/R62*IF(ISBLANK(K51),1,K51),0)</f>
        <v/>
      </c>
      <c r="AB62" s="7" t="inlineStr">
        <is>
          <t>^Warhead_CannonHE_Heavy</t>
        </is>
      </c>
    </row>
    <row r="63">
      <c r="B63" s="7" t="inlineStr">
        <is>
          <t xml:space="preserve">  ↳ VolkovMagneticWeaponIncendiaryNuclearShells</t>
        </is>
      </c>
      <c r="C63" s="7" t="inlineStr">
        <is>
          <t>Armament@GARRISONEDIncendiaryNuclearShells</t>
        </is>
      </c>
      <c r="L63" s="6" t="n">
        <v>200000</v>
      </c>
      <c r="M63" s="6" t="n">
        <v>40</v>
      </c>
      <c r="N63" s="6" t="n">
        <v>1</v>
      </c>
      <c r="O63" s="6" t="n">
        <v>5</v>
      </c>
      <c r="P63" s="6" t="n">
        <v>5400</v>
      </c>
      <c r="Q63" s="6" t="n">
        <v>1.25</v>
      </c>
      <c r="R63">
        <f>M63+IF(N63&gt;1,N(O63)*(N63-1),0)</f>
        <v/>
      </c>
      <c r="S63">
        <f>IFERROR(L63*MAX(N63,1)/R63*IF(ISBLANK(K51),1,K51),0)</f>
        <v/>
      </c>
      <c r="AB63" s="7" t="inlineStr">
        <is>
          <t>^Warhead_CannonHE_Heavy</t>
        </is>
      </c>
    </row>
    <row r="64">
      <c r="A64" t="inlineStr">
        <is>
          <t>redalert</t>
        </is>
      </c>
      <c r="B64" t="inlineStr">
        <is>
          <t>ra1_soviets_zapper</t>
        </is>
      </c>
      <c r="C64" t="inlineStr">
        <is>
          <t>Zapper</t>
        </is>
      </c>
      <c r="D64" s="6" t="inlineStr">
        <is>
          <t>HeavyInfantry</t>
        </is>
      </c>
      <c r="E64" s="6" t="n">
        <v>60000</v>
      </c>
      <c r="F64" s="6" t="n">
        <v>30</v>
      </c>
      <c r="G64" t="inlineStr">
        <is>
          <t>Plate</t>
        </is>
      </c>
      <c r="H64" s="6" t="n">
        <v>0.75</v>
      </c>
      <c r="I64" s="6" t="n">
        <v>0.8</v>
      </c>
      <c r="J64" s="6" t="n">
        <v>1.25</v>
      </c>
      <c r="K64" s="6" t="n"/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1200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ZapperPortaTesla</t>
        </is>
      </c>
      <c r="C65" s="7" t="inlineStr">
        <is>
          <t>Armament@PRIMARY</t>
        </is>
      </c>
      <c r="L65" s="6" t="n">
        <v>32000</v>
      </c>
      <c r="M65" s="6" t="n">
        <v>32</v>
      </c>
      <c r="N65" s="6" t="n">
        <v>1</v>
      </c>
      <c r="O65" s="6" t="n"/>
      <c r="P65" s="6" t="n">
        <v>5000</v>
      </c>
      <c r="Q65" s="6" t="n">
        <v>1.25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^Warhead_Tesla_Heavy</t>
        </is>
      </c>
    </row>
    <row r="66">
      <c r="B66" s="7" t="inlineStr">
        <is>
          <t xml:space="preserve">  ↳ ZapperPortaTeslaArc</t>
        </is>
      </c>
      <c r="C66" s="7" t="inlineStr">
        <is>
          <t>Armament@Upgrade</t>
        </is>
      </c>
      <c r="L66" s="6" t="n">
        <v>32000</v>
      </c>
      <c r="M66" s="6" t="n">
        <v>32</v>
      </c>
      <c r="N66" s="6" t="n">
        <v>1</v>
      </c>
      <c r="O66" s="6" t="n"/>
      <c r="P66" s="6" t="n">
        <v>5000</v>
      </c>
      <c r="Q66" s="6" t="n">
        <v>1.25</v>
      </c>
      <c r="R66">
        <f>M66+IF(N66&gt;1,N(O66)*(N66-1),0)</f>
        <v/>
      </c>
      <c r="S66">
        <f>IFERROR(L66*MAX(N66,1)/R66*IF(ISBLANK(K64),1,K64),0)</f>
        <v/>
      </c>
      <c r="AB66" s="7" t="inlineStr">
        <is>
          <t>^Warhead_Tesla_Heavy</t>
        </is>
      </c>
    </row>
    <row r="67">
      <c r="B67" s="7" t="inlineStr">
        <is>
          <t xml:space="preserve">  ↳ ZapperPortaTesla</t>
        </is>
      </c>
      <c r="C67" s="7" t="inlineStr">
        <is>
          <t>Armament@GARRISONED</t>
        </is>
      </c>
      <c r="L67" s="6" t="n">
        <v>32000</v>
      </c>
      <c r="M67" s="6" t="n">
        <v>32</v>
      </c>
      <c r="N67" s="6" t="n">
        <v>1</v>
      </c>
      <c r="O67" s="6" t="n"/>
      <c r="P67" s="6" t="n">
        <v>5000</v>
      </c>
      <c r="Q67" s="6" t="n">
        <v>1.25</v>
      </c>
      <c r="R67">
        <f>M67+IF(N67&gt;1,N(O67)*(N67-1),0)</f>
        <v/>
      </c>
      <c r="S67">
        <f>IFERROR(L67*MAX(N67,1)/R67*IF(ISBLANK(K64),1,K64),0)</f>
        <v/>
      </c>
      <c r="AB67" s="7" t="inlineStr">
        <is>
          <t>^Warhead_Tesla_Heavy</t>
        </is>
      </c>
    </row>
    <row r="68">
      <c r="B68" s="7" t="inlineStr">
        <is>
          <t xml:space="preserve">  ↳ ZapperPortaTeslaArc</t>
        </is>
      </c>
      <c r="C68" s="7" t="inlineStr">
        <is>
          <t>Armament@UpgradeGARRISONED</t>
        </is>
      </c>
      <c r="L68" s="6" t="n">
        <v>32000</v>
      </c>
      <c r="M68" s="6" t="n">
        <v>32</v>
      </c>
      <c r="N68" s="6" t="n">
        <v>1</v>
      </c>
      <c r="O68" s="6" t="n"/>
      <c r="P68" s="6" t="n">
        <v>5000</v>
      </c>
      <c r="Q68" s="6" t="n">
        <v>1.25</v>
      </c>
      <c r="R68">
        <f>M68+IF(N68&gt;1,N(O68)*(N68-1),0)</f>
        <v/>
      </c>
      <c r="S68">
        <f>IFERROR(L68*MAX(N68,1)/R68*IF(ISBLANK(K64),1,K64),0)</f>
        <v/>
      </c>
      <c r="AB68" s="7" t="inlineStr">
        <is>
          <t>^Warhead_Tesla_Heavy</t>
        </is>
      </c>
    </row>
    <row r="69">
      <c r="A69" s="4" t="inlineStr">
        <is>
          <t>VEHICLES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t="inlineStr">
        <is>
          <t>redalert</t>
        </is>
      </c>
      <c r="B70" t="inlineStr">
        <is>
          <t>ra1_soviets_btr80</t>
        </is>
      </c>
      <c r="C70" t="inlineStr">
        <is>
          <t>BTR-80</t>
        </is>
      </c>
      <c r="D70" s="6" t="inlineStr">
        <is>
          <t>SupportVehicle</t>
        </is>
      </c>
      <c r="E70" s="6" t="n">
        <v>90000</v>
      </c>
      <c r="F70" s="6" t="n">
        <v>90</v>
      </c>
      <c r="G70" t="inlineStr">
        <is>
          <t>Heavy</t>
        </is>
      </c>
      <c r="H70" s="6" t="n">
        <v>0.8919</v>
      </c>
      <c r="I70" s="6" t="n">
        <v>1</v>
      </c>
      <c r="J70" s="6" t="n">
        <v>1</v>
      </c>
      <c r="K70" s="6" t="n"/>
      <c r="P70">
        <f>MAX(P71,P72,P73,P74,P75,P76)</f>
        <v/>
      </c>
      <c r="S70">
        <f>S71+S72+S73+S74+S75+S76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1600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BTRMachineGun</t>
        </is>
      </c>
      <c r="C71" s="7" t="inlineStr">
        <is>
          <t>Armament</t>
        </is>
      </c>
      <c r="L71" s="6" t="n">
        <v>4000</v>
      </c>
      <c r="M71" s="6" t="n">
        <v>20</v>
      </c>
      <c r="N71" s="6" t="n">
        <v>4</v>
      </c>
      <c r="O71" s="6" t="n">
        <v>4</v>
      </c>
      <c r="P71" s="6" t="n">
        <v>5454</v>
      </c>
      <c r="Q71" s="6" t="n">
        <v>0.875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^Warhead_Bullet_Light, ^Warhead_Bullet_Medium</t>
        </is>
      </c>
    </row>
    <row r="72">
      <c r="B72" s="7" t="inlineStr">
        <is>
          <t xml:space="preserve">  ↳ BTRMachineGun_AA</t>
        </is>
      </c>
      <c r="C72" s="7" t="inlineStr">
        <is>
          <t>Armament@AA</t>
        </is>
      </c>
      <c r="L72" s="6" t="n">
        <v>4000</v>
      </c>
      <c r="M72" s="6" t="n">
        <v>20</v>
      </c>
      <c r="N72" s="6" t="n">
        <v>4</v>
      </c>
      <c r="O72" s="6" t="n">
        <v>4</v>
      </c>
      <c r="P72" s="6" t="n">
        <v>8181</v>
      </c>
      <c r="Q72" s="6" t="n">
        <v>0.875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^Warhead_Bullet_Light, ^Warhead_Bullet_Medium</t>
        </is>
      </c>
    </row>
    <row r="73">
      <c r="B73" s="7" t="inlineStr">
        <is>
          <t xml:space="preserve">  ↳ BTRTeslaMachineGun</t>
        </is>
      </c>
      <c r="C73" s="7" t="inlineStr">
        <is>
          <t>Armament@TeslaUpgrade1</t>
        </is>
      </c>
      <c r="L73" s="6" t="n">
        <v>4000</v>
      </c>
      <c r="M73" s="6" t="n">
        <v>20</v>
      </c>
      <c r="N73" s="6" t="n">
        <v>4</v>
      </c>
      <c r="O73" s="6" t="n">
        <v>4</v>
      </c>
      <c r="P73" s="6" t="n">
        <v>5454</v>
      </c>
      <c r="Q73" s="6" t="n">
        <v>1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^Warhead_MissileAP_Light, ^Warhead_Tesla_Heavy</t>
        </is>
      </c>
    </row>
    <row r="74">
      <c r="B74" s="7" t="inlineStr">
        <is>
          <t xml:space="preserve">  ↳ BTRTeslaMachineGunArc</t>
        </is>
      </c>
      <c r="C74" s="7" t="inlineStr">
        <is>
          <t>Armament@TeslaUpgrade2</t>
        </is>
      </c>
      <c r="L74" s="6" t="n">
        <v>4000</v>
      </c>
      <c r="M74" s="6" t="n">
        <v>20</v>
      </c>
      <c r="N74" s="6" t="n">
        <v>4</v>
      </c>
      <c r="O74" s="6" t="n">
        <v>4</v>
      </c>
      <c r="P74" s="6" t="n">
        <v>5454</v>
      </c>
      <c r="Q74" s="6" t="n">
        <v>1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^Warhead_MissileAP_Light, ^Warhead_Tesla_Heavy</t>
        </is>
      </c>
    </row>
    <row r="75">
      <c r="B75" s="7" t="inlineStr">
        <is>
          <t xml:space="preserve">  ↳ BTRTeslaMachineGun_AA</t>
        </is>
      </c>
      <c r="C75" s="7" t="inlineStr">
        <is>
          <t>Armament@TeslaUpgrade1AA</t>
        </is>
      </c>
      <c r="L75" s="6" t="n">
        <v>4000</v>
      </c>
      <c r="M75" s="6" t="n">
        <v>20</v>
      </c>
      <c r="N75" s="6" t="n">
        <v>4</v>
      </c>
      <c r="O75" s="6" t="n">
        <v>4</v>
      </c>
      <c r="P75" s="6" t="n">
        <v>8181</v>
      </c>
      <c r="Q75" s="6" t="n">
        <v>1</v>
      </c>
      <c r="R75">
        <f>M75+IF(N75&gt;1,N(O75)*(N75-1),0)</f>
        <v/>
      </c>
      <c r="S75">
        <f>IFERROR(L75*MAX(N75,1)/R75*IF(ISBLANK(K70),1,K70),0)</f>
        <v/>
      </c>
      <c r="AB75" s="7" t="inlineStr">
        <is>
          <t>^Warhead_MissileAP_Light, ^Warhead_Tesla_Heavy</t>
        </is>
      </c>
    </row>
    <row r="76">
      <c r="B76" s="7" t="inlineStr">
        <is>
          <t xml:space="preserve">  ↳ BTRTeslaMachineGunArc_AA</t>
        </is>
      </c>
      <c r="C76" s="7" t="inlineStr">
        <is>
          <t>Armament@TeslaUpgrade2AA</t>
        </is>
      </c>
      <c r="L76" s="6" t="n">
        <v>4000</v>
      </c>
      <c r="M76" s="6" t="n">
        <v>20</v>
      </c>
      <c r="N76" s="6" t="n">
        <v>4</v>
      </c>
      <c r="O76" s="6" t="n">
        <v>4</v>
      </c>
      <c r="P76" s="6" t="n">
        <v>8181</v>
      </c>
      <c r="Q76" s="6" t="n">
        <v>1</v>
      </c>
      <c r="R76">
        <f>M76+IF(N76&gt;1,N(O76)*(N76-1),0)</f>
        <v/>
      </c>
      <c r="S76">
        <f>IFERROR(L76*MAX(N76,1)/R76*IF(ISBLANK(K70),1,K70),0)</f>
        <v/>
      </c>
      <c r="AB76" s="7" t="inlineStr">
        <is>
          <t>^Warhead_MissileAP_Light, ^Warhead_Tesla_Heavy</t>
        </is>
      </c>
    </row>
    <row r="77">
      <c r="A77" t="inlineStr">
        <is>
          <t>redalert</t>
        </is>
      </c>
      <c r="B77" t="inlineStr">
        <is>
          <t>ra1_soviets_flaktruck</t>
        </is>
      </c>
      <c r="C77" t="inlineStr">
        <is>
          <t>Flak Truck</t>
        </is>
      </c>
      <c r="D77" s="6" t="inlineStr">
        <is>
          <t>AntiAirVehicle</t>
        </is>
      </c>
      <c r="E77" s="6" t="n">
        <v>30000</v>
      </c>
      <c r="F77" s="6" t="n">
        <v>120</v>
      </c>
      <c r="G77" t="inlineStr">
        <is>
          <t>Medium</t>
        </is>
      </c>
      <c r="H77" s="6" t="n">
        <v>1</v>
      </c>
      <c r="I77" s="6" t="n">
        <v>1.25</v>
      </c>
      <c r="J77" s="6" t="n">
        <v>1</v>
      </c>
      <c r="K77" s="6" t="n"/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(((E77/170000)+(F77/110)+(S77/1250)+((P77/6000)*J77))*1000/4+(((E77/170000)*(F77/110))+(((P77/6000)*J77)*(S77/1250)))*1000/2+((E77/170000)*(F77/110)*((P77/6000)*J77)*(S77/1250))*1000)*(H77/1.0)/3</f>
        <v/>
      </c>
      <c r="X77" s="6" t="n">
        <v>800</v>
      </c>
      <c r="Y77">
        <f>IFERROR(W77-X77,"")</f>
        <v/>
      </c>
      <c r="Z77">
        <f>IFERROR(ABS(Y77)/MAX(X77,1),"")</f>
        <v/>
      </c>
      <c r="AA77">
        <f>IFERROR(ROUND(((3*X77-(((E77/170000)+(F77/110)+(S77/1250))*1000/4+((E77/170000)*(F77/110))*1000/2)*(H77/1.0))/(1000/4+((S77/1250))*1000/2+((E77/170000)*(F77/110)*(S77/1250))*1000)*(H77/1.0)*6000)/J77,-1),"")</f>
        <v/>
      </c>
    </row>
    <row r="78">
      <c r="B78" s="7" t="inlineStr">
        <is>
          <t xml:space="preserve">  ↳ FLAK-23-AA</t>
        </is>
      </c>
      <c r="C78" s="7" t="inlineStr">
        <is>
          <t>Armament@AA</t>
        </is>
      </c>
      <c r="L78" s="6" t="n">
        <v>4000</v>
      </c>
      <c r="M78" s="6" t="n">
        <v>5</v>
      </c>
      <c r="N78" s="6" t="n">
        <v>2</v>
      </c>
      <c r="O78" s="6" t="n"/>
      <c r="P78" s="6" t="n">
        <v>8118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>
        <is>
          <t>^Warhead_Bullet_Medium, ^Warhead_Flak_Medium</t>
        </is>
      </c>
    </row>
    <row r="79">
      <c r="B79" s="7" t="inlineStr">
        <is>
          <t xml:space="preserve">  ↳ FLAK-23-AG</t>
        </is>
      </c>
      <c r="C79" s="7" t="inlineStr">
        <is>
          <t>Armament@AG</t>
        </is>
      </c>
      <c r="L79" s="6" t="n">
        <v>4000</v>
      </c>
      <c r="M79" s="6" t="n">
        <v>5</v>
      </c>
      <c r="N79" s="6" t="n">
        <v>2</v>
      </c>
      <c r="O79" s="6" t="n"/>
      <c r="P79" s="6" t="n">
        <v>5412</v>
      </c>
      <c r="Q79" s="6" t="n">
        <v>1</v>
      </c>
      <c r="R79">
        <f>M79+IF(N79&gt;1,N(O79)*(N79-1),0)</f>
        <v/>
      </c>
      <c r="S79">
        <f>IFERROR(L79*MAX(N79,1)/R79*IF(ISBLANK(K77),1,K77),0)</f>
        <v/>
      </c>
      <c r="AB79" s="7" t="inlineStr">
        <is>
          <t>^Warhead_Bullet_Medium, ^Warhead_Flak_Medium</t>
        </is>
      </c>
    </row>
    <row r="80">
      <c r="A80" t="inlineStr">
        <is>
          <t>redalert</t>
        </is>
      </c>
      <c r="B80" t="inlineStr">
        <is>
          <t>ra1_soviets_gatlingtank</t>
        </is>
      </c>
      <c r="C80" t="inlineStr">
        <is>
          <t>Gatling Tank</t>
        </is>
      </c>
      <c r="D80" s="6" t="inlineStr">
        <is>
          <t>AntiAirVehicle</t>
        </is>
      </c>
      <c r="E80" s="6" t="n">
        <v>75000</v>
      </c>
      <c r="F80" s="6" t="n">
        <v>75</v>
      </c>
      <c r="G80" t="inlineStr">
        <is>
          <t>Medium</t>
        </is>
      </c>
      <c r="H80" s="6" t="n">
        <v>0.8919</v>
      </c>
      <c r="I80" s="6" t="n">
        <v>1</v>
      </c>
      <c r="J80" s="6" t="n">
        <v>1</v>
      </c>
      <c r="K80" s="6" t="n"/>
      <c r="P80">
        <f>MAX(P81,P82,P83,P84,P85,P86,P87,P88)</f>
        <v/>
      </c>
      <c r="S80">
        <f>S81+S82+S83+S84+S85+S86+S87+S88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(((E80/170000)+(F80/110)+(S80/1250)+((P80/6000)*J80))*1000/4+(((E80/170000)*(F80/110))+(((P80/6000)*J80)*(S80/1250)))*1000/2+((E80/170000)*(F80/110)*((P80/6000)*J80)*(S80/1250))*1000)*(H80/1.0)/3</f>
        <v/>
      </c>
      <c r="X80" s="6" t="n">
        <v>1100</v>
      </c>
      <c r="Y80">
        <f>IFERROR(W80-X80,"")</f>
        <v/>
      </c>
      <c r="Z80">
        <f>IFERROR(ABS(Y80)/MAX(X80,1),"")</f>
        <v/>
      </c>
      <c r="AA80">
        <f>IFERROR(ROUND(((3*X80-(((E80/170000)+(F80/110)+(S80/1250))*1000/4+((E80/170000)*(F80/110))*1000/2)*(H80/1.0))/(1000/4+((S80/1250))*1000/2+((E80/170000)*(F80/110)*(S80/1250))*1000)*(H80/1.0)*6000)/J80,-1),"")</f>
        <v/>
      </c>
    </row>
    <row r="81">
      <c r="B81" s="7" t="inlineStr">
        <is>
          <t xml:space="preserve">  ↳ RAGatlingTankCannon</t>
        </is>
      </c>
      <c r="C81" s="7" t="inlineStr">
        <is>
          <t>Armament@AG</t>
        </is>
      </c>
      <c r="L81" s="6" t="n">
        <v>2000</v>
      </c>
      <c r="M81" s="6" t="n">
        <v>10</v>
      </c>
      <c r="N81" s="6" t="n">
        <v>1</v>
      </c>
      <c r="O81" s="6" t="n"/>
      <c r="P81" s="6" t="n">
        <v>5000</v>
      </c>
      <c r="Q81" s="6" t="n">
        <v>1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^Warhead_Bullet_Medium</t>
        </is>
      </c>
    </row>
    <row r="82">
      <c r="B82" s="7" t="inlineStr">
        <is>
          <t xml:space="preserve">  ↳ RAGatlingTankCannon_AA</t>
        </is>
      </c>
      <c r="C82" s="7" t="inlineStr">
        <is>
          <t>Armament@AA</t>
        </is>
      </c>
      <c r="L82" s="6" t="n">
        <v>2000</v>
      </c>
      <c r="M82" s="6" t="n">
        <v>10</v>
      </c>
      <c r="N82" s="6" t="n">
        <v>1</v>
      </c>
      <c r="O82" s="6" t="n"/>
      <c r="P82" s="6" t="n">
        <v>7500</v>
      </c>
      <c r="Q82" s="6" t="n">
        <v>1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^Warhead_Bullet_Medium</t>
        </is>
      </c>
    </row>
    <row r="83">
      <c r="B83" s="7" t="inlineStr">
        <is>
          <t xml:space="preserve">  ↳ IncendiaryRAGatlingTankCannon</t>
        </is>
      </c>
      <c r="C83" s="7" t="inlineStr">
        <is>
          <t>Armament@UpgradeAG</t>
        </is>
      </c>
      <c r="L83" s="6" t="n">
        <v>4000</v>
      </c>
      <c r="M83" s="6" t="n">
        <v>10</v>
      </c>
      <c r="N83" s="6" t="n">
        <v>1</v>
      </c>
      <c r="O83" s="6" t="n"/>
      <c r="P83" s="6" t="n">
        <v>5000</v>
      </c>
      <c r="Q83" s="6" t="n">
        <v>0.875</v>
      </c>
      <c r="R83">
        <f>M83+IF(N83&gt;1,N(O83)*(N83-1),0)</f>
        <v/>
      </c>
      <c r="S83">
        <f>IFERROR(L83*MAX(N83,1)/R83*IF(ISBLANK(K80),1,K80),0)</f>
        <v/>
      </c>
      <c r="AB83" s="7" t="inlineStr">
        <is>
          <t>^Warhead_Flame_Light, ^Warhead_Bullet_Medium</t>
        </is>
      </c>
    </row>
    <row r="84">
      <c r="B84" s="7" t="inlineStr">
        <is>
          <t xml:space="preserve">  ↳ IncendiaryRAGatlingTankCannon_AA</t>
        </is>
      </c>
      <c r="C84" s="7" t="inlineStr">
        <is>
          <t>Armament@UpgradeAA</t>
        </is>
      </c>
      <c r="L84" s="6" t="n">
        <v>4000</v>
      </c>
      <c r="M84" s="6" t="n">
        <v>10</v>
      </c>
      <c r="N84" s="6" t="n">
        <v>1</v>
      </c>
      <c r="O84" s="6" t="n"/>
      <c r="P84" s="6" t="n">
        <v>7500</v>
      </c>
      <c r="Q84" s="6" t="n">
        <v>0.875</v>
      </c>
      <c r="R84">
        <f>M84+IF(N84&gt;1,N(O84)*(N84-1),0)</f>
        <v/>
      </c>
      <c r="S84">
        <f>IFERROR(L84*MAX(N84,1)/R84*IF(ISBLANK(K80),1,K80),0)</f>
        <v/>
      </c>
      <c r="AB84" s="7" t="inlineStr">
        <is>
          <t>^Warhead_Flame_Light, ^Warhead_Bullet_Medium</t>
        </is>
      </c>
    </row>
    <row r="85">
      <c r="B85" s="7" t="inlineStr">
        <is>
          <t xml:space="preserve">  ↳ TeslaRAGatlingTankCannon</t>
        </is>
      </c>
      <c r="C85" s="7" t="inlineStr">
        <is>
          <t>Armament@TeslaUpgrade1</t>
        </is>
      </c>
      <c r="L85" s="6" t="n">
        <v>2000</v>
      </c>
      <c r="M85" s="6" t="n">
        <v>10</v>
      </c>
      <c r="N85" s="6" t="n">
        <v>1</v>
      </c>
      <c r="O85" s="6" t="n"/>
      <c r="P85" s="6" t="n">
        <v>5000</v>
      </c>
      <c r="Q85" s="6" t="n">
        <v>1.25</v>
      </c>
      <c r="R85">
        <f>M85+IF(N85&gt;1,N(O85)*(N85-1),0)</f>
        <v/>
      </c>
      <c r="S85">
        <f>IFERROR(L85*MAX(N85,1)/R85*IF(ISBLANK(K80),1,K80),0)</f>
        <v/>
      </c>
      <c r="AB85" s="7" t="inlineStr">
        <is>
          <t>^Warhead_Tesla_Heavy</t>
        </is>
      </c>
    </row>
    <row r="86">
      <c r="B86" s="7" t="inlineStr">
        <is>
          <t xml:space="preserve">  ↳ TeslaRAGatlingTankCannonArc</t>
        </is>
      </c>
      <c r="C86" s="7" t="inlineStr">
        <is>
          <t>Armament@TeslaUpgrade2</t>
        </is>
      </c>
      <c r="L86" s="6" t="n">
        <v>2000</v>
      </c>
      <c r="M86" s="6" t="n">
        <v>10</v>
      </c>
      <c r="N86" s="6" t="n">
        <v>1</v>
      </c>
      <c r="O86" s="6" t="n"/>
      <c r="P86" s="6" t="n">
        <v>5000</v>
      </c>
      <c r="Q86" s="6" t="n">
        <v>1.25</v>
      </c>
      <c r="R86">
        <f>M86+IF(N86&gt;1,N(O86)*(N86-1),0)</f>
        <v/>
      </c>
      <c r="S86">
        <f>IFERROR(L86*MAX(N86,1)/R86*IF(ISBLANK(K80),1,K80),0)</f>
        <v/>
      </c>
      <c r="AB86" s="7" t="inlineStr">
        <is>
          <t>^Warhead_Tesla_Heavy</t>
        </is>
      </c>
    </row>
    <row r="87">
      <c r="B87" s="7" t="inlineStr">
        <is>
          <t xml:space="preserve">  ↳ TeslaRAGatlingTankCannon_AA</t>
        </is>
      </c>
      <c r="C87" s="7" t="inlineStr">
        <is>
          <t>Armament@TeslaUpgrade1AA</t>
        </is>
      </c>
      <c r="L87" s="6" t="n">
        <v>2000</v>
      </c>
      <c r="M87" s="6" t="n">
        <v>10</v>
      </c>
      <c r="N87" s="6" t="n">
        <v>1</v>
      </c>
      <c r="O87" s="6" t="n"/>
      <c r="P87" s="6" t="n">
        <v>7500</v>
      </c>
      <c r="Q87" s="6" t="n">
        <v>1.25</v>
      </c>
      <c r="R87">
        <f>M87+IF(N87&gt;1,N(O87)*(N87-1),0)</f>
        <v/>
      </c>
      <c r="S87">
        <f>IFERROR(L87*MAX(N87,1)/R87*IF(ISBLANK(K80),1,K80),0)</f>
        <v/>
      </c>
      <c r="AB87" s="7" t="inlineStr">
        <is>
          <t>^Warhead_Tesla_Heavy</t>
        </is>
      </c>
    </row>
    <row r="88">
      <c r="B88" s="7" t="inlineStr">
        <is>
          <t xml:space="preserve">  ↳ TeslaRAGatlingTankCannonArc_AA</t>
        </is>
      </c>
      <c r="C88" s="7" t="inlineStr">
        <is>
          <t>Armament@TeslaUpgrade2AA</t>
        </is>
      </c>
      <c r="L88" s="6" t="n">
        <v>2000</v>
      </c>
      <c r="M88" s="6" t="n">
        <v>10</v>
      </c>
      <c r="N88" s="6" t="n">
        <v>1</v>
      </c>
      <c r="O88" s="6" t="n"/>
      <c r="P88" s="6" t="n">
        <v>7500</v>
      </c>
      <c r="Q88" s="6" t="n">
        <v>1.25</v>
      </c>
      <c r="R88">
        <f>M88+IF(N88&gt;1,N(O88)*(N88-1),0)</f>
        <v/>
      </c>
      <c r="S88">
        <f>IFERROR(L88*MAX(N88,1)/R88*IF(ISBLANK(K80),1,K80),0)</f>
        <v/>
      </c>
      <c r="AB88" s="7" t="inlineStr">
        <is>
          <t>^Warhead_Tesla_Heavy</t>
        </is>
      </c>
    </row>
    <row r="89">
      <c r="A89" t="inlineStr">
        <is>
          <t>redalert</t>
        </is>
      </c>
      <c r="B89" t="inlineStr">
        <is>
          <t>ra1_soviets_gorynychtank</t>
        </is>
      </c>
      <c r="C89" t="inlineStr">
        <is>
          <t>Gorynych Tank</t>
        </is>
      </c>
      <c r="D89" s="6" t="inlineStr">
        <is>
          <t>Vehicle</t>
        </is>
      </c>
      <c r="E89" s="6" t="n">
        <v>150000</v>
      </c>
      <c r="F89" s="6" t="n">
        <v>70</v>
      </c>
      <c r="G89" t="inlineStr">
        <is>
          <t>Heavy</t>
        </is>
      </c>
      <c r="H89" s="6" t="n">
        <v>0.8919</v>
      </c>
      <c r="I89" s="6" t="n">
        <v>1</v>
      </c>
      <c r="J89" s="6" t="n">
        <v>1</v>
      </c>
      <c r="K89" s="6" t="n"/>
      <c r="P89">
        <f>MAX(P90)</f>
        <v/>
      </c>
      <c r="S89">
        <f>S90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1300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BigFlamer</t>
        </is>
      </c>
      <c r="C90" s="7" t="inlineStr">
        <is>
          <t>Armament</t>
        </is>
      </c>
      <c r="L90" s="6" t="n">
        <v>14000</v>
      </c>
      <c r="M90" s="6" t="n">
        <v>50</v>
      </c>
      <c r="N90" s="6" t="n">
        <v>2</v>
      </c>
      <c r="O90" s="6" t="n">
        <v>10</v>
      </c>
      <c r="P90" s="6" t="n">
        <v>2390</v>
      </c>
      <c r="Q90" s="6" t="n">
        <v>1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^Warhead_Flame_Medium</t>
        </is>
      </c>
    </row>
    <row r="91">
      <c r="A91" t="inlineStr">
        <is>
          <t>redalert</t>
        </is>
      </c>
      <c r="B91" t="inlineStr">
        <is>
          <t>ra1_soviets_grad</t>
        </is>
      </c>
      <c r="C91" t="inlineStr">
        <is>
          <t>Grad</t>
        </is>
      </c>
      <c r="D91" s="6" t="inlineStr">
        <is>
          <t>ArtilleryTank</t>
        </is>
      </c>
      <c r="E91" s="6" t="n">
        <v>50000</v>
      </c>
      <c r="F91" s="6" t="n">
        <v>75</v>
      </c>
      <c r="G91" t="inlineStr">
        <is>
          <t>Medium</t>
        </is>
      </c>
      <c r="H91" s="6" t="n">
        <v>0.75</v>
      </c>
      <c r="I91" s="6" t="n">
        <v>0.5</v>
      </c>
      <c r="J91" s="6" t="n">
        <v>1</v>
      </c>
      <c r="K91" s="6" t="n"/>
      <c r="P91">
        <f>MAX(P92,P93)</f>
        <v/>
      </c>
      <c r="S91">
        <f>S92+S93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(((E91/140000)+(F91/85)+(S91/525)+((P91/12000)*J91))*700/4+(((E91/140000)*(F91/85))+(((P91/12000)*J91)*(S91/525)))*700/2+((E91/140000)*(F91/85)*((P91/12000)*J91)*(S91/525))*700)*(H91/1.0)/3</f>
        <v/>
      </c>
      <c r="X91" s="6" t="n">
        <v>1400</v>
      </c>
      <c r="Y91">
        <f>IFERROR(W91-X91,"")</f>
        <v/>
      </c>
      <c r="Z91">
        <f>IFERROR(ABS(Y91)/MAX(X91,1),"")</f>
        <v/>
      </c>
      <c r="AA91">
        <f>IFERROR(ROUND(((3*X91-(((E91/140000)+(F91/85)+(S91/525))*700/4+((E91/140000)*(F91/85))*700/2)*(H91/1.0))/(700/4+((S91/525))*700/2+((E91/140000)*(F91/85)*(S91/525))*700)*(H91/1.0)*12000)/J91,-1),"")</f>
        <v/>
      </c>
    </row>
    <row r="92">
      <c r="B92" s="7" t="inlineStr">
        <is>
          <t xml:space="preserve">  ↳ GradRockets</t>
        </is>
      </c>
      <c r="C92" s="7" t="inlineStr">
        <is>
          <t>Armament</t>
        </is>
      </c>
      <c r="L92" s="6" t="n">
        <v>16000</v>
      </c>
      <c r="M92" s="6" t="n">
        <v>115</v>
      </c>
      <c r="N92" s="6" t="n">
        <v>8</v>
      </c>
      <c r="O92" s="6" t="n">
        <v>5</v>
      </c>
      <c r="P92" s="6" t="n">
        <v>13820</v>
      </c>
      <c r="Q92" s="6" t="n">
        <v>1.125</v>
      </c>
      <c r="R92">
        <f>M92+IF(N92&gt;1,N(O92)*(N92-1),0)</f>
        <v/>
      </c>
      <c r="S92">
        <f>IFERROR(L92*MAX(N92,1)/R92*IF(ISBLANK(K91),1,K91),0)</f>
        <v/>
      </c>
      <c r="AB92" s="7" t="inlineStr">
        <is>
          <t>^Warhead_MissileHE_Heavy, ^Warhead_Concussion_Medium</t>
        </is>
      </c>
    </row>
    <row r="93">
      <c r="B93" s="7" t="inlineStr">
        <is>
          <t xml:space="preserve">  ↳ GradHeavyRockets</t>
        </is>
      </c>
      <c r="C93" s="7" t="inlineStr">
        <is>
          <t>Armament@Upgrade</t>
        </is>
      </c>
      <c r="L93" s="6" t="n">
        <v>16000</v>
      </c>
      <c r="M93" s="6" t="n">
        <v>115</v>
      </c>
      <c r="N93" s="6" t="n">
        <v>8</v>
      </c>
      <c r="O93" s="6" t="n">
        <v>5</v>
      </c>
      <c r="P93" s="6" t="n">
        <v>13820</v>
      </c>
      <c r="Q93" s="6" t="n">
        <v>1.125</v>
      </c>
      <c r="R93">
        <f>M93+IF(N93&gt;1,N(O93)*(N93-1),0)</f>
        <v/>
      </c>
      <c r="S93">
        <f>IFERROR(L93*MAX(N93,1)/R93*IF(ISBLANK(K91),1,K91),0)</f>
        <v/>
      </c>
      <c r="AB93" s="7" t="inlineStr">
        <is>
          <t>^Warhead_MissileHE_Heavy, ^Warhead_Concussion_Medium</t>
        </is>
      </c>
    </row>
    <row r="94">
      <c r="A94" t="inlineStr">
        <is>
          <t>redalert</t>
        </is>
      </c>
      <c r="B94" t="inlineStr">
        <is>
          <t>ra1_soviets_hammertank</t>
        </is>
      </c>
      <c r="C94" t="inlineStr">
        <is>
          <t>Hammer Tank</t>
        </is>
      </c>
      <c r="D94" s="6" t="inlineStr">
        <is>
          <t>MainBattleTank</t>
        </is>
      </c>
      <c r="E94" s="6" t="n">
        <v>210000</v>
      </c>
      <c r="F94" s="6" t="n">
        <v>60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K94" s="6" t="n"/>
      <c r="P94">
        <f>MAX(P95,P96,P97)</f>
        <v/>
      </c>
      <c r="S94">
        <f>S95+S96+S97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(((E94/240000)+(F94/95)+(S94/600)+((P94/5500)*J94))*800/4+(((E94/240000)*(F94/95))+(((P94/5500)*J94)*(S94/600)))*800/2+((E94/240000)*(F94/95)*((P94/5500)*J94)*(S94/600))*800)*(H94/1.0)/3</f>
        <v/>
      </c>
      <c r="X94" s="6" t="n">
        <v>1500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HammerTankCannon</t>
        </is>
      </c>
      <c r="C95" s="7" t="inlineStr">
        <is>
          <t>Armament</t>
        </is>
      </c>
      <c r="L95" s="6" t="n">
        <v>12000</v>
      </c>
      <c r="M95" s="6" t="n">
        <v>85</v>
      </c>
      <c r="N95" s="6" t="n">
        <v>2</v>
      </c>
      <c r="O95" s="6" t="n">
        <v>5</v>
      </c>
      <c r="P95" s="6" t="n">
        <v>6825</v>
      </c>
      <c r="Q95" s="6" t="n">
        <v>1.125</v>
      </c>
      <c r="R95">
        <f>M95+IF(N95&gt;1,N(O95)*(N95-1),0)</f>
        <v/>
      </c>
      <c r="S95">
        <f>IFERROR(L95*MAX(N95,1)/R95*IF(ISBLANK(K94),1,K94),0)</f>
        <v/>
      </c>
      <c r="AB95" s="7" t="inlineStr">
        <is>
          <t>^Warhead_CannonHE_Heavy, ^Warhead_CannonHE_Medium</t>
        </is>
      </c>
    </row>
    <row r="96">
      <c r="B96" s="7" t="inlineStr">
        <is>
          <t xml:space="preserve">  ↳ HammerTankCannonThermobaric</t>
        </is>
      </c>
      <c r="C96" s="7" t="inlineStr">
        <is>
          <t>Armament@Upgrade</t>
        </is>
      </c>
      <c r="L96" s="6" t="n">
        <v>16000</v>
      </c>
      <c r="M96" s="6" t="n">
        <v>85</v>
      </c>
      <c r="N96" s="6" t="n">
        <v>2</v>
      </c>
      <c r="O96" s="6" t="n">
        <v>5</v>
      </c>
      <c r="P96" s="6" t="n">
        <v>6825</v>
      </c>
      <c r="Q96" s="6" t="n">
        <v>1</v>
      </c>
      <c r="R96">
        <f>M96+IF(N96&gt;1,N(O96)*(N96-1),0)</f>
        <v/>
      </c>
      <c r="S96">
        <f>IFERROR(L96*MAX(N96,1)/R96*IF(ISBLANK(K94),1,K94),0)</f>
        <v/>
      </c>
      <c r="AB96" s="7" t="inlineStr">
        <is>
          <t>^Warhead_Demolition_Heavy, ^Warhead_Flame_Medium, ^Warhead_CannonHE_Heavy, ^Warhead_CannonHE_Medium</t>
        </is>
      </c>
    </row>
    <row r="97">
      <c r="B97" s="7" t="inlineStr">
        <is>
          <t xml:space="preserve">  ↳ ShtoraLaser</t>
        </is>
      </c>
      <c r="C97" s="7" t="inlineStr">
        <is>
          <t>Armament@shtora</t>
        </is>
      </c>
      <c r="L97" s="6" t="n">
        <v>7000</v>
      </c>
      <c r="M97" s="6" t="n">
        <v>100</v>
      </c>
      <c r="N97" s="6" t="n">
        <v>1</v>
      </c>
      <c r="O97" s="6" t="n"/>
      <c r="P97" s="6" t="n">
        <v>6825</v>
      </c>
      <c r="Q97" s="6" t="n">
        <v>1</v>
      </c>
      <c r="R97">
        <f>M97+IF(N97&gt;1,N(O97)*(N97-1),0)</f>
        <v/>
      </c>
      <c r="S97">
        <f>IFERROR(L97*MAX(N97,1)/R97*IF(ISBLANK(K94),1,K94),0)</f>
        <v/>
      </c>
      <c r="AB97" s="7" t="inlineStr">
        <is>
          <t>^LightFlameWeapon, ^FlakWeapon, ^LaserWeapon</t>
        </is>
      </c>
    </row>
    <row r="98">
      <c r="A98" t="inlineStr">
        <is>
          <t>redalert</t>
        </is>
      </c>
      <c r="B98" t="inlineStr">
        <is>
          <t>ra1_soviets_heatraytank</t>
        </is>
      </c>
      <c r="C98" t="inlineStr">
        <is>
          <t>Heatray Tank</t>
        </is>
      </c>
      <c r="D98" s="6" t="inlineStr">
        <is>
          <t>FireSupport</t>
        </is>
      </c>
      <c r="E98" s="6" t="n">
        <v>60000</v>
      </c>
      <c r="F98" s="6" t="n">
        <v>60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K98" s="6" t="n">
        <v>0.0025</v>
      </c>
      <c r="P98">
        <f>MAX(P99,P100,P101,P102)</f>
        <v/>
      </c>
      <c r="S98">
        <f>S99+S100+S101+S102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(((E98/120000)+(F98/90)+(S98/2100)+((P98/10000)*J98))*1400/4+(((E98/120000)*(F98/90))+(((P98/10000)*J98)*(S98/2100)))*1400/2+((E98/120000)*(F98/90)*((P98/10000)*J98)*(S98/2100))*1400)*(H98/0.6735)/3</f>
        <v/>
      </c>
      <c r="X98" s="6" t="n">
        <v>1900</v>
      </c>
      <c r="Y98">
        <f>IFERROR(W98-X98,"")</f>
        <v/>
      </c>
      <c r="Z98">
        <f>IFERROR(ABS(Y98)/MAX(X98,1),"")</f>
        <v/>
      </c>
      <c r="AA98">
        <f>IFERROR(ROUND(((3*X98-(((E98/120000)+(F98/90)+(S98/2100))*1400/4+((E98/120000)*(F98/90))*1400/2)*(H98/0.6735))/(1400/4+((S98/2100))*1400/2+((E98/120000)*(F98/90)*(S98/2100))*1400)*(H98/0.6735)*10000)/J98,-1),"")</f>
        <v/>
      </c>
    </row>
    <row r="99">
      <c r="B99" s="7" t="inlineStr">
        <is>
          <t xml:space="preserve">  ↳ HeatRayBeam1</t>
        </is>
      </c>
      <c r="C99" s="7" t="inlineStr">
        <is>
          <t>Armament@1</t>
        </is>
      </c>
      <c r="L99" s="6" t="n">
        <v>6000</v>
      </c>
      <c r="M99" s="6" t="n">
        <v>8</v>
      </c>
      <c r="N99" s="6" t="n">
        <v>1</v>
      </c>
      <c r="O99" s="6" t="n"/>
      <c r="P99" s="6" t="n">
        <v>8212</v>
      </c>
      <c r="Q99" s="6" t="n">
        <v>1.25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^Warhead_Inferno_Heavy</t>
        </is>
      </c>
    </row>
    <row r="100">
      <c r="B100" s="7" t="inlineStr">
        <is>
          <t xml:space="preserve">  ↳ HeatRayBeam2</t>
        </is>
      </c>
      <c r="C100" s="7" t="inlineStr">
        <is>
          <t>Armament@2</t>
        </is>
      </c>
      <c r="L100" s="6" t="n">
        <v>6000</v>
      </c>
      <c r="M100" s="6" t="n">
        <v>8</v>
      </c>
      <c r="N100" s="6" t="n">
        <v>1</v>
      </c>
      <c r="O100" s="6" t="n"/>
      <c r="P100" s="6" t="n">
        <v>8212</v>
      </c>
      <c r="Q100" s="6" t="n">
        <v>1.25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^Warhead_Inferno_Heavy</t>
        </is>
      </c>
    </row>
    <row r="101">
      <c r="B101" s="7" t="inlineStr">
        <is>
          <t xml:space="preserve">  ↳ HeatRayBeam3</t>
        </is>
      </c>
      <c r="C101" s="7" t="inlineStr">
        <is>
          <t>Armament@3</t>
        </is>
      </c>
      <c r="L101" s="6" t="n">
        <v>6000</v>
      </c>
      <c r="M101" s="6" t="n">
        <v>8</v>
      </c>
      <c r="N101" s="6" t="n">
        <v>1</v>
      </c>
      <c r="O101" s="6" t="n"/>
      <c r="P101" s="6" t="n">
        <v>8212</v>
      </c>
      <c r="Q101" s="6" t="n">
        <v>1.25</v>
      </c>
      <c r="R101">
        <f>M101+IF(N101&gt;1,N(O101)*(N101-1),0)</f>
        <v/>
      </c>
      <c r="S101">
        <f>IFERROR(L101*MAX(N101,1)/R101*IF(ISBLANK(K98),1,K98),0)</f>
        <v/>
      </c>
      <c r="AB101" s="7" t="inlineStr">
        <is>
          <t>^Warhead_Inferno_Heavy</t>
        </is>
      </c>
    </row>
    <row r="102">
      <c r="B102" s="7" t="inlineStr">
        <is>
          <t xml:space="preserve">  ↳ HeatRayBeam4</t>
        </is>
      </c>
      <c r="C102" s="7" t="inlineStr">
        <is>
          <t>Armament@4</t>
        </is>
      </c>
      <c r="L102" s="6" t="n">
        <v>6000</v>
      </c>
      <c r="M102" s="6" t="n">
        <v>8</v>
      </c>
      <c r="N102" s="6" t="n">
        <v>1</v>
      </c>
      <c r="O102" s="6" t="n"/>
      <c r="P102" s="6" t="n">
        <v>8212</v>
      </c>
      <c r="Q102" s="6" t="n">
        <v>1.25</v>
      </c>
      <c r="R102">
        <f>M102+IF(N102&gt;1,N(O102)*(N102-1),0)</f>
        <v/>
      </c>
      <c r="S102">
        <f>IFERROR(L102*MAX(N102,1)/R102*IF(ISBLANK(K98),1,K98),0)</f>
        <v/>
      </c>
      <c r="AB102" s="7" t="inlineStr">
        <is>
          <t>^Warhead_Inferno_Heavy</t>
        </is>
      </c>
    </row>
    <row r="103">
      <c r="A103" t="inlineStr">
        <is>
          <t>redalert</t>
        </is>
      </c>
      <c r="B103" t="inlineStr">
        <is>
          <t>ra1_soviets_heavyindustrialminer</t>
        </is>
      </c>
      <c r="C103" t="inlineStr">
        <is>
          <t>Soviet Heavy Industrial Miner</t>
        </is>
      </c>
      <c r="D103" s="6" t="inlineStr">
        <is>
          <t>Harvester</t>
        </is>
      </c>
      <c r="E103" s="6" t="n">
        <v>135000</v>
      </c>
      <c r="F103" s="6" t="n">
        <v>80</v>
      </c>
      <c r="G103" t="inlineStr">
        <is>
          <t>Medium</t>
        </is>
      </c>
      <c r="H103" s="6" t="n">
        <v>0.8919</v>
      </c>
      <c r="I103" s="6" t="n">
        <v>1</v>
      </c>
      <c r="J103" s="6" t="n">
        <v>1</v>
      </c>
      <c r="K103" s="6" t="n"/>
      <c r="X103" s="6" t="n">
        <v>1200</v>
      </c>
    </row>
    <row r="104">
      <c r="A104" t="inlineStr">
        <is>
          <t>redalert</t>
        </is>
      </c>
      <c r="B104" t="inlineStr">
        <is>
          <t>ra1_soviets_heavytank</t>
        </is>
      </c>
      <c r="C104" t="inlineStr">
        <is>
          <t>Soviet Heavy Tank</t>
        </is>
      </c>
      <c r="D104" s="6" t="inlineStr">
        <is>
          <t>MainBattleTank</t>
        </is>
      </c>
      <c r="E104" s="6" t="n">
        <v>150000</v>
      </c>
      <c r="F104" s="6" t="n">
        <v>70</v>
      </c>
      <c r="G104" t="inlineStr">
        <is>
          <t>Heavy</t>
        </is>
      </c>
      <c r="H104" s="6" t="n">
        <v>1</v>
      </c>
      <c r="I104" s="6" t="n">
        <v>1</v>
      </c>
      <c r="J104" s="6" t="n">
        <v>1</v>
      </c>
      <c r="K104" s="6" t="n"/>
      <c r="P104">
        <f>MAX(P105,P106)</f>
        <v/>
      </c>
      <c r="S104">
        <f>S105+S106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(((E104/240000)+(F104/95)+(S104/600)+((P104/5500)*J104))*800/4+(((E104/240000)*(F104/95))+(((P104/5500)*J104)*(S104/600)))*800/2+((E104/240000)*(F104/95)*((P104/5500)*J104)*(S104/600))*800)*(H104/1.0)/3</f>
        <v/>
      </c>
      <c r="X104" s="6" t="n">
        <v>1000</v>
      </c>
      <c r="Y104">
        <f>IFERROR(W104-X104,"")</f>
        <v/>
      </c>
      <c r="Z104">
        <f>IFERROR(ABS(Y104)/MAX(X104,1),"")</f>
        <v/>
      </c>
      <c r="AA104">
        <f>IFERROR(ROUND(((3*X104-(((E104/240000)+(F104/95)+(S104/600))*800/4+((E104/240000)*(F104/95))*800/2)*(H104/1.0))/(800/4+((S104/600))*800/2+((E104/240000)*(F104/95)*(S104/600))*800)*(H104/1.0)*5500)/J104,-1),"")</f>
        <v/>
      </c>
    </row>
    <row r="105">
      <c r="B105" s="7" t="inlineStr">
        <is>
          <t xml:space="preserve">  ↳ 105mm</t>
        </is>
      </c>
      <c r="C105" s="7" t="inlineStr">
        <is>
          <t>Armament</t>
        </is>
      </c>
      <c r="L105" s="6" t="n">
        <v>10000</v>
      </c>
      <c r="M105" s="6" t="n">
        <v>76</v>
      </c>
      <c r="N105" s="6" t="n">
        <v>2</v>
      </c>
      <c r="O105" s="6" t="n">
        <v>5</v>
      </c>
      <c r="P105" s="6" t="n">
        <v>5469</v>
      </c>
      <c r="Q105" s="6" t="n">
        <v>1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^Warhead_CannonHE_Medium</t>
        </is>
      </c>
    </row>
    <row r="106">
      <c r="B106" s="7" t="inlineStr">
        <is>
          <t xml:space="preserve">  ↳ 105mmThermobaric</t>
        </is>
      </c>
      <c r="C106" s="7" t="inlineStr">
        <is>
          <t>Armament@Upgrade</t>
        </is>
      </c>
      <c r="L106" s="6" t="n">
        <v>12000</v>
      </c>
      <c r="M106" s="6" t="n">
        <v>76</v>
      </c>
      <c r="N106" s="6" t="n">
        <v>2</v>
      </c>
      <c r="O106" s="6" t="n">
        <v>5</v>
      </c>
      <c r="P106" s="6" t="n">
        <v>5469</v>
      </c>
      <c r="Q106" s="6" t="n">
        <v>1</v>
      </c>
      <c r="R106">
        <f>M106+IF(N106&gt;1,N(O106)*(N106-1),0)</f>
        <v/>
      </c>
      <c r="S106">
        <f>IFERROR(L106*MAX(N106,1)/R106*IF(ISBLANK(K104),1,K104),0)</f>
        <v/>
      </c>
      <c r="AB106" s="7" t="inlineStr">
        <is>
          <t>^Warhead_Flame_Medium, ^Warhead_CannonHE_Medium</t>
        </is>
      </c>
    </row>
    <row r="107">
      <c r="A107" t="inlineStr">
        <is>
          <t>redalert</t>
        </is>
      </c>
      <c r="B107" t="inlineStr">
        <is>
          <t>ra1_soviets_heavyteslatank</t>
        </is>
      </c>
      <c r="C107" t="inlineStr">
        <is>
          <t>Heavy Tesla Tank</t>
        </is>
      </c>
      <c r="D107" s="6" t="inlineStr">
        <is>
          <t>HighTechTank</t>
        </is>
      </c>
      <c r="E107" s="6" t="n">
        <v>150000</v>
      </c>
      <c r="F107" s="6" t="n">
        <v>60</v>
      </c>
      <c r="G107" t="inlineStr">
        <is>
          <t>Superheavy</t>
        </is>
      </c>
      <c r="H107" s="6" t="n">
        <v>0.75</v>
      </c>
      <c r="I107" s="6" t="n">
        <v>1</v>
      </c>
      <c r="J107" s="6" t="n">
        <v>1.25</v>
      </c>
      <c r="K107" s="6" t="n"/>
      <c r="P107">
        <f>MAX(P108,P109,P110)</f>
        <v/>
      </c>
      <c r="S107">
        <f>S108+S109+S110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(((E107/700000)+(F107/65)+(S107/2000)+((P107/6500)*J107))*2000/4+(((E107/700000)*(F107/65))+(((P107/6500)*J107)*(S107/2000)))*2000/2+((E107/700000)*(F107/65)*((P107/6500)*J107)*(S107/2000))*2000)*(H107/0.75)/3</f>
        <v/>
      </c>
      <c r="X107" s="6" t="n">
        <v>3500</v>
      </c>
      <c r="Y107">
        <f>IFERROR(W107-X107,"")</f>
        <v/>
      </c>
      <c r="Z107">
        <f>IFERROR(ABS(Y107)/MAX(X107,1),"")</f>
        <v/>
      </c>
      <c r="AA107">
        <f>IFERROR(ROUND(((3*X107-(((E107/700000)+(F107/65)+(S107/2000))*2000/4+((E107/700000)*(F107/65))*2000/2)*(H107/0.75))/(2000/4+((S107/2000))*2000/2+((E107/700000)*(F107/65)*(S107/2000))*2000)*(H107/0.75)*6500)/J107,-1),"")</f>
        <v/>
      </c>
    </row>
    <row r="108">
      <c r="B108" s="7" t="inlineStr">
        <is>
          <t xml:space="preserve">  ↳ PointDefenseTesla</t>
        </is>
      </c>
      <c r="C108" s="7" t="inlineStr">
        <is>
          <t>Armament@pointdefense</t>
        </is>
      </c>
      <c r="L108" s="6" t="n">
        <v>10000</v>
      </c>
      <c r="M108" s="6" t="n">
        <v>10</v>
      </c>
      <c r="N108" s="6" t="n">
        <v>1</v>
      </c>
      <c r="O108" s="6" t="n"/>
      <c r="P108" s="6" t="n">
        <v>6650</v>
      </c>
      <c r="Q108" s="6" t="n">
        <v>1.25</v>
      </c>
      <c r="R108">
        <f>M108+IF(N108&gt;1,N(O108)*(N108-1),0)</f>
        <v/>
      </c>
      <c r="S108">
        <f>IFERROR(L108*MAX(N108,1)/R108*IF(ISBLANK(K107),1,K107),0)</f>
        <v/>
      </c>
      <c r="AB108" s="7" t="inlineStr">
        <is>
          <t>^Warhead_Tesla_Heavy</t>
        </is>
      </c>
    </row>
    <row r="109">
      <c r="B109" s="7" t="inlineStr">
        <is>
          <t xml:space="preserve">  ↳ TTankZap2_EMP</t>
        </is>
      </c>
      <c r="C109" s="7" t="inlineStr">
        <is>
          <t>Armament</t>
        </is>
      </c>
      <c r="L109" s="6" t="n">
        <v>40000</v>
      </c>
      <c r="M109" s="6" t="n">
        <v>80</v>
      </c>
      <c r="N109" s="6" t="n">
        <v>1</v>
      </c>
      <c r="O109" s="6" t="n"/>
      <c r="P109" s="6" t="n">
        <v>6650</v>
      </c>
      <c r="Q109" s="6" t="n">
        <v>1</v>
      </c>
      <c r="R109">
        <f>M109+IF(N109&gt;1,N(O109)*(N109-1),0)</f>
        <v/>
      </c>
      <c r="S109">
        <f>IFERROR(L109*MAX(N109,1)/R109*IF(ISBLANK(K107),1,K107),0)</f>
        <v/>
      </c>
      <c r="AB109" s="7" t="inlineStr">
        <is>
          <t>^Warhead_Tesla_Super</t>
        </is>
      </c>
    </row>
    <row r="110">
      <c r="B110" s="7" t="inlineStr">
        <is>
          <t xml:space="preserve">  ↳ TTankZap2Arc_EMP</t>
        </is>
      </c>
      <c r="C110" s="7" t="inlineStr">
        <is>
          <t>Armament@Arcing</t>
        </is>
      </c>
      <c r="L110" s="6" t="n">
        <v>40000</v>
      </c>
      <c r="M110" s="6" t="n">
        <v>80</v>
      </c>
      <c r="N110" s="6" t="n">
        <v>1</v>
      </c>
      <c r="O110" s="6" t="n"/>
      <c r="P110" s="6" t="n">
        <v>6650</v>
      </c>
      <c r="Q110" s="6" t="n">
        <v>1</v>
      </c>
      <c r="R110">
        <f>M110+IF(N110&gt;1,N(O110)*(N110-1),0)</f>
        <v/>
      </c>
      <c r="S110">
        <f>IFERROR(L110*MAX(N110,1)/R110*IF(ISBLANK(K107),1,K107),0)</f>
        <v/>
      </c>
      <c r="AB110" s="7" t="inlineStr">
        <is>
          <t>^Warhead_Tesla_Super</t>
        </is>
      </c>
    </row>
    <row r="111">
      <c r="A111" t="inlineStr">
        <is>
          <t>redalert</t>
        </is>
      </c>
      <c r="B111" t="inlineStr">
        <is>
          <t>ra1_soviets_kotinnucleartank</t>
        </is>
      </c>
      <c r="C111" t="inlineStr">
        <is>
          <t>Kotin Nuclear Tank</t>
        </is>
      </c>
      <c r="D111" s="6" t="inlineStr">
        <is>
          <t>MainBattleTank</t>
        </is>
      </c>
      <c r="E111" s="6" t="n">
        <v>240000</v>
      </c>
      <c r="F111" s="6" t="n">
        <v>65</v>
      </c>
      <c r="G111" t="inlineStr">
        <is>
          <t>Heavy</t>
        </is>
      </c>
      <c r="H111" s="6" t="n">
        <v>1</v>
      </c>
      <c r="I111" s="6" t="n">
        <v>1</v>
      </c>
      <c r="J111" s="6" t="n">
        <v>1.25</v>
      </c>
      <c r="K111" s="6" t="n"/>
      <c r="P111">
        <f>MAX(P112,P113)</f>
        <v/>
      </c>
      <c r="S111">
        <f>S112+S113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(((E111/240000)+(F111/95)+(S111/600)+((P111/5500)*J111))*800/4+(((E111/240000)*(F111/95))+(((P111/5500)*J111)*(S111/600)))*800/2+((E111/240000)*(F111/95)*((P111/5500)*J111)*(S111/600))*800)*(H111/1.0)/3</f>
        <v/>
      </c>
      <c r="X111" s="6" t="n">
        <v>1800</v>
      </c>
      <c r="Y111">
        <f>IFERROR(W111-X111,"")</f>
        <v/>
      </c>
      <c r="Z111">
        <f>IFERROR(ABS(Y111)/MAX(X111,1),"")</f>
        <v/>
      </c>
      <c r="AA111">
        <f>IFERROR(ROUND(((3*X111-(((E111/240000)+(F111/95)+(S111/600))*800/4+((E111/240000)*(F111/95))*800/2)*(H111/1.0))/(800/4+((S111/600))*800/2+((E111/240000)*(F111/95)*(S111/600))*800)*(H111/1.0)*5500)/J111,-1),"")</f>
        <v/>
      </c>
    </row>
    <row r="112">
      <c r="B112" s="7" t="inlineStr">
        <is>
          <t xml:space="preserve">  ↳ KotinCannon</t>
        </is>
      </c>
      <c r="C112" s="7" t="inlineStr">
        <is>
          <t>Armament</t>
        </is>
      </c>
      <c r="L112" s="6" t="n">
        <v>12000</v>
      </c>
      <c r="M112" s="6" t="n">
        <v>96</v>
      </c>
      <c r="N112" s="6" t="n">
        <v>2</v>
      </c>
      <c r="O112" s="6" t="n">
        <v>4</v>
      </c>
      <c r="P112" s="6" t="n">
        <v>6427</v>
      </c>
      <c r="Q112" s="6" t="n">
        <v>1.125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^Warhead_CannonHE_Heavy, ^Warhead_CannonHE_Medium</t>
        </is>
      </c>
    </row>
    <row r="113">
      <c r="B113" s="7" t="inlineStr">
        <is>
          <t xml:space="preserve">  ↳ KotinCannonThermobaric</t>
        </is>
      </c>
      <c r="C113" s="7" t="inlineStr">
        <is>
          <t>Armament@Upgrade</t>
        </is>
      </c>
      <c r="L113" s="6" t="n">
        <v>16000</v>
      </c>
      <c r="M113" s="6" t="n">
        <v>96</v>
      </c>
      <c r="N113" s="6" t="n">
        <v>2</v>
      </c>
      <c r="O113" s="6" t="n">
        <v>4</v>
      </c>
      <c r="P113" s="6" t="n">
        <v>6427</v>
      </c>
      <c r="Q113" s="6" t="n">
        <v>1</v>
      </c>
      <c r="R113">
        <f>M113+IF(N113&gt;1,N(O113)*(N113-1),0)</f>
        <v/>
      </c>
      <c r="S113">
        <f>IFERROR(L113*MAX(N113,1)/R113*IF(ISBLANK(K111),1,K111),0)</f>
        <v/>
      </c>
      <c r="AB113" s="7" t="inlineStr">
        <is>
          <t>^Warhead_Demolition_Heavy, ^Warhead_Flame_Medium, ^Warhead_CannonHE_Heavy, ^Warhead_CannonHE_Medium</t>
        </is>
      </c>
    </row>
    <row r="114">
      <c r="A114" t="inlineStr">
        <is>
          <t>redalert</t>
        </is>
      </c>
      <c r="B114" t="inlineStr">
        <is>
          <t>ra1_soviets_madtank</t>
        </is>
      </c>
      <c r="C114" t="inlineStr">
        <is>
          <t>MAD Tank</t>
        </is>
      </c>
      <c r="D114" s="6" t="inlineStr">
        <is>
          <t>EpicVehicle</t>
        </is>
      </c>
      <c r="E114" s="6" t="n">
        <v>300000</v>
      </c>
      <c r="F114" s="6" t="n">
        <v>60</v>
      </c>
      <c r="G114" t="inlineStr">
        <is>
          <t>Superheavy</t>
        </is>
      </c>
      <c r="H114" s="6" t="n">
        <v>0.4925</v>
      </c>
      <c r="I114" s="6" t="n">
        <v>1</v>
      </c>
      <c r="J114" s="6" t="n">
        <v>1</v>
      </c>
      <c r="K114" s="6" t="n"/>
      <c r="X114" s="6" t="n">
        <v>3000</v>
      </c>
    </row>
    <row r="115">
      <c r="B115" s="7" t="inlineStr">
        <is>
          <t xml:space="preserve">  ↳ MADTankTargeting</t>
        </is>
      </c>
      <c r="C115" s="7" t="inlineStr">
        <is>
          <t>Armament@PRIMARY</t>
        </is>
      </c>
      <c r="L115" s="6" t="n"/>
      <c r="M115" s="6" t="n"/>
      <c r="N115" s="6" t="n">
        <v>1</v>
      </c>
      <c r="O115" s="6" t="n"/>
      <c r="P115" s="6" t="n">
        <v>2500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>
        <is>
          <t>DemoTruckTargeting</t>
        </is>
      </c>
    </row>
    <row r="116">
      <c r="A116" t="inlineStr">
        <is>
          <t>redalert</t>
        </is>
      </c>
      <c r="B116" t="inlineStr">
        <is>
          <t>ra1_soviets_mammothtank</t>
        </is>
      </c>
      <c r="C116" t="inlineStr">
        <is>
          <t>Soviet Mammoth Tank</t>
        </is>
      </c>
      <c r="D116" s="6" t="inlineStr">
        <is>
          <t>HighTechTank</t>
        </is>
      </c>
      <c r="E116" s="6" t="n">
        <v>375000</v>
      </c>
      <c r="F116" s="6" t="n">
        <v>50</v>
      </c>
      <c r="G116" t="inlineStr">
        <is>
          <t>Superheavy</t>
        </is>
      </c>
      <c r="H116" s="6" t="n">
        <v>0.75</v>
      </c>
      <c r="I116" s="6" t="n">
        <v>1</v>
      </c>
      <c r="J116" s="6" t="n">
        <v>1</v>
      </c>
      <c r="K116" s="6" t="n"/>
      <c r="P116">
        <f>MAX(P117,P118,P119,P120,P121,P122,P123,P124,P125,P126)</f>
        <v/>
      </c>
      <c r="S116">
        <f>S117+S118+S119+S120+S121+S122+S123+S124+S125+S126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(((E116/700000)+(F116/65)+(S116/2000)+((P116/6500)*J116))*2000/4+(((E116/700000)*(F116/65))+(((P116/6500)*J116)*(S116/2000)))*2000/2+((E116/700000)*(F116/65)*((P116/6500)*J116)*(S116/2000))*2000)*(H116/0.75)/3</f>
        <v/>
      </c>
      <c r="X116" s="6" t="n">
        <v>2000</v>
      </c>
      <c r="Y116">
        <f>IFERROR(W116-X116,"")</f>
        <v/>
      </c>
      <c r="Z116">
        <f>IFERROR(ABS(Y116)/MAX(X116,1),"")</f>
        <v/>
      </c>
      <c r="AA116">
        <f>IFERROR(ROUND(((3*X116-(((E116/700000)+(F116/65)+(S116/2000))*2000/4+((E116/700000)*(F116/65))*2000/2)*(H116/0.75))/(2000/4+((S116/2000))*2000/2+((E116/700000)*(F116/65)*(S116/2000))*2000)*(H116/0.75)*6500)/J116,-1),"")</f>
        <v/>
      </c>
    </row>
    <row r="117">
      <c r="B117" s="7" t="inlineStr">
        <is>
          <t xml:space="preserve">  ↳ ra120mm</t>
        </is>
      </c>
      <c r="C117" s="7" t="inlineStr">
        <is>
          <t>Armament@PRIMARY</t>
        </is>
      </c>
      <c r="L117" s="6" t="n">
        <v>24000</v>
      </c>
      <c r="M117" s="6" t="n">
        <v>95</v>
      </c>
      <c r="N117" s="6" t="n">
        <v>2</v>
      </c>
      <c r="O117" s="6" t="n">
        <v>8</v>
      </c>
      <c r="P117" s="6" t="n">
        <v>6412</v>
      </c>
      <c r="Q117" s="6" t="n">
        <v>1</v>
      </c>
      <c r="R117">
        <f>M117+IF(N117&gt;1,N(O117)*(N117-1),0)</f>
        <v/>
      </c>
      <c r="S117">
        <f>IFERROR(L117*MAX(N117,1)/R117*IF(ISBLANK(K116),1,K116),0)</f>
        <v/>
      </c>
      <c r="AB117" s="7" t="inlineStr">
        <is>
          <t>^HeavyCannon, ^MediumCannon, ^ShrapnelWeapon, ^TankDestroyerCannon</t>
        </is>
      </c>
    </row>
    <row r="118">
      <c r="B118" s="7" t="inlineStr">
        <is>
          <t xml:space="preserve">  ↳ ra120mmTargetingComputer</t>
        </is>
      </c>
      <c r="C118" s="7" t="inlineStr">
        <is>
          <t>Armament@PRIMARYTargetingComputer</t>
        </is>
      </c>
      <c r="L118" s="6" t="n">
        <v>24000</v>
      </c>
      <c r="M118" s="6" t="n">
        <v>95</v>
      </c>
      <c r="N118" s="6" t="n">
        <v>2</v>
      </c>
      <c r="O118" s="6" t="n">
        <v>8</v>
      </c>
      <c r="P118" s="6" t="n">
        <v>6412</v>
      </c>
      <c r="Q118" s="6" t="n">
        <v>1</v>
      </c>
      <c r="R118">
        <f>M118+IF(N118&gt;1,N(O118)*(N118-1),0)</f>
        <v/>
      </c>
      <c r="S118">
        <f>IFERROR(L118*MAX(N118,1)/R118*IF(ISBLANK(K116),1,K116),0)</f>
        <v/>
      </c>
      <c r="AB118" s="7" t="inlineStr">
        <is>
          <t>ra120mm</t>
        </is>
      </c>
    </row>
    <row r="119">
      <c r="B119" s="7" t="inlineStr">
        <is>
          <t xml:space="preserve">  ↳ ra120mmThermobaric</t>
        </is>
      </c>
      <c r="C119" s="7" t="inlineStr">
        <is>
          <t>Armament@Upgrade</t>
        </is>
      </c>
      <c r="L119" s="6" t="n">
        <v>24000</v>
      </c>
      <c r="M119" s="6" t="n">
        <v>95</v>
      </c>
      <c r="N119" s="6" t="n">
        <v>2</v>
      </c>
      <c r="O119" s="6" t="n">
        <v>8</v>
      </c>
      <c r="P119" s="6" t="n">
        <v>6412</v>
      </c>
      <c r="Q119" s="6" t="n">
        <v>1</v>
      </c>
      <c r="R119">
        <f>M119+IF(N119&gt;1,N(O119)*(N119-1),0)</f>
        <v/>
      </c>
      <c r="S119">
        <f>IFERROR(L119*MAX(N119,1)/R119*IF(ISBLANK(K116),1,K116),0)</f>
        <v/>
      </c>
      <c r="AB119" s="7" t="inlineStr">
        <is>
          <t>^Warhead_CannonHE_Heavy, ^Warhead_Flame_Heavy, ^Warhead_Demolition_Heavy</t>
        </is>
      </c>
    </row>
    <row r="120">
      <c r="B120" s="7" t="inlineStr">
        <is>
          <t xml:space="preserve">  ↳ ra120mmThermobaricTargetingComputer</t>
        </is>
      </c>
      <c r="C120" s="7" t="inlineStr">
        <is>
          <t>Armament@UpgradeTargetingComputer</t>
        </is>
      </c>
      <c r="L120" s="6" t="n">
        <v>24000</v>
      </c>
      <c r="M120" s="6" t="n">
        <v>95</v>
      </c>
      <c r="N120" s="6" t="n">
        <v>2</v>
      </c>
      <c r="O120" s="6" t="n">
        <v>8</v>
      </c>
      <c r="P120" s="6" t="n">
        <v>6412</v>
      </c>
      <c r="Q120" s="6" t="n">
        <v>1</v>
      </c>
      <c r="R120">
        <f>M120+IF(N120&gt;1,N(O120)*(N120-1),0)</f>
        <v/>
      </c>
      <c r="S120">
        <f>IFERROR(L120*MAX(N120,1)/R120*IF(ISBLANK(K116),1,K116),0)</f>
        <v/>
      </c>
      <c r="AB120" s="7" t="inlineStr">
        <is>
          <t>^Warhead_CannonHE_Heavy, ^Warhead_Flame_Heavy, ^Warhead_Demolition_Heavy</t>
        </is>
      </c>
    </row>
    <row r="121">
      <c r="B121" s="7" t="inlineStr">
        <is>
          <t xml:space="preserve">  ↳ MammothTusk</t>
        </is>
      </c>
      <c r="C121" s="7" t="inlineStr">
        <is>
          <t>Armament@SECONDARY</t>
        </is>
      </c>
      <c r="L121" s="6" t="n">
        <v>24000</v>
      </c>
      <c r="M121" s="6" t="n">
        <v>91</v>
      </c>
      <c r="N121" s="6" t="n">
        <v>2</v>
      </c>
      <c r="O121" s="6" t="n">
        <v>12</v>
      </c>
      <c r="P121" s="6" t="n">
        <v>6412</v>
      </c>
      <c r="Q121" s="6" t="n">
        <v>1</v>
      </c>
      <c r="R121">
        <f>M121+IF(N121&gt;1,N(O121)*(N121-1),0)</f>
        <v/>
      </c>
      <c r="S121">
        <f>IFERROR(L121*MAX(N121,1)/R121*IF(ISBLANK(K116),1,K116),0)</f>
        <v/>
      </c>
      <c r="AB121" s="7" t="inlineStr">
        <is>
          <t>^Grenade, ^FlakWeapon, ^MediumMissile, ^HeavyMissile, ^ImpactGlow</t>
        </is>
      </c>
    </row>
    <row r="122">
      <c r="B122" s="7" t="inlineStr">
        <is>
          <t xml:space="preserve">  ↳ MammothTuskTargetingComputer</t>
        </is>
      </c>
      <c r="C122" s="7" t="inlineStr">
        <is>
          <t>Armament@SECONDARYTargetingComputer</t>
        </is>
      </c>
      <c r="L122" s="6" t="n">
        <v>24000</v>
      </c>
      <c r="M122" s="6" t="n">
        <v>91</v>
      </c>
      <c r="N122" s="6" t="n">
        <v>2</v>
      </c>
      <c r="O122" s="6" t="n">
        <v>12</v>
      </c>
      <c r="P122" s="6" t="n">
        <v>6412</v>
      </c>
      <c r="Q122" s="6" t="n">
        <v>1</v>
      </c>
      <c r="R122">
        <f>M122+IF(N122&gt;1,N(O122)*(N122-1),0)</f>
        <v/>
      </c>
      <c r="S122">
        <f>IFERROR(L122*MAX(N122,1)/R122*IF(ISBLANK(K116),1,K116),0)</f>
        <v/>
      </c>
      <c r="AB122" s="7" t="inlineStr">
        <is>
          <t>MammothTusk</t>
        </is>
      </c>
    </row>
    <row r="123">
      <c r="B123" s="7" t="inlineStr">
        <is>
          <t xml:space="preserve">  ↳ MammothTuskTesla</t>
        </is>
      </c>
      <c r="C123" s="7" t="inlineStr">
        <is>
          <t>Armament@TeslaSECONDARY</t>
        </is>
      </c>
      <c r="L123" s="6" t="n">
        <v>32000</v>
      </c>
      <c r="M123" s="6" t="n">
        <v>91</v>
      </c>
      <c r="N123" s="6" t="n">
        <v>2</v>
      </c>
      <c r="O123" s="6" t="n">
        <v>12</v>
      </c>
      <c r="P123" s="6" t="n">
        <v>6412</v>
      </c>
      <c r="Q123" s="6" t="n">
        <v>1</v>
      </c>
      <c r="R123">
        <f>M123+IF(N123&gt;1,N(O123)*(N123-1),0)</f>
        <v/>
      </c>
      <c r="S123">
        <f>IFERROR(L123*MAX(N123,1)/R123*IF(ISBLANK(K116),1,K116),0)</f>
        <v/>
      </c>
      <c r="AB123" s="7" t="inlineStr">
        <is>
          <t>^Grenade, ^LightFlameWeapon, ^TeslaWeapon, ^HeavyMissile, ^Effect_Tesla_Impact_RA2</t>
        </is>
      </c>
    </row>
    <row r="124">
      <c r="B124" s="7" t="inlineStr">
        <is>
          <t xml:space="preserve">  ↳ MammothTuskTeslaTargetingComputer</t>
        </is>
      </c>
      <c r="C124" s="7" t="inlineStr">
        <is>
          <t>Armament@TeslaSECONDARYTargetingComputer</t>
        </is>
      </c>
      <c r="L124" s="6" t="n">
        <v>32000</v>
      </c>
      <c r="M124" s="6" t="n">
        <v>91</v>
      </c>
      <c r="N124" s="6" t="n">
        <v>2</v>
      </c>
      <c r="O124" s="6" t="n">
        <v>12</v>
      </c>
      <c r="P124" s="6" t="n">
        <v>6412</v>
      </c>
      <c r="Q124" s="6" t="n">
        <v>1</v>
      </c>
      <c r="R124">
        <f>M124+IF(N124&gt;1,N(O124)*(N124-1),0)</f>
        <v/>
      </c>
      <c r="S124">
        <f>IFERROR(L124*MAX(N124,1)/R124*IF(ISBLANK(K116),1,K116),0)</f>
        <v/>
      </c>
      <c r="AB124" s="7" t="inlineStr">
        <is>
          <t>MammothTuskTesla</t>
        </is>
      </c>
    </row>
    <row r="125">
      <c r="B125" s="7" t="inlineStr">
        <is>
          <t xml:space="preserve">  ↳ MammothTuskThermobaric</t>
        </is>
      </c>
      <c r="C125" s="7" t="inlineStr">
        <is>
          <t>Armament@NukeSECONDARY</t>
        </is>
      </c>
      <c r="L125" s="6" t="n">
        <v>32000</v>
      </c>
      <c r="M125" s="6" t="n">
        <v>91</v>
      </c>
      <c r="N125" s="6" t="n">
        <v>2</v>
      </c>
      <c r="O125" s="6" t="n">
        <v>12</v>
      </c>
      <c r="P125" s="6" t="n">
        <v>6412</v>
      </c>
      <c r="Q125" s="6" t="n">
        <v>1</v>
      </c>
      <c r="R125">
        <f>M125+IF(N125&gt;1,N(O125)*(N125-1),0)</f>
        <v/>
      </c>
      <c r="S125">
        <f>IFERROR(L125*MAX(N125,1)/R125*IF(ISBLANK(K116),1,K116),0)</f>
        <v/>
      </c>
      <c r="AB125" s="7" t="inlineStr">
        <is>
          <t>^LightFlameWeapon, ^MediumFlameWeapon, ^HeavyFlameWeapon, ^Grenade, ^FlakWeapon, ^ShrapnelWeapon, ^MediumMissile, ^HeavyMissile</t>
        </is>
      </c>
    </row>
    <row r="126">
      <c r="B126" s="7" t="inlineStr">
        <is>
          <t xml:space="preserve">  ↳ MammothTuskThermobaricTargetingComputer</t>
        </is>
      </c>
      <c r="C126" s="7" t="inlineStr">
        <is>
          <t>Armament@NukeSECONDARYTargetingComputer</t>
        </is>
      </c>
      <c r="L126" s="6" t="n">
        <v>32000</v>
      </c>
      <c r="M126" s="6" t="n">
        <v>91</v>
      </c>
      <c r="N126" s="6" t="n">
        <v>2</v>
      </c>
      <c r="O126" s="6" t="n">
        <v>12</v>
      </c>
      <c r="P126" s="6" t="n">
        <v>6412</v>
      </c>
      <c r="Q126" s="6" t="n">
        <v>1</v>
      </c>
      <c r="R126">
        <f>M126+IF(N126&gt;1,N(O126)*(N126-1),0)</f>
        <v/>
      </c>
      <c r="S126">
        <f>IFERROR(L126*MAX(N126,1)/R126*IF(ISBLANK(K116),1,K116),0)</f>
        <v/>
      </c>
      <c r="AB126" s="7" t="inlineStr">
        <is>
          <t>MammothTuskThermobaric</t>
        </is>
      </c>
    </row>
    <row r="127">
      <c r="A127" t="inlineStr">
        <is>
          <t>redalert</t>
        </is>
      </c>
      <c r="B127" t="inlineStr">
        <is>
          <t>ra1_soviets_mobileconstructionvehicle</t>
        </is>
      </c>
      <c r="C127" t="inlineStr">
        <is>
          <t>Soviet Mobile Construction Vehicle</t>
        </is>
      </c>
      <c r="D127" s="6" t="inlineStr">
        <is>
          <t>SupportVehicle</t>
        </is>
      </c>
      <c r="E127" s="6" t="n">
        <v>300000</v>
      </c>
      <c r="F127" s="6" t="n">
        <v>75</v>
      </c>
      <c r="G127" t="inlineStr">
        <is>
          <t>Medium</t>
        </is>
      </c>
      <c r="H127" s="6" t="n">
        <v>0.8048999999999999</v>
      </c>
      <c r="I127" s="6" t="n">
        <v>1</v>
      </c>
      <c r="J127" s="6" t="n">
        <v>1</v>
      </c>
      <c r="K127" s="6" t="n"/>
      <c r="X127" s="6" t="n">
        <v>5000</v>
      </c>
    </row>
    <row r="128">
      <c r="A128" t="inlineStr">
        <is>
          <t>redalert</t>
        </is>
      </c>
      <c r="B128" t="inlineStr">
        <is>
          <t>ra1_soviets_monstertank</t>
        </is>
      </c>
      <c r="C128" t="inlineStr">
        <is>
          <t>Monster Tank</t>
        </is>
      </c>
      <c r="D128" s="6" t="inlineStr">
        <is>
          <t>EpicVehicle</t>
        </is>
      </c>
      <c r="E128" s="6" t="n">
        <v>1000000</v>
      </c>
      <c r="F128" s="6" t="n">
        <v>45</v>
      </c>
      <c r="G128" t="inlineStr">
        <is>
          <t>Superheavy</t>
        </is>
      </c>
      <c r="H128" s="6" t="n">
        <v>0.75</v>
      </c>
      <c r="I128" s="6" t="n">
        <v>0.4</v>
      </c>
      <c r="J128" s="6" t="n">
        <v>1</v>
      </c>
      <c r="K128" s="6" t="n">
        <v>0.0105</v>
      </c>
      <c r="P128">
        <f>MAX(P129,P130,P131,P132,P133)</f>
        <v/>
      </c>
      <c r="S128">
        <f>S129+S130+S131+S132+S133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(((E128/4000000)+(F128/60)+(S128/20000)+((P128/8500)*J128))*10000/4+(((E128/4000000)*(F128/60))+(((P128/8500)*J128)*(S128/20000)))*10000/2+((E128/4000000)*(F128/60)*((P128/8500)*J128)*(S128/20000))*10000)*(H128/0.75)/3</f>
        <v/>
      </c>
      <c r="X128" s="6" t="n">
        <v>10000</v>
      </c>
      <c r="Y128">
        <f>IFERROR(W128-X128,"")</f>
        <v/>
      </c>
      <c r="Z128">
        <f>IFERROR(ABS(Y128)/MAX(X128,1),"")</f>
        <v/>
      </c>
      <c r="AA128">
        <f>IFERROR(ROUND(((3*X128-(((E128/4000000)+(F128/60)+(S128/20000))*10000/4+((E128/4000000)*(F128/60))*10000/2)*(H128/0.75))/(10000/4+((S128/20000))*10000/2+((E128/4000000)*(F128/60)*(S128/20000))*10000)*(H128/0.75)*8500)/J128,-1),"")</f>
        <v/>
      </c>
    </row>
    <row r="129">
      <c r="B129" s="7" t="inlineStr">
        <is>
          <t xml:space="preserve">  ↳ MonsterTank120mm</t>
        </is>
      </c>
      <c r="C129" s="7" t="inlineStr">
        <is>
          <t>Armament@PRIMARY</t>
        </is>
      </c>
      <c r="L129" s="6" t="n">
        <v>80000</v>
      </c>
      <c r="M129" s="6" t="n">
        <v>103</v>
      </c>
      <c r="N129" s="6" t="n">
        <v>2</v>
      </c>
      <c r="O129" s="6" t="n">
        <v>32</v>
      </c>
      <c r="P129" s="6" t="n">
        <v>7833</v>
      </c>
      <c r="Q129" s="6" t="n">
        <v>1.25</v>
      </c>
      <c r="R129">
        <f>M129+IF(N129&gt;1,N(O129)*(N129-1),0)</f>
        <v/>
      </c>
      <c r="S129">
        <f>IFERROR(L129*MAX(N129,1)/R129*IF(ISBLANK(K128),1,K128),0)</f>
        <v/>
      </c>
      <c r="AB129" s="7" t="inlineStr">
        <is>
          <t>^Warhead_CannonHE_Heavy</t>
        </is>
      </c>
    </row>
    <row r="130">
      <c r="B130" s="7" t="inlineStr">
        <is>
          <t xml:space="preserve">  ↳ MonsterTank120mmThermobaric</t>
        </is>
      </c>
      <c r="C130" s="7" t="inlineStr">
        <is>
          <t>Armament@Upgrade</t>
        </is>
      </c>
      <c r="L130" s="6" t="n">
        <v>120000</v>
      </c>
      <c r="M130" s="6" t="n">
        <v>103</v>
      </c>
      <c r="N130" s="6" t="n">
        <v>2</v>
      </c>
      <c r="O130" s="6" t="n">
        <v>32</v>
      </c>
      <c r="P130" s="6" t="n">
        <v>7833</v>
      </c>
      <c r="Q130" s="6" t="n">
        <v>1.25</v>
      </c>
      <c r="R130">
        <f>M130+IF(N130&gt;1,N(O130)*(N130-1),0)</f>
        <v/>
      </c>
      <c r="S130">
        <f>IFERROR(L130*MAX(N130,1)/R130*IF(ISBLANK(K128),1,K128),0)</f>
        <v/>
      </c>
      <c r="AB130" s="7" t="inlineStr">
        <is>
          <t>^Warhead_Flame_Heavy, ^Warhead_CannonHE_Heavy</t>
        </is>
      </c>
    </row>
    <row r="131">
      <c r="B131" s="7" t="inlineStr">
        <is>
          <t xml:space="preserve">  ↳ MonsterTankTusk</t>
        </is>
      </c>
      <c r="C131" s="7" t="inlineStr">
        <is>
          <t>Armament@SECONDARY</t>
        </is>
      </c>
      <c r="L131" s="6" t="n">
        <v>40000</v>
      </c>
      <c r="M131" s="6" t="n">
        <v>125</v>
      </c>
      <c r="N131" s="6" t="n">
        <v>4</v>
      </c>
      <c r="O131" s="6" t="n">
        <v>3</v>
      </c>
      <c r="P131" s="6" t="n">
        <v>7833</v>
      </c>
      <c r="Q131" s="6" t="n">
        <v>1.25</v>
      </c>
      <c r="R131">
        <f>M131+IF(N131&gt;1,N(O131)*(N131-1),0)</f>
        <v/>
      </c>
      <c r="S131">
        <f>IFERROR(L131*MAX(N131,1)/R131*IF(ISBLANK(K128),1,K128),0)</f>
        <v/>
      </c>
      <c r="AB131" s="7" t="inlineStr">
        <is>
          <t>^Warhead_Demolition_Heavy, ^Warhead_MissileHE_Heavy</t>
        </is>
      </c>
    </row>
    <row r="132">
      <c r="B132" s="7" t="inlineStr">
        <is>
          <t xml:space="preserve">  ↳ MonsterTankTuskTesla</t>
        </is>
      </c>
      <c r="C132" s="7" t="inlineStr">
        <is>
          <t>Armament@TeslaSECONDARY</t>
        </is>
      </c>
      <c r="L132" s="6" t="n">
        <v>107000</v>
      </c>
      <c r="M132" s="6" t="n">
        <v>125</v>
      </c>
      <c r="N132" s="6" t="n">
        <v>4</v>
      </c>
      <c r="O132" s="6" t="n">
        <v>3</v>
      </c>
      <c r="P132" s="6" t="n">
        <v>7833</v>
      </c>
      <c r="Q132" s="6" t="n">
        <v>1</v>
      </c>
      <c r="R132">
        <f>M132+IF(N132&gt;1,N(O132)*(N132-1),0)</f>
        <v/>
      </c>
      <c r="S132">
        <f>IFERROR(L132*MAX(N132,1)/R132*IF(ISBLANK(K128),1,K128),0)</f>
        <v/>
      </c>
      <c r="AB132" s="7" t="inlineStr">
        <is>
          <t>^Grenade, ^LightFlameWeapon, ^TeslaWeapon, ^HeavyMissile, ^Effect_Tesla_Impact_RA2</t>
        </is>
      </c>
    </row>
    <row r="133">
      <c r="B133" s="7" t="inlineStr">
        <is>
          <t xml:space="preserve">  ↳ MonsterTankTuskThermobaric</t>
        </is>
      </c>
      <c r="C133" s="7" t="inlineStr">
        <is>
          <t>Armament@NukeSECONDARY</t>
        </is>
      </c>
      <c r="L133" s="6" t="n">
        <v>106000</v>
      </c>
      <c r="M133" s="6" t="n">
        <v>125</v>
      </c>
      <c r="N133" s="6" t="n">
        <v>4</v>
      </c>
      <c r="O133" s="6" t="n">
        <v>3</v>
      </c>
      <c r="P133" s="6" t="n">
        <v>7833</v>
      </c>
      <c r="Q133" s="6" t="n">
        <v>1</v>
      </c>
      <c r="R133">
        <f>M133+IF(N133&gt;1,N(O133)*(N133-1),0)</f>
        <v/>
      </c>
      <c r="S133">
        <f>IFERROR(L133*MAX(N133,1)/R133*IF(ISBLANK(K128),1,K128),0)</f>
        <v/>
      </c>
      <c r="AB133" s="7" t="inlineStr">
        <is>
          <t>^LightFlameWeapon, ^MediumFlameWeapon, ^HeavyFlameWeapon, ^Grenade, ^FlakWeapon, ^ShrapnelWeapon, ^MediumMissile, ^HeavyMissile</t>
        </is>
      </c>
    </row>
    <row r="134">
      <c r="A134" t="inlineStr">
        <is>
          <t>redalert</t>
        </is>
      </c>
      <c r="B134" t="inlineStr">
        <is>
          <t>ra1_soviets_nuclearv2launcher</t>
        </is>
      </c>
      <c r="C134" t="inlineStr">
        <is>
          <t>Nuclear V2 Launcher</t>
        </is>
      </c>
      <c r="D134" s="6" t="inlineStr">
        <is>
          <t>Artillery</t>
        </is>
      </c>
      <c r="E134" s="6" t="n">
        <v>40000</v>
      </c>
      <c r="F134" s="6" t="n">
        <v>80</v>
      </c>
      <c r="G134" t="inlineStr">
        <is>
          <t>Light</t>
        </is>
      </c>
      <c r="H134" s="6" t="n">
        <v>0.4925</v>
      </c>
      <c r="I134" s="6" t="n">
        <v>1</v>
      </c>
      <c r="J134" s="6" t="n">
        <v>1</v>
      </c>
      <c r="K134" s="6" t="n"/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(((E134/60000)+(F134/75)+(S134/500)+((P134/15000)*J134))*500/4+(((E134/60000)*(F134/75))+(((P134/15000)*J134)*(S134/500)))*500/2+((E134/60000)*(F134/75)*((P134/15000)*J134)*(S134/500))*500)*(H134/1.0)/3</f>
        <v/>
      </c>
      <c r="X134" s="6" t="n">
        <v>2300</v>
      </c>
      <c r="Y134">
        <f>IFERROR(W134-X134,"")</f>
        <v/>
      </c>
      <c r="Z134">
        <f>IFERROR(ABS(Y134)/MAX(X134,1),"")</f>
        <v/>
      </c>
      <c r="AA134">
        <f>IFERROR(ROUND(((3*X134-(((E134/60000)+(F134/75)+(S134/500))*500/4+((E134/60000)*(F134/75))*500/2)*(H134/1.0))/(500/4+((S134/500))*500/2+((E134/60000)*(F134/75)*(S134/500))*500)*(H134/1.0)*15000)/J134,-1),"")</f>
        <v/>
      </c>
    </row>
    <row r="135">
      <c r="B135" s="7" t="inlineStr">
        <is>
          <t xml:space="preserve">  ↳ SCUDNUKE</t>
        </is>
      </c>
      <c r="C135" s="7" t="inlineStr">
        <is>
          <t>Armament@PRIMARY</t>
        </is>
      </c>
      <c r="L135" s="6" t="n">
        <v>300000</v>
      </c>
      <c r="M135" s="6" t="n">
        <v>158</v>
      </c>
      <c r="N135" s="6" t="n">
        <v>1</v>
      </c>
      <c r="O135" s="6" t="n"/>
      <c r="P135" s="6" t="n">
        <v>12550</v>
      </c>
      <c r="Q135" s="6" t="n">
        <v>1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^HeavyMissile, ^MediumMissile, ^LightMissile, ^HeavyBomb, ^ShrapnelWeapon, ^Grenade, ^HeavyChemicalWeapon, ^MediumChemicalWeapon, ^LightChemicalWeapon, ^HeavyFlameWeapon, ^MediumFlameWeapon, ^LightFlameWeapon, ^TankDestroyerCannon, ^FlakWeapon, ^NuclearWarhead</t>
        </is>
      </c>
    </row>
    <row r="136">
      <c r="B136" s="7" t="inlineStr">
        <is>
          <t xml:space="preserve">  ↳ SCUDNUKEThermobaric</t>
        </is>
      </c>
      <c r="C136" s="7" t="inlineStr">
        <is>
          <t>Armament@Upgrade</t>
        </is>
      </c>
      <c r="L136" s="6" t="n">
        <v>300000</v>
      </c>
      <c r="M136" s="6" t="n">
        <v>158</v>
      </c>
      <c r="N136" s="6" t="n">
        <v>1</v>
      </c>
      <c r="O136" s="6" t="n"/>
      <c r="P136" s="6" t="n">
        <v>12550</v>
      </c>
      <c r="Q136" s="6" t="n">
        <v>1</v>
      </c>
      <c r="R136">
        <f>M136+IF(N136&gt;1,N(O136)*(N136-1),0)</f>
        <v/>
      </c>
      <c r="S136">
        <f>IFERROR(L136*MAX(N136,1)/R136*IF(ISBLANK(K134),1,K134),0)</f>
        <v/>
      </c>
      <c r="AB136" s="7" t="inlineStr">
        <is>
          <t>SCUDNUKE</t>
        </is>
      </c>
    </row>
    <row r="137">
      <c r="A137" t="inlineStr">
        <is>
          <t>redalert</t>
        </is>
      </c>
      <c r="B137" t="inlineStr">
        <is>
          <t>ra1_soviets_nukedemotruck</t>
        </is>
      </c>
      <c r="C137" t="inlineStr">
        <is>
          <t>Nuke Demo Truck</t>
        </is>
      </c>
      <c r="D137" s="6" t="inlineStr">
        <is>
          <t>Vehicle</t>
        </is>
      </c>
      <c r="E137" s="6" t="n">
        <v>20000</v>
      </c>
      <c r="F137" s="6" t="n">
        <v>100</v>
      </c>
      <c r="G137" t="inlineStr">
        <is>
          <t>Light</t>
        </is>
      </c>
      <c r="H137" s="6" t="n">
        <v>0.4925</v>
      </c>
      <c r="I137" s="6" t="n">
        <v>1</v>
      </c>
      <c r="J137" s="6" t="n">
        <v>1</v>
      </c>
      <c r="K137" s="6" t="n"/>
      <c r="X137" s="6" t="n">
        <v>1500</v>
      </c>
    </row>
    <row r="138">
      <c r="B138" s="7" t="inlineStr">
        <is>
          <t xml:space="preserve">  ↳ DemoTruckTargeting</t>
        </is>
      </c>
      <c r="C138" s="7" t="inlineStr">
        <is>
          <t>Armament@PRIMARY</t>
        </is>
      </c>
      <c r="L138" s="6" t="n"/>
      <c r="M138" s="6" t="n"/>
      <c r="N138" s="6" t="n">
        <v>1</v>
      </c>
      <c r="O138" s="6" t="n"/>
      <c r="P138" s="6" t="n">
        <v>2000</v>
      </c>
      <c r="Q138" s="6" t="n">
        <v>1</v>
      </c>
      <c r="R138">
        <f>M138+IF(N138&gt;1,N(O138)*(N138-1),0)</f>
        <v/>
      </c>
      <c r="S138">
        <f>IFERROR(L138*MAX(N138,1)/R138*IF(ISBLANK(K137),1,K137),0)</f>
        <v/>
      </c>
      <c r="AB138" s="7" t="inlineStr"/>
    </row>
    <row r="139">
      <c r="A139" t="inlineStr">
        <is>
          <t>redalert</t>
        </is>
      </c>
      <c r="B139" t="inlineStr">
        <is>
          <t>ra1_soviets_oretruck</t>
        </is>
      </c>
      <c r="C139" t="inlineStr">
        <is>
          <t>Soviet Ore Truck</t>
        </is>
      </c>
      <c r="D139" s="6" t="inlineStr">
        <is>
          <t>Harvester</t>
        </is>
      </c>
      <c r="E139" s="6" t="n">
        <v>100000</v>
      </c>
      <c r="F139" s="6" t="n">
        <v>90</v>
      </c>
      <c r="G139" t="inlineStr">
        <is>
          <t>Medium</t>
        </is>
      </c>
      <c r="H139" s="6" t="n">
        <v>1</v>
      </c>
      <c r="I139" s="6" t="n">
        <v>1</v>
      </c>
      <c r="J139" s="6" t="n">
        <v>1</v>
      </c>
      <c r="K139" s="6" t="n"/>
      <c r="X139" s="6" t="n">
        <v>1000</v>
      </c>
    </row>
    <row r="140">
      <c r="A140" t="inlineStr">
        <is>
          <t>redalert</t>
        </is>
      </c>
      <c r="B140" t="inlineStr">
        <is>
          <t>ra1_soviets_siegemammothtank</t>
        </is>
      </c>
      <c r="C140" t="inlineStr">
        <is>
          <t>Siege Mammoth Tank</t>
        </is>
      </c>
      <c r="D140" s="6" t="inlineStr">
        <is>
          <t>HighTechTank</t>
        </is>
      </c>
      <c r="E140" s="6" t="n">
        <v>625000</v>
      </c>
      <c r="F140" s="6" t="n">
        <v>45</v>
      </c>
      <c r="G140" t="inlineStr">
        <is>
          <t>Superheavy</t>
        </is>
      </c>
      <c r="H140" s="6" t="n">
        <v>0.4925</v>
      </c>
      <c r="I140" s="6" t="n">
        <v>1</v>
      </c>
      <c r="J140" s="6" t="n">
        <v>1</v>
      </c>
      <c r="K140" s="6" t="n"/>
      <c r="P140">
        <f>MAX(P141,P142,P143,P144,P145,P146,P147,P148)</f>
        <v/>
      </c>
      <c r="S140">
        <f>S141+S142+S143+S144+S145+S146+S147+S148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(((E140/700000)+(F140/65)+(S140/2000)+((P140/6500)*J140))*2000/4+(((E140/700000)*(F140/65))+(((P140/6500)*J140)*(S140/2000)))*2000/2+((E140/700000)*(F140/65)*((P140/6500)*J140)*(S140/2000))*2000)*(H140/0.75)/3</f>
        <v/>
      </c>
      <c r="X140" s="6" t="n">
        <v>4000</v>
      </c>
      <c r="Y140">
        <f>IFERROR(W140-X140,"")</f>
        <v/>
      </c>
      <c r="Z140">
        <f>IFERROR(ABS(Y140)/MAX(X140,1),"")</f>
        <v/>
      </c>
      <c r="AA140">
        <f>IFERROR(ROUND(((3*X140-(((E140/700000)+(F140/65)+(S140/2000))*2000/4+((E140/700000)*(F140/65))*2000/2)*(H140/0.75))/(2000/4+((S140/2000))*2000/2+((E140/700000)*(F140/65)*(S140/2000))*2000)*(H140/0.75)*6500)/J140,-1),"")</f>
        <v/>
      </c>
    </row>
    <row r="141">
      <c r="B141" s="7" t="inlineStr">
        <is>
          <t xml:space="preserve">  ↳ ra120mm2</t>
        </is>
      </c>
      <c r="C141" s="7" t="inlineStr">
        <is>
          <t>Armament@PRIMARY</t>
        </is>
      </c>
      <c r="L141" s="6" t="n">
        <v>48000</v>
      </c>
      <c r="M141" s="6" t="n">
        <v>125</v>
      </c>
      <c r="N141" s="6" t="n">
        <v>2</v>
      </c>
      <c r="O141" s="6" t="n">
        <v>10</v>
      </c>
      <c r="P141" s="6" t="n">
        <v>6666</v>
      </c>
      <c r="Q141" s="6" t="n">
        <v>1.25</v>
      </c>
      <c r="R141">
        <f>M141+IF(N141&gt;1,N(O141)*(N141-1),0)</f>
        <v/>
      </c>
      <c r="S141">
        <f>IFERROR(L141*MAX(N141,1)/R141*IF(ISBLANK(K140),1,K140),0)</f>
        <v/>
      </c>
      <c r="AB141" s="7" t="inlineStr">
        <is>
          <t>^Warhead_CannonHE_Heavy</t>
        </is>
      </c>
    </row>
    <row r="142">
      <c r="B142" s="7" t="inlineStr">
        <is>
          <t xml:space="preserve">  ↳ ra120mm2TargetingComputer</t>
        </is>
      </c>
      <c r="C142" s="7" t="inlineStr">
        <is>
          <t>Armament@PRIMARYTargetingComputer</t>
        </is>
      </c>
      <c r="L142" s="6" t="n">
        <v>48000</v>
      </c>
      <c r="M142" s="6" t="n">
        <v>105</v>
      </c>
      <c r="N142" s="6" t="n">
        <v>2</v>
      </c>
      <c r="O142" s="6" t="n">
        <v>10</v>
      </c>
      <c r="P142" s="6" t="n">
        <v>6666</v>
      </c>
      <c r="Q142" s="6" t="n">
        <v>1.25</v>
      </c>
      <c r="R142">
        <f>M142+IF(N142&gt;1,N(O142)*(N142-1),0)</f>
        <v/>
      </c>
      <c r="S142">
        <f>IFERROR(L142*MAX(N142,1)/R142*IF(ISBLANK(K140),1,K140),0)</f>
        <v/>
      </c>
      <c r="AB142" s="7" t="inlineStr">
        <is>
          <t>^Warhead_CannonHE_Heavy</t>
        </is>
      </c>
    </row>
    <row r="143">
      <c r="B143" s="7" t="inlineStr">
        <is>
          <t xml:space="preserve">  ↳ ra120mm2Thermobaric</t>
        </is>
      </c>
      <c r="C143" s="7" t="inlineStr">
        <is>
          <t>Armament@Upgrade</t>
        </is>
      </c>
      <c r="L143" s="6" t="n">
        <v>48000</v>
      </c>
      <c r="M143" s="6" t="n">
        <v>125</v>
      </c>
      <c r="N143" s="6" t="n">
        <v>2</v>
      </c>
      <c r="O143" s="6" t="n">
        <v>10</v>
      </c>
      <c r="P143" s="6" t="n">
        <v>6666</v>
      </c>
      <c r="Q143" s="6" t="n">
        <v>1</v>
      </c>
      <c r="R143">
        <f>M143+IF(N143&gt;1,N(O143)*(N143-1),0)</f>
        <v/>
      </c>
      <c r="S143">
        <f>IFERROR(L143*MAX(N143,1)/R143*IF(ISBLANK(K140),1,K140),0)</f>
        <v/>
      </c>
      <c r="AB143" s="7" t="inlineStr">
        <is>
          <t>^Warhead_CannonHE_Heavy, ^Warhead_Flame_Heavy, ^Warhead_Demolition_Heavy</t>
        </is>
      </c>
    </row>
    <row r="144">
      <c r="B144" s="7" t="inlineStr">
        <is>
          <t xml:space="preserve">  ↳ ra120mm2ThermobaricTargetingComputer</t>
        </is>
      </c>
      <c r="C144" s="7" t="inlineStr">
        <is>
          <t>Armament@UpgradeTargetingComputer</t>
        </is>
      </c>
      <c r="L144" s="6" t="n">
        <v>48000</v>
      </c>
      <c r="M144" s="6" t="n">
        <v>105</v>
      </c>
      <c r="N144" s="6" t="n">
        <v>2</v>
      </c>
      <c r="O144" s="6" t="n">
        <v>10</v>
      </c>
      <c r="P144" s="6" t="n">
        <v>6666</v>
      </c>
      <c r="Q144" s="6" t="n">
        <v>1</v>
      </c>
      <c r="R144">
        <f>M144+IF(N144&gt;1,N(O144)*(N144-1),0)</f>
        <v/>
      </c>
      <c r="S144">
        <f>IFERROR(L144*MAX(N144,1)/R144*IF(ISBLANK(K140),1,K140),0)</f>
        <v/>
      </c>
      <c r="AB144" s="7" t="inlineStr">
        <is>
          <t>^Warhead_CannonHE_Heavy, ^Warhead_Flame_Heavy, ^Warhead_Demolition_Heavy</t>
        </is>
      </c>
    </row>
    <row r="145">
      <c r="B145" s="7" t="inlineStr">
        <is>
          <t xml:space="preserve">  ↳ MammothTusk2</t>
        </is>
      </c>
      <c r="C145" s="7" t="inlineStr">
        <is>
          <t>Armament@SECONDARY</t>
        </is>
      </c>
      <c r="L145" s="6" t="n">
        <v>48000</v>
      </c>
      <c r="M145" s="6" t="n">
        <v>125</v>
      </c>
      <c r="N145" s="6" t="n">
        <v>2</v>
      </c>
      <c r="O145" s="6" t="n">
        <v>10</v>
      </c>
      <c r="P145" s="6" t="n">
        <v>6666</v>
      </c>
      <c r="Q145" s="6" t="n">
        <v>1</v>
      </c>
      <c r="R145">
        <f>M145+IF(N145&gt;1,N(O145)*(N145-1),0)</f>
        <v/>
      </c>
      <c r="S145">
        <f>IFERROR(L145*MAX(N145,1)/R145*IF(ISBLANK(K140),1,K140),0)</f>
        <v/>
      </c>
      <c r="AB145" s="7" t="inlineStr">
        <is>
          <t>^LightFlameWeapon, ^MediumChemicalWeapon, ^HeavyMissile, ^ImpactGlow</t>
        </is>
      </c>
    </row>
    <row r="146">
      <c r="B146" s="7" t="inlineStr">
        <is>
          <t xml:space="preserve">  ↳ MammothTusk2TargetingComputer</t>
        </is>
      </c>
      <c r="C146" s="7" t="inlineStr">
        <is>
          <t>Armament@SECONDARYTargetingComputer</t>
        </is>
      </c>
      <c r="L146" s="6" t="n">
        <v>48000</v>
      </c>
      <c r="M146" s="6" t="n">
        <v>105</v>
      </c>
      <c r="N146" s="6" t="n">
        <v>2</v>
      </c>
      <c r="O146" s="6" t="n">
        <v>10</v>
      </c>
      <c r="P146" s="6" t="n">
        <v>6666</v>
      </c>
      <c r="Q146" s="6" t="n">
        <v>1</v>
      </c>
      <c r="R146">
        <f>M146+IF(N146&gt;1,N(O146)*(N146-1),0)</f>
        <v/>
      </c>
      <c r="S146">
        <f>IFERROR(L146*MAX(N146,1)/R146*IF(ISBLANK(K140),1,K140),0)</f>
        <v/>
      </c>
      <c r="AB146" s="7" t="inlineStr">
        <is>
          <t>MammothTusk2</t>
        </is>
      </c>
    </row>
    <row r="147">
      <c r="B147" s="7" t="inlineStr">
        <is>
          <t xml:space="preserve">  ↳ MammothTusk2Thermobaric</t>
        </is>
      </c>
      <c r="C147" s="7" t="inlineStr">
        <is>
          <t>Armament@UpgradeSECONDARY</t>
        </is>
      </c>
      <c r="L147" s="6" t="n">
        <v>48000</v>
      </c>
      <c r="M147" s="6" t="n">
        <v>125</v>
      </c>
      <c r="N147" s="6" t="n">
        <v>2</v>
      </c>
      <c r="O147" s="6" t="n">
        <v>10</v>
      </c>
      <c r="P147" s="6" t="n">
        <v>6666</v>
      </c>
      <c r="Q147" s="6" t="n">
        <v>1</v>
      </c>
      <c r="R147">
        <f>M147+IF(N147&gt;1,N(O147)*(N147-1),0)</f>
        <v/>
      </c>
      <c r="S147">
        <f>IFERROR(L147*MAX(N147,1)/R147*IF(ISBLANK(K140),1,K140),0)</f>
        <v/>
      </c>
      <c r="AB147" s="7" t="inlineStr">
        <is>
          <t>^HeavyFlameWeapon, ^HeavyBomb, ^HeavyMissile</t>
        </is>
      </c>
    </row>
    <row r="148">
      <c r="B148" s="7" t="inlineStr">
        <is>
          <t xml:space="preserve">  ↳ MammothTusk2ThermobaricTargetingComputer</t>
        </is>
      </c>
      <c r="C148" s="7" t="inlineStr">
        <is>
          <t>Armament@UpgradeSECONDARYTargetingComputer</t>
        </is>
      </c>
      <c r="L148" s="6" t="n">
        <v>48000</v>
      </c>
      <c r="M148" s="6" t="n">
        <v>105</v>
      </c>
      <c r="N148" s="6" t="n">
        <v>2</v>
      </c>
      <c r="O148" s="6" t="n">
        <v>10</v>
      </c>
      <c r="P148" s="6" t="n">
        <v>6666</v>
      </c>
      <c r="Q148" s="6" t="n">
        <v>1</v>
      </c>
      <c r="R148">
        <f>M148+IF(N148&gt;1,N(O148)*(N148-1),0)</f>
        <v/>
      </c>
      <c r="S148">
        <f>IFERROR(L148*MAX(N148,1)/R148*IF(ISBLANK(K140),1,K140),0)</f>
        <v/>
      </c>
      <c r="AB148" s="7" t="inlineStr">
        <is>
          <t>MammothTusk2Thermobaric</t>
        </is>
      </c>
    </row>
    <row r="149">
      <c r="A149" t="inlineStr">
        <is>
          <t>redalert</t>
        </is>
      </c>
      <c r="B149" t="inlineStr">
        <is>
          <t>ra1_soviets_stalinfist</t>
        </is>
      </c>
      <c r="C149" t="inlineStr">
        <is>
          <t>Stalin Fist</t>
        </is>
      </c>
      <c r="D149" s="6" t="inlineStr">
        <is>
          <t>SupportVehicle</t>
        </is>
      </c>
      <c r="E149" s="6" t="n">
        <v>100000</v>
      </c>
      <c r="F149" s="6" t="n">
        <v>60</v>
      </c>
      <c r="G149" t="inlineStr">
        <is>
          <t>Heavy</t>
        </is>
      </c>
      <c r="H149" s="6" t="n">
        <v>0.5593</v>
      </c>
      <c r="I149" s="6" t="n">
        <v>1</v>
      </c>
      <c r="J149" s="6" t="n">
        <v>1</v>
      </c>
      <c r="K149" s="6" t="n"/>
      <c r="X149" s="6" t="n">
        <v>7000</v>
      </c>
    </row>
    <row r="150">
      <c r="A150" t="inlineStr">
        <is>
          <t>redalert</t>
        </is>
      </c>
      <c r="B150" t="inlineStr">
        <is>
          <t>ra1_soviets_teslatank</t>
        </is>
      </c>
      <c r="C150" t="inlineStr">
        <is>
          <t>Tesla Tank</t>
        </is>
      </c>
      <c r="D150" s="6" t="inlineStr">
        <is>
          <t>FireSupport</t>
        </is>
      </c>
      <c r="E150" s="6" t="n">
        <v>40000</v>
      </c>
      <c r="F150" s="6" t="n">
        <v>80</v>
      </c>
      <c r="G150" t="inlineStr">
        <is>
          <t>Light</t>
        </is>
      </c>
      <c r="H150" s="6" t="n">
        <v>0.7020999999999999</v>
      </c>
      <c r="I150" s="6" t="n">
        <v>1</v>
      </c>
      <c r="J150" s="6" t="n">
        <v>1</v>
      </c>
      <c r="K150" s="6" t="n"/>
      <c r="P150">
        <f>MAX(P151,P152,P153)</f>
        <v/>
      </c>
      <c r="S150">
        <f>S151+S152+S153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(((E150/120000)+(F150/90)+(S150/2100)+((P150/10000)*J150))*1400/4+(((E150/120000)*(F150/90))+(((P150/10000)*J150)*(S150/2100)))*1400/2+((E150/120000)*(F150/90)*((P150/10000)*J150)*(S150/2100))*1400)*(H150/0.6735)/3</f>
        <v/>
      </c>
      <c r="X150" s="6" t="n">
        <v>1700</v>
      </c>
      <c r="Y150">
        <f>IFERROR(W150-X150,"")</f>
        <v/>
      </c>
      <c r="Z150">
        <f>IFERROR(ABS(Y150)/MAX(X150,1),"")</f>
        <v/>
      </c>
      <c r="AA150">
        <f>IFERROR(ROUND(((3*X150-(((E150/120000)+(F150/90)+(S150/2100))*1400/4+((E150/120000)*(F150/90))*1400/2)*(H150/0.6735))/(1400/4+((S150/2100))*1400/2+((E150/120000)*(F150/90)*(S150/2100))*1400)*(H150/0.6735)*10000)/J150,-1),"")</f>
        <v/>
      </c>
    </row>
    <row r="151">
      <c r="B151" s="7" t="inlineStr">
        <is>
          <t xml:space="preserve">  ↳ TTankZap</t>
        </is>
      </c>
      <c r="C151" s="7" t="inlineStr">
        <is>
          <t>Armament</t>
        </is>
      </c>
      <c r="L151" s="6" t="n">
        <v>40000</v>
      </c>
      <c r="M151" s="6" t="n">
        <v>80</v>
      </c>
      <c r="N151" s="6" t="n">
        <v>1</v>
      </c>
      <c r="O151" s="6" t="n"/>
      <c r="P151" s="6" t="n">
        <v>7300</v>
      </c>
      <c r="Q151" s="6" t="n">
        <v>1.25</v>
      </c>
      <c r="R151">
        <f>M151+IF(N151&gt;1,N(O151)*(N151-1),0)</f>
        <v/>
      </c>
      <c r="S151">
        <f>IFERROR(L151*MAX(N151,1)/R151*IF(ISBLANK(K150),1,K150),0)</f>
        <v/>
      </c>
      <c r="AB151" s="7" t="inlineStr">
        <is>
          <t>^Warhead_Tesla_Heavy</t>
        </is>
      </c>
    </row>
    <row r="152">
      <c r="B152" s="7" t="inlineStr">
        <is>
          <t xml:space="preserve">  ↳ TTankZap_EMP</t>
        </is>
      </c>
      <c r="C152" s="7" t="inlineStr">
        <is>
          <t>Armament@Upgrade1</t>
        </is>
      </c>
      <c r="L152" s="6" t="n">
        <v>40000</v>
      </c>
      <c r="M152" s="6" t="n">
        <v>80</v>
      </c>
      <c r="N152" s="6" t="n">
        <v>1</v>
      </c>
      <c r="O152" s="6" t="n"/>
      <c r="P152" s="6" t="n">
        <v>7300</v>
      </c>
      <c r="Q152" s="6" t="n">
        <v>1.25</v>
      </c>
      <c r="R152">
        <f>M152+IF(N152&gt;1,N(O152)*(N152-1),0)</f>
        <v/>
      </c>
      <c r="S152">
        <f>IFERROR(L152*MAX(N152,1)/R152*IF(ISBLANK(K150),1,K150),0)</f>
        <v/>
      </c>
      <c r="AB152" s="7" t="inlineStr">
        <is>
          <t>^Warhead_Tesla_Heavy</t>
        </is>
      </c>
    </row>
    <row r="153">
      <c r="B153" s="7" t="inlineStr">
        <is>
          <t xml:space="preserve">  ↳ TTankZapArc_EMP</t>
        </is>
      </c>
      <c r="C153" s="7" t="inlineStr">
        <is>
          <t>Armament@Upgrade2</t>
        </is>
      </c>
      <c r="L153" s="6" t="n">
        <v>40000</v>
      </c>
      <c r="M153" s="6" t="n">
        <v>80</v>
      </c>
      <c r="N153" s="6" t="n">
        <v>1</v>
      </c>
      <c r="O153" s="6" t="n"/>
      <c r="P153" s="6" t="n">
        <v>7300</v>
      </c>
      <c r="Q153" s="6" t="n">
        <v>1.25</v>
      </c>
      <c r="R153">
        <f>M153+IF(N153&gt;1,N(O153)*(N153-1),0)</f>
        <v/>
      </c>
      <c r="S153">
        <f>IFERROR(L153*MAX(N153,1)/R153*IF(ISBLANK(K150),1,K150),0)</f>
        <v/>
      </c>
      <c r="AB153" s="7" t="inlineStr">
        <is>
          <t>^Warhead_Tesla_Heavy</t>
        </is>
      </c>
    </row>
    <row r="154">
      <c r="A154" t="inlineStr">
        <is>
          <t>redalert</t>
        </is>
      </c>
      <c r="B154" t="inlineStr">
        <is>
          <t>ra1_soviets_v1rockettruck</t>
        </is>
      </c>
      <c r="C154" t="inlineStr">
        <is>
          <t>V1 Rocket Truck</t>
        </is>
      </c>
      <c r="D154" s="6" t="inlineStr">
        <is>
          <t>Artillery</t>
        </is>
      </c>
      <c r="E154" s="6" t="n">
        <v>25000</v>
      </c>
      <c r="F154" s="6" t="n">
        <v>100</v>
      </c>
      <c r="G154" t="inlineStr">
        <is>
          <t>Light</t>
        </is>
      </c>
      <c r="H154" s="6" t="n">
        <v>1</v>
      </c>
      <c r="I154" s="6" t="n">
        <v>0.5</v>
      </c>
      <c r="J154" s="6" t="n">
        <v>1</v>
      </c>
      <c r="K154" s="6" t="n"/>
      <c r="P154">
        <f>MAX(P155,P156)</f>
        <v/>
      </c>
      <c r="S154">
        <f>S155+S156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(((E154/60000)+(F154/75)+(S154/500)+((P154/15000)*J154))*500/4+(((E154/60000)*(F154/75))+(((P154/15000)*J154)*(S154/500)))*500/2+((E154/60000)*(F154/75)*((P154/15000)*J154)*(S154/500))*500)*(H154/1.0)/3</f>
        <v/>
      </c>
      <c r="X154" s="6" t="n">
        <v>850</v>
      </c>
      <c r="Y154">
        <f>IFERROR(W154-X154,"")</f>
        <v/>
      </c>
      <c r="Z154">
        <f>IFERROR(ABS(Y154)/MAX(X154,1),"")</f>
        <v/>
      </c>
      <c r="AA154">
        <f>IFERROR(ROUND(((3*X154-(((E154/60000)+(F154/75)+(S154/500))*500/4+((E154/60000)*(F154/75))*500/2)*(H154/1.0))/(500/4+((S154/500))*500/2+((E154/60000)*(F154/75)*(S154/500))*500)*(H154/1.0)*15000)/J154,-1),"")</f>
        <v/>
      </c>
    </row>
    <row r="155">
      <c r="B155" s="7" t="inlineStr">
        <is>
          <t xml:space="preserve">  ↳ v1rockets</t>
        </is>
      </c>
      <c r="C155" s="7" t="inlineStr">
        <is>
          <t>Armament</t>
        </is>
      </c>
      <c r="L155" s="6" t="n">
        <v>24000</v>
      </c>
      <c r="M155" s="6" t="n">
        <v>115</v>
      </c>
      <c r="N155" s="6" t="n">
        <v>4</v>
      </c>
      <c r="O155" s="6" t="n">
        <v>5</v>
      </c>
      <c r="P155" s="6" t="n">
        <v>9595</v>
      </c>
      <c r="Q155" s="6" t="n">
        <v>0.875</v>
      </c>
      <c r="R155">
        <f>M155+IF(N155&gt;1,N(O155)*(N155-1),0)</f>
        <v/>
      </c>
      <c r="S155">
        <f>IFERROR(L155*MAX(N155,1)/R155*IF(ISBLANK(K154),1,K154),0)</f>
        <v/>
      </c>
      <c r="AB155" s="7" t="inlineStr">
        <is>
          <t>^Warhead_MissileHE_Medium, ^Warhead_Demolition_Light</t>
        </is>
      </c>
    </row>
    <row r="156">
      <c r="B156" s="7" t="inlineStr">
        <is>
          <t xml:space="preserve">  ↳ v1rocketsThermobaric</t>
        </is>
      </c>
      <c r="C156" s="7" t="inlineStr">
        <is>
          <t>Armament@Upgrade</t>
        </is>
      </c>
      <c r="L156" s="6" t="n">
        <v>24000</v>
      </c>
      <c r="M156" s="6" t="n">
        <v>115</v>
      </c>
      <c r="N156" s="6" t="n">
        <v>4</v>
      </c>
      <c r="O156" s="6" t="n">
        <v>5</v>
      </c>
      <c r="P156" s="6" t="n">
        <v>9595</v>
      </c>
      <c r="Q156" s="6" t="n">
        <v>1</v>
      </c>
      <c r="R156">
        <f>M156+IF(N156&gt;1,N(O156)*(N156-1),0)</f>
        <v/>
      </c>
      <c r="S156">
        <f>IFERROR(L156*MAX(N156,1)/R156*IF(ISBLANK(K154),1,K154),0)</f>
        <v/>
      </c>
      <c r="AB156" s="7" t="inlineStr">
        <is>
          <t>^MediumMissile, ^Grenade, ^HeavyFlameWeapon</t>
        </is>
      </c>
    </row>
    <row r="157">
      <c r="A157" t="inlineStr">
        <is>
          <t>redalert</t>
        </is>
      </c>
      <c r="B157" t="inlineStr">
        <is>
          <t>ra1_soviets_v2rocketlauncher</t>
        </is>
      </c>
      <c r="C157" t="inlineStr">
        <is>
          <t>V2 Rocket Launcher</t>
        </is>
      </c>
      <c r="D157" s="6" t="inlineStr">
        <is>
          <t>Artillery</t>
        </is>
      </c>
      <c r="E157" s="6" t="n">
        <v>30000</v>
      </c>
      <c r="F157" s="6" t="n">
        <v>85</v>
      </c>
      <c r="G157" t="inlineStr">
        <is>
          <t>Light</t>
        </is>
      </c>
      <c r="H157" s="6" t="n">
        <v>0.75</v>
      </c>
      <c r="I157" s="6" t="n">
        <v>0.5</v>
      </c>
      <c r="J157" s="6" t="n">
        <v>1</v>
      </c>
      <c r="K157" s="6" t="n"/>
      <c r="P157">
        <f>MAX(P158,P159,P160)</f>
        <v/>
      </c>
      <c r="S157">
        <f>S158+S159+S160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(((E157/60000)+(F157/75)+(S157/500)+((P157/15000)*J157))*500/4+(((E157/60000)*(F157/75))+(((P157/15000)*J157)*(S157/500)))*500/2+((E157/60000)*(F157/75)*((P157/15000)*J157)*(S157/500))*500)*(H157/1.0)/3</f>
        <v/>
      </c>
      <c r="X157" s="6" t="n">
        <v>1600</v>
      </c>
      <c r="Y157">
        <f>IFERROR(W157-X157,"")</f>
        <v/>
      </c>
      <c r="Z157">
        <f>IFERROR(ABS(Y157)/MAX(X157,1),"")</f>
        <v/>
      </c>
      <c r="AA157">
        <f>IFERROR(ROUND(((3*X157-(((E157/60000)+(F157/75)+(S157/500))*500/4+((E157/60000)*(F157/75))*500/2)*(H157/1.0))/(500/4+((S157/500))*500/2+((E157/60000)*(F157/75)*(S157/500))*500)*(H157/1.0)*15000)/J157,-1),"")</f>
        <v/>
      </c>
    </row>
    <row r="158">
      <c r="B158" s="7" t="inlineStr">
        <is>
          <t xml:space="preserve">  ↳ SCUD</t>
        </is>
      </c>
      <c r="C158" s="7" t="inlineStr">
        <is>
          <t>Armament@PRIMARY</t>
        </is>
      </c>
      <c r="L158" s="6" t="n">
        <v>120000</v>
      </c>
      <c r="M158" s="6" t="n">
        <v>120</v>
      </c>
      <c r="N158" s="6" t="n">
        <v>1</v>
      </c>
      <c r="O158" s="6" t="n"/>
      <c r="P158" s="6" t="n">
        <v>14110</v>
      </c>
      <c r="Q158" s="6" t="n">
        <v>1.25</v>
      </c>
      <c r="R158">
        <f>M158+IF(N158&gt;1,N(O158)*(N158-1),0)</f>
        <v/>
      </c>
      <c r="S158">
        <f>IFERROR(L158*MAX(N158,1)/R158*IF(ISBLANK(K157),1,K157),0)</f>
        <v/>
      </c>
      <c r="AB158" s="7" t="inlineStr">
        <is>
          <t>^Warhead_MissileHE_Heavy, ^Warhead_Flame_Heavy</t>
        </is>
      </c>
    </row>
    <row r="159">
      <c r="B159" s="7" t="inlineStr">
        <is>
          <t xml:space="preserve">  ↳ SCUDThermobaric</t>
        </is>
      </c>
      <c r="C159" s="7" t="inlineStr">
        <is>
          <t>Armament@HE</t>
        </is>
      </c>
      <c r="L159" s="6" t="n">
        <v>240000</v>
      </c>
      <c r="M159" s="6" t="n">
        <v>120</v>
      </c>
      <c r="N159" s="6" t="n">
        <v>1</v>
      </c>
      <c r="O159" s="6" t="n"/>
      <c r="P159" s="6" t="n">
        <v>14110</v>
      </c>
      <c r="Q159" s="6" t="n">
        <v>1</v>
      </c>
      <c r="R159">
        <f>M159+IF(N159&gt;1,N(O159)*(N159-1),0)</f>
        <v/>
      </c>
      <c r="S159">
        <f>IFERROR(L159*MAX(N159,1)/R159*IF(ISBLANK(K157),1,K157),0)</f>
        <v/>
      </c>
      <c r="AB159" s="7" t="inlineStr">
        <is>
          <t>^Warhead_Demolition_Heavy, ^Warhead_MissileHE_Heavy, ^Warhead_Flame_Heavy</t>
        </is>
      </c>
    </row>
    <row r="160">
      <c r="B160" s="7" t="inlineStr">
        <is>
          <t xml:space="preserve">  ↳ SCUDTesla</t>
        </is>
      </c>
      <c r="C160" s="7" t="inlineStr">
        <is>
          <t>Armament@Tesla</t>
        </is>
      </c>
      <c r="L160" s="6" t="n">
        <v>210000</v>
      </c>
      <c r="M160" s="6" t="n">
        <v>120</v>
      </c>
      <c r="N160" s="6" t="n">
        <v>1</v>
      </c>
      <c r="O160" s="6" t="n"/>
      <c r="P160" s="6" t="n">
        <v>14110</v>
      </c>
      <c r="Q160" s="6" t="n">
        <v>1</v>
      </c>
      <c r="R160">
        <f>M160+IF(N160&gt;1,N(O160)*(N160-1),0)</f>
        <v/>
      </c>
      <c r="S160">
        <f>IFERROR(L160*MAX(N160,1)/R160*IF(ISBLANK(K157),1,K157),0)</f>
        <v/>
      </c>
      <c r="AB160" s="7" t="inlineStr">
        <is>
          <t>^Warhead_Tesla_Heavy, ^Warhead_MissileHE_Heavy, ^Warhead_Flame_Heavy</t>
        </is>
      </c>
    </row>
    <row r="161">
      <c r="A161" s="4" t="inlineStr">
        <is>
          <t>AIRCRAFT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t="inlineStr">
        <is>
          <t>redalert</t>
        </is>
      </c>
      <c r="B162" t="inlineStr">
        <is>
          <t>ra1_soviets_armoredyak</t>
        </is>
      </c>
      <c r="C162" t="inlineStr">
        <is>
          <t>Armored Yak</t>
        </is>
      </c>
      <c r="D162" s="6" t="inlineStr">
        <is>
          <t>Fighter</t>
        </is>
      </c>
      <c r="E162" s="6" t="n">
        <v>80000</v>
      </c>
      <c r="F162" s="6" t="n">
        <v>135</v>
      </c>
      <c r="G162" t="inlineStr">
        <is>
          <t>Fighter</t>
        </is>
      </c>
      <c r="H162" s="6" t="n">
        <v>1</v>
      </c>
      <c r="I162" s="6" t="n">
        <v>1</v>
      </c>
      <c r="J162" s="6" t="n">
        <v>1</v>
      </c>
      <c r="K162" s="6" t="n"/>
      <c r="P162">
        <f>MAX(P163,P164,P165,P166)</f>
        <v/>
      </c>
      <c r="S162">
        <f>S163+S164+S165+S166</f>
        <v/>
      </c>
      <c r="T162">
        <f>(E162/100000+F162/100+(P162/1000)*J162/5+S162/200)*200*I162*H162</f>
        <v/>
      </c>
      <c r="U162">
        <f>((E162*F162/25000)+((P162/1000)*J162*S162/2.5))*I162*H162</f>
        <v/>
      </c>
      <c r="V162">
        <f>(E162*F162*(P162/1000)*J162*S162*I162*H162)/12500000</f>
        <v/>
      </c>
      <c r="W162">
        <f>(T162+U162+V162)/3</f>
        <v/>
      </c>
      <c r="X162" s="6" t="n">
        <v>1600</v>
      </c>
      <c r="Y162">
        <f>IFERROR(W162-X162,"")</f>
        <v/>
      </c>
      <c r="Z162">
        <f>IFERROR(ABS(Y162)/MAX(X162,1),"")</f>
        <v/>
      </c>
      <c r="AA162">
        <f>IFERROR((X162-(((E162/100000+F162/100+S162/200)*200*I162*H162)+((E162*F162/25000)*I162*H162))/3)/(((J162/5)*200*I162*H162)+((J162*S162/2.5)*I162*H162)+((E162*F162*J162*S162*I162*H162)/12500000))/3*1000,"")</f>
        <v/>
      </c>
    </row>
    <row r="163">
      <c r="B163" s="7" t="inlineStr">
        <is>
          <t xml:space="preserve">  ↳ ArmoredYakChainGun</t>
        </is>
      </c>
      <c r="C163" s="7" t="inlineStr">
        <is>
          <t>Armament@PRIMARY</t>
        </is>
      </c>
      <c r="L163" s="6" t="n">
        <v>4000</v>
      </c>
      <c r="M163" s="6" t="n">
        <v>148</v>
      </c>
      <c r="N163" s="6" t="n">
        <v>10</v>
      </c>
      <c r="O163" s="6" t="n">
        <v>3</v>
      </c>
      <c r="P163" s="6" t="n">
        <v>6460</v>
      </c>
      <c r="Q163" s="6" t="n">
        <v>1</v>
      </c>
      <c r="R163">
        <f>M163+IF(N163&gt;1,N(O163)*(N163-1),0)</f>
        <v/>
      </c>
      <c r="S163">
        <f>IFERROR(L163*MAX(N163,1)/R163*IF(ISBLANK(K162),1,K162),0)</f>
        <v/>
      </c>
      <c r="AB163" s="7" t="inlineStr">
        <is>
          <t>^Warhead_Bullet_Medium</t>
        </is>
      </c>
    </row>
    <row r="164">
      <c r="B164" s="7" t="inlineStr">
        <is>
          <t xml:space="preserve">  ↳ ArmoredYakChainGun</t>
        </is>
      </c>
      <c r="C164" s="7" t="inlineStr">
        <is>
          <t>Armament@SECONDARY</t>
        </is>
      </c>
      <c r="L164" s="6" t="n">
        <v>4000</v>
      </c>
      <c r="M164" s="6" t="n">
        <v>148</v>
      </c>
      <c r="N164" s="6" t="n">
        <v>10</v>
      </c>
      <c r="O164" s="6" t="n">
        <v>3</v>
      </c>
      <c r="P164" s="6" t="n">
        <v>6460</v>
      </c>
      <c r="Q164" s="6" t="n">
        <v>1</v>
      </c>
      <c r="R164">
        <f>M164+IF(N164&gt;1,N(O164)*(N164-1),0)</f>
        <v/>
      </c>
      <c r="S164">
        <f>IFERROR(L164*MAX(N164,1)/R164*IF(ISBLANK(K162),1,K162),0)</f>
        <v/>
      </c>
      <c r="AB164" s="7" t="inlineStr">
        <is>
          <t>^Warhead_Bullet_Medium</t>
        </is>
      </c>
    </row>
    <row r="165">
      <c r="B165" s="7" t="inlineStr">
        <is>
          <t xml:space="preserve">  ↳ IncendiaryArmoredYakChainGun</t>
        </is>
      </c>
      <c r="C165" s="7" t="inlineStr">
        <is>
          <t>Armament@Upgrade1</t>
        </is>
      </c>
      <c r="L165" s="6" t="n">
        <v>8000</v>
      </c>
      <c r="M165" s="6" t="n">
        <v>148</v>
      </c>
      <c r="N165" s="6" t="n">
        <v>10</v>
      </c>
      <c r="O165" s="6" t="n">
        <v>3</v>
      </c>
      <c r="P165" s="6" t="n">
        <v>6460</v>
      </c>
      <c r="Q165" s="6" t="n">
        <v>0.875</v>
      </c>
      <c r="R165">
        <f>M165+IF(N165&gt;1,N(O165)*(N165-1),0)</f>
        <v/>
      </c>
      <c r="S165">
        <f>IFERROR(L165*MAX(N165,1)/R165*IF(ISBLANK(K162),1,K162),0)</f>
        <v/>
      </c>
      <c r="AB165" s="7" t="inlineStr">
        <is>
          <t>^Warhead_Flame_Light, ^Warhead_Bullet_Medium</t>
        </is>
      </c>
    </row>
    <row r="166">
      <c r="B166" s="7" t="inlineStr">
        <is>
          <t xml:space="preserve">  ↳ IncendiaryArmoredYakChainGun</t>
        </is>
      </c>
      <c r="C166" s="7" t="inlineStr">
        <is>
          <t>Armament@Upgrade2</t>
        </is>
      </c>
      <c r="L166" s="6" t="n">
        <v>8000</v>
      </c>
      <c r="M166" s="6" t="n">
        <v>148</v>
      </c>
      <c r="N166" s="6" t="n">
        <v>10</v>
      </c>
      <c r="O166" s="6" t="n">
        <v>3</v>
      </c>
      <c r="P166" s="6" t="n">
        <v>6460</v>
      </c>
      <c r="Q166" s="6" t="n">
        <v>0.875</v>
      </c>
      <c r="R166">
        <f>M166+IF(N166&gt;1,N(O166)*(N166-1),0)</f>
        <v/>
      </c>
      <c r="S166">
        <f>IFERROR(L166*MAX(N166,1)/R166*IF(ISBLANK(K162),1,K162),0)</f>
        <v/>
      </c>
      <c r="AB166" s="7" t="inlineStr">
        <is>
          <t>^Warhead_Flame_Light, ^Warhead_Bullet_Medium</t>
        </is>
      </c>
    </row>
    <row r="167">
      <c r="A167" t="inlineStr">
        <is>
          <t>redalert</t>
        </is>
      </c>
      <c r="B167" t="inlineStr">
        <is>
          <t>ra1_soviets_hindattackhelicopter</t>
        </is>
      </c>
      <c r="C167" t="inlineStr">
        <is>
          <t>Hind Attack Helicopter</t>
        </is>
      </c>
      <c r="D167" s="6" t="inlineStr">
        <is>
          <t>Helicopter</t>
        </is>
      </c>
      <c r="E167" s="6" t="n">
        <v>100000</v>
      </c>
      <c r="F167" s="6" t="n">
        <v>120</v>
      </c>
      <c r="G167" t="inlineStr">
        <is>
          <t>Helicopter</t>
        </is>
      </c>
      <c r="H167" s="6" t="n">
        <v>0.7333</v>
      </c>
      <c r="I167" s="6" t="n">
        <v>1</v>
      </c>
      <c r="J167" s="6" t="n">
        <v>1</v>
      </c>
      <c r="K167" s="6" t="n">
        <v>0.005</v>
      </c>
      <c r="P167">
        <f>MAX(P168,P169,P170,P171,P172,P173,P174,P175,P176,P177,P178,P179,P180)</f>
        <v/>
      </c>
      <c r="S167">
        <f>S168+S169+S170+S171+S172+S173+S174+S175+S176+S177+S178+S179+S180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(T167+U167+V167)/3</f>
        <v/>
      </c>
      <c r="X167" s="6" t="n">
        <v>1800</v>
      </c>
      <c r="Y167">
        <f>IFERROR(W167-X167,"")</f>
        <v/>
      </c>
      <c r="Z167">
        <f>IFERROR(ABS(Y167)/MAX(X167,1),"")</f>
        <v/>
      </c>
      <c r="AA167">
        <f>IFERROR((X167-(((E167/100000+F167/100+S167/200)*200*I167*H167)+((E167*F167/25000)*I167*H167))/3)/(((J167/5)*200*I167*H167)+((J167*S167/2.5)*I167*H167)+((E167*F167*J167*S167*I167*H167)/12500000))/3*1000,"")</f>
        <v/>
      </c>
    </row>
    <row r="168">
      <c r="B168" s="7" t="inlineStr">
        <is>
          <t xml:space="preserve">  ↳ HindMissiles</t>
        </is>
      </c>
      <c r="C168" s="7" t="inlineStr">
        <is>
          <t>Armament@Missiles</t>
        </is>
      </c>
      <c r="L168" s="6" t="n">
        <v>6000</v>
      </c>
      <c r="M168" s="6" t="n">
        <v>16</v>
      </c>
      <c r="N168" s="6" t="n">
        <v>1</v>
      </c>
      <c r="O168" s="6" t="n"/>
      <c r="P168" s="6" t="n">
        <v>5528</v>
      </c>
      <c r="Q168" s="6" t="n">
        <v>1</v>
      </c>
      <c r="R168">
        <f>M168+IF(N168&gt;1,N(O168)*(N168-1),0)</f>
        <v/>
      </c>
      <c r="S168">
        <f>IFERROR(L168*MAX(N168,1)/R168*IF(ISBLANK(K167),1,K167),0)</f>
        <v/>
      </c>
      <c r="AB168" s="7" t="inlineStr">
        <is>
          <t>^Warhead_Demolition_Light, ^Warhead_MissileAP_Medium, ^Warhead_Concussion_Medium</t>
        </is>
      </c>
    </row>
    <row r="169">
      <c r="B169" s="7" t="inlineStr">
        <is>
          <t xml:space="preserve">  ↳ HindMissiles</t>
        </is>
      </c>
      <c r="C169" s="7" t="inlineStr">
        <is>
          <t>Armament@MissilesRocketPod1</t>
        </is>
      </c>
      <c r="L169" s="6" t="n">
        <v>6000</v>
      </c>
      <c r="M169" s="6" t="n">
        <v>16</v>
      </c>
      <c r="N169" s="6" t="n">
        <v>1</v>
      </c>
      <c r="O169" s="6" t="n"/>
      <c r="P169" s="6" t="n">
        <v>5528</v>
      </c>
      <c r="Q169" s="6" t="n">
        <v>1</v>
      </c>
      <c r="R169">
        <f>M169+IF(N169&gt;1,N(O169)*(N169-1),0)</f>
        <v/>
      </c>
      <c r="S169">
        <f>IFERROR(L169*MAX(N169,1)/R169*IF(ISBLANK(K167),1,K167),0)</f>
        <v/>
      </c>
      <c r="AB169" s="7" t="inlineStr">
        <is>
          <t>^Warhead_Demolition_Light, ^Warhead_MissileAP_Medium, ^Warhead_Concussion_Medium</t>
        </is>
      </c>
    </row>
    <row r="170">
      <c r="B170" s="7" t="inlineStr">
        <is>
          <t xml:space="preserve">  ↳ HindMissiles</t>
        </is>
      </c>
      <c r="C170" s="7" t="inlineStr">
        <is>
          <t>Armament@MissilesRocketPod2</t>
        </is>
      </c>
      <c r="L170" s="6" t="n">
        <v>6000</v>
      </c>
      <c r="M170" s="6" t="n">
        <v>16</v>
      </c>
      <c r="N170" s="6" t="n">
        <v>1</v>
      </c>
      <c r="O170" s="6" t="n"/>
      <c r="P170" s="6" t="n">
        <v>5528</v>
      </c>
      <c r="Q170" s="6" t="n">
        <v>1</v>
      </c>
      <c r="R170">
        <f>M170+IF(N170&gt;1,N(O170)*(N170-1),0)</f>
        <v/>
      </c>
      <c r="S170">
        <f>IFERROR(L170*MAX(N170,1)/R170*IF(ISBLANK(K167),1,K167),0)</f>
        <v/>
      </c>
      <c r="AB170" s="7" t="inlineStr">
        <is>
          <t>^Warhead_Demolition_Light, ^Warhead_MissileAP_Medium, ^Warhead_Concussion_Medium</t>
        </is>
      </c>
    </row>
    <row r="171">
      <c r="B171" s="7" t="inlineStr">
        <is>
          <t xml:space="preserve">  ↳ HindMissilesThermobaric</t>
        </is>
      </c>
      <c r="C171" s="7" t="inlineStr">
        <is>
          <t>Armament@MissilesHE</t>
        </is>
      </c>
      <c r="L171" s="6" t="n">
        <v>10000</v>
      </c>
      <c r="M171" s="6" t="n">
        <v>16</v>
      </c>
      <c r="N171" s="6" t="n">
        <v>1</v>
      </c>
      <c r="O171" s="6" t="n"/>
      <c r="P171" s="6" t="n">
        <v>5528</v>
      </c>
      <c r="Q171" s="6" t="n">
        <v>1.25</v>
      </c>
      <c r="R171">
        <f>M171+IF(N171&gt;1,N(O171)*(N171-1),0)</f>
        <v/>
      </c>
      <c r="S171">
        <f>IFERROR(L171*MAX(N171,1)/R171*IF(ISBLANK(K167),1,K167),0)</f>
        <v/>
      </c>
      <c r="AB171" s="7" t="inlineStr">
        <is>
          <t>^Warhead_CannonHE_Heavy</t>
        </is>
      </c>
    </row>
    <row r="172">
      <c r="B172" s="7" t="inlineStr">
        <is>
          <t xml:space="preserve">  ↳ HindMissilesThermobaric</t>
        </is>
      </c>
      <c r="C172" s="7" t="inlineStr">
        <is>
          <t>Armament@MissilesHERocketPod1</t>
        </is>
      </c>
      <c r="L172" s="6" t="n">
        <v>10000</v>
      </c>
      <c r="M172" s="6" t="n">
        <v>16</v>
      </c>
      <c r="N172" s="6" t="n">
        <v>1</v>
      </c>
      <c r="O172" s="6" t="n"/>
      <c r="P172" s="6" t="n">
        <v>5528</v>
      </c>
      <c r="Q172" s="6" t="n">
        <v>1.25</v>
      </c>
      <c r="R172">
        <f>M172+IF(N172&gt;1,N(O172)*(N172-1),0)</f>
        <v/>
      </c>
      <c r="S172">
        <f>IFERROR(L172*MAX(N172,1)/R172*IF(ISBLANK(K167),1,K167),0)</f>
        <v/>
      </c>
      <c r="AB172" s="7" t="inlineStr">
        <is>
          <t>^Warhead_CannonHE_Heavy</t>
        </is>
      </c>
    </row>
    <row r="173">
      <c r="B173" s="7" t="inlineStr">
        <is>
          <t xml:space="preserve">  ↳ HindMissilesThermobaric</t>
        </is>
      </c>
      <c r="C173" s="7" t="inlineStr">
        <is>
          <t>Armament@MissilesHERocketPod2</t>
        </is>
      </c>
      <c r="L173" s="6" t="n">
        <v>10000</v>
      </c>
      <c r="M173" s="6" t="n">
        <v>16</v>
      </c>
      <c r="N173" s="6" t="n">
        <v>1</v>
      </c>
      <c r="O173" s="6" t="n"/>
      <c r="P173" s="6" t="n">
        <v>5528</v>
      </c>
      <c r="Q173" s="6" t="n">
        <v>1.25</v>
      </c>
      <c r="R173">
        <f>M173+IF(N173&gt;1,N(O173)*(N173-1),0)</f>
        <v/>
      </c>
      <c r="S173">
        <f>IFERROR(L173*MAX(N173,1)/R173*IF(ISBLANK(K167),1,K167),0)</f>
        <v/>
      </c>
      <c r="AB173" s="7" t="inlineStr">
        <is>
          <t>^Warhead_CannonHE_Heavy</t>
        </is>
      </c>
    </row>
    <row r="174">
      <c r="B174" s="7" t="inlineStr">
        <is>
          <t xml:space="preserve">  ↳ HindMissilesNuclear</t>
        </is>
      </c>
      <c r="C174" s="7" t="inlineStr">
        <is>
          <t>Armament@MissilesNuke</t>
        </is>
      </c>
      <c r="L174" s="6" t="n">
        <v>8000</v>
      </c>
      <c r="M174" s="6" t="n">
        <v>16</v>
      </c>
      <c r="N174" s="6" t="n">
        <v>1</v>
      </c>
      <c r="O174" s="6" t="n"/>
      <c r="P174" s="6" t="n">
        <v>5528</v>
      </c>
      <c r="Q174" s="6" t="n">
        <v>1</v>
      </c>
      <c r="R174">
        <f>M174+IF(N174&gt;1,N(O174)*(N174-1),0)</f>
        <v/>
      </c>
      <c r="S174">
        <f>IFERROR(L174*MAX(N174,1)/R174*IF(ISBLANK(K167),1,K167),0)</f>
        <v/>
      </c>
      <c r="AB174" s="7" t="inlineStr">
        <is>
          <t>^TankDestroyerCannon, ^MediumFlameWeapon, ^NuclearWarhead, ^MediumMissile</t>
        </is>
      </c>
    </row>
    <row r="175">
      <c r="B175" s="7" t="inlineStr">
        <is>
          <t xml:space="preserve">  ↳ HindMissilesNuclear</t>
        </is>
      </c>
      <c r="C175" s="7" t="inlineStr">
        <is>
          <t>Armament@MissilesNukeRocketPod1</t>
        </is>
      </c>
      <c r="L175" s="6" t="n">
        <v>8000</v>
      </c>
      <c r="M175" s="6" t="n">
        <v>16</v>
      </c>
      <c r="N175" s="6" t="n">
        <v>1</v>
      </c>
      <c r="O175" s="6" t="n"/>
      <c r="P175" s="6" t="n">
        <v>5528</v>
      </c>
      <c r="Q175" s="6" t="n">
        <v>1</v>
      </c>
      <c r="R175">
        <f>M175+IF(N175&gt;1,N(O175)*(N175-1),0)</f>
        <v/>
      </c>
      <c r="S175">
        <f>IFERROR(L175*MAX(N175,1)/R175*IF(ISBLANK(K167),1,K167),0)</f>
        <v/>
      </c>
      <c r="AB175" s="7" t="inlineStr">
        <is>
          <t>^TankDestroyerCannon, ^MediumFlameWeapon, ^NuclearWarhead, ^MediumMissile</t>
        </is>
      </c>
    </row>
    <row r="176">
      <c r="B176" s="7" t="inlineStr">
        <is>
          <t xml:space="preserve">  ↳ HindMissilesNuclear</t>
        </is>
      </c>
      <c r="C176" s="7" t="inlineStr">
        <is>
          <t>Armament@MissilesNukeRocketPod2</t>
        </is>
      </c>
      <c r="L176" s="6" t="n">
        <v>8000</v>
      </c>
      <c r="M176" s="6" t="n">
        <v>16</v>
      </c>
      <c r="N176" s="6" t="n">
        <v>1</v>
      </c>
      <c r="O176" s="6" t="n"/>
      <c r="P176" s="6" t="n">
        <v>5528</v>
      </c>
      <c r="Q176" s="6" t="n">
        <v>1</v>
      </c>
      <c r="R176">
        <f>M176+IF(N176&gt;1,N(O176)*(N176-1),0)</f>
        <v/>
      </c>
      <c r="S176">
        <f>IFERROR(L176*MAX(N176,1)/R176*IF(ISBLANK(K167),1,K167),0)</f>
        <v/>
      </c>
      <c r="AB176" s="7" t="inlineStr">
        <is>
          <t>^TankDestroyerCannon, ^MediumFlameWeapon, ^NuclearWarhead, ^MediumMissile</t>
        </is>
      </c>
    </row>
    <row r="177">
      <c r="B177" s="7" t="inlineStr">
        <is>
          <t xml:space="preserve">  ↳ ChainGun</t>
        </is>
      </c>
      <c r="C177" s="7" t="inlineStr">
        <is>
          <t>Armament@PRIMARY</t>
        </is>
      </c>
      <c r="L177" s="6" t="n">
        <v>2000</v>
      </c>
      <c r="M177" s="6" t="n">
        <v>8</v>
      </c>
      <c r="N177" s="6" t="n">
        <v>1</v>
      </c>
      <c r="O177" s="6" t="n"/>
      <c r="P177" s="6" t="n">
        <v>5528</v>
      </c>
      <c r="Q177" s="6" t="n">
        <v>1</v>
      </c>
      <c r="R177">
        <f>M177+IF(N177&gt;1,N(O177)*(N177-1),0)</f>
        <v/>
      </c>
      <c r="S177">
        <f>IFERROR(L177*MAX(N177,1)/R177*IF(ISBLANK(K167),1,K167),0)</f>
        <v/>
      </c>
      <c r="AB177" s="7" t="inlineStr">
        <is>
          <t>^Warhead_Bullet_Medium</t>
        </is>
      </c>
    </row>
    <row r="178">
      <c r="B178" s="7" t="inlineStr">
        <is>
          <t xml:space="preserve">  ↳ ChainGun</t>
        </is>
      </c>
      <c r="C178" s="7" t="inlineStr">
        <is>
          <t>Armament@SECONDARY</t>
        </is>
      </c>
      <c r="L178" s="6" t="n">
        <v>2000</v>
      </c>
      <c r="M178" s="6" t="n">
        <v>8</v>
      </c>
      <c r="N178" s="6" t="n">
        <v>1</v>
      </c>
      <c r="O178" s="6" t="n"/>
      <c r="P178" s="6" t="n">
        <v>5528</v>
      </c>
      <c r="Q178" s="6" t="n">
        <v>1</v>
      </c>
      <c r="R178">
        <f>M178+IF(N178&gt;1,N(O178)*(N178-1),0)</f>
        <v/>
      </c>
      <c r="S178">
        <f>IFERROR(L178*MAX(N178,1)/R178*IF(ISBLANK(K167),1,K167),0)</f>
        <v/>
      </c>
      <c r="AB178" s="7" t="inlineStr">
        <is>
          <t>^Warhead_Bullet_Medium</t>
        </is>
      </c>
    </row>
    <row r="179">
      <c r="B179" s="7" t="inlineStr">
        <is>
          <t xml:space="preserve">  ↳ IncendiaryChainGun</t>
        </is>
      </c>
      <c r="C179" s="7" t="inlineStr">
        <is>
          <t>Armament@Upgrade1</t>
        </is>
      </c>
      <c r="L179" s="6" t="n">
        <v>4000</v>
      </c>
      <c r="M179" s="6" t="n">
        <v>8</v>
      </c>
      <c r="N179" s="6" t="n">
        <v>1</v>
      </c>
      <c r="O179" s="6" t="n"/>
      <c r="P179" s="6" t="n">
        <v>5528</v>
      </c>
      <c r="Q179" s="6" t="n">
        <v>0.875</v>
      </c>
      <c r="R179">
        <f>M179+IF(N179&gt;1,N(O179)*(N179-1),0)</f>
        <v/>
      </c>
      <c r="S179">
        <f>IFERROR(L179*MAX(N179,1)/R179*IF(ISBLANK(K167),1,K167),0)</f>
        <v/>
      </c>
      <c r="AB179" s="7" t="inlineStr">
        <is>
          <t>^Warhead_Flame_Light, ^Warhead_Bullet_Medium</t>
        </is>
      </c>
    </row>
    <row r="180">
      <c r="B180" s="7" t="inlineStr">
        <is>
          <t xml:space="preserve">  ↳ IncendiaryChainGun</t>
        </is>
      </c>
      <c r="C180" s="7" t="inlineStr">
        <is>
          <t>Armament@Upgrade2</t>
        </is>
      </c>
      <c r="L180" s="6" t="n">
        <v>4000</v>
      </c>
      <c r="M180" s="6" t="n">
        <v>8</v>
      </c>
      <c r="N180" s="6" t="n">
        <v>1</v>
      </c>
      <c r="O180" s="6" t="n"/>
      <c r="P180" s="6" t="n">
        <v>5528</v>
      </c>
      <c r="Q180" s="6" t="n">
        <v>0.875</v>
      </c>
      <c r="R180">
        <f>M180+IF(N180&gt;1,N(O180)*(N180-1),0)</f>
        <v/>
      </c>
      <c r="S180">
        <f>IFERROR(L180*MAX(N180,1)/R180*IF(ISBLANK(K167),1,K167),0)</f>
        <v/>
      </c>
      <c r="AB180" s="7" t="inlineStr">
        <is>
          <t>^Warhead_Flame_Light, ^Warhead_Bullet_Medium</t>
        </is>
      </c>
    </row>
    <row r="181">
      <c r="A181" t="inlineStr">
        <is>
          <t>redalert</t>
        </is>
      </c>
      <c r="B181" t="inlineStr">
        <is>
          <t>ra1_soviets_hiptransport</t>
        </is>
      </c>
      <c r="C181" t="inlineStr">
        <is>
          <t>Hip Transport</t>
        </is>
      </c>
      <c r="D181" s="6" t="inlineStr">
        <is>
          <t>UnarmedTransportHelicopter</t>
        </is>
      </c>
      <c r="E181" s="6" t="n">
        <v>150000</v>
      </c>
      <c r="F181" s="6" t="n">
        <v>100</v>
      </c>
      <c r="G181" t="inlineStr">
        <is>
          <t>Helicopter</t>
        </is>
      </c>
      <c r="H181" s="6" t="n">
        <v>0.7333</v>
      </c>
      <c r="I181" s="6" t="n">
        <v>1</v>
      </c>
      <c r="J181" s="6" t="n">
        <v>1</v>
      </c>
      <c r="K181" s="6" t="n"/>
      <c r="X181" s="6" t="n">
        <v>2500</v>
      </c>
    </row>
    <row r="182">
      <c r="A182" t="inlineStr">
        <is>
          <t>redalert</t>
        </is>
      </c>
      <c r="B182" t="inlineStr">
        <is>
          <t>ra1_soviets_kamovattackhelicopter</t>
        </is>
      </c>
      <c r="C182" t="inlineStr">
        <is>
          <t>Kamov Attack Helicopter</t>
        </is>
      </c>
      <c r="D182" s="6" t="inlineStr">
        <is>
          <t>Helicopter</t>
        </is>
      </c>
      <c r="E182" s="6" t="n">
        <v>122500</v>
      </c>
      <c r="F182" s="6" t="n">
        <v>125</v>
      </c>
      <c r="G182" t="inlineStr">
        <is>
          <t>Helicopter</t>
        </is>
      </c>
      <c r="H182" s="6" t="n">
        <v>0.7333</v>
      </c>
      <c r="I182" s="6" t="n">
        <v>1</v>
      </c>
      <c r="J182" s="6" t="n">
        <v>1</v>
      </c>
      <c r="K182" s="6" t="n">
        <v>0.0025</v>
      </c>
      <c r="P182">
        <f>MAX(P183,P184,P185,P186,P187,P188,P189,P190,P191,P192,P193,P194)</f>
        <v/>
      </c>
      <c r="S182">
        <f>S183+S184+S185+S186+S187+S188+S189+S190+S191+S192+S193+S194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2100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KamovTesla</t>
        </is>
      </c>
      <c r="C183" s="7" t="inlineStr">
        <is>
          <t>Armament@Tesla</t>
        </is>
      </c>
      <c r="L183" s="6" t="n">
        <v>32000</v>
      </c>
      <c r="M183" s="6" t="n">
        <v>32</v>
      </c>
      <c r="N183" s="6" t="n">
        <v>1</v>
      </c>
      <c r="O183" s="6" t="n"/>
      <c r="P183" s="6" t="n">
        <v>5528</v>
      </c>
      <c r="Q183" s="6" t="n">
        <v>1</v>
      </c>
      <c r="R183">
        <f>M183+IF(N183&gt;1,N(O183)*(N183-1),0)</f>
        <v/>
      </c>
      <c r="S183">
        <f>IFERROR(L183*MAX(N183,1)/R183*IF(ISBLANK(K182),1,K182),0)</f>
        <v/>
      </c>
      <c r="AB183" s="7" t="inlineStr">
        <is>
          <t>^Warhead_MissileAP_Light, ^Warhead_Tesla_Heavy</t>
        </is>
      </c>
    </row>
    <row r="184">
      <c r="B184" s="7" t="inlineStr">
        <is>
          <t xml:space="preserve">  ↳ KamovTeslaArc</t>
        </is>
      </c>
      <c r="C184" s="7" t="inlineStr">
        <is>
          <t>Armament@Arcing</t>
        </is>
      </c>
      <c r="L184" s="6" t="n">
        <v>32000</v>
      </c>
      <c r="M184" s="6" t="n">
        <v>32</v>
      </c>
      <c r="N184" s="6" t="n">
        <v>1</v>
      </c>
      <c r="O184" s="6" t="n"/>
      <c r="P184" s="6" t="n">
        <v>5528</v>
      </c>
      <c r="Q184" s="6" t="n">
        <v>1</v>
      </c>
      <c r="R184">
        <f>M184+IF(N184&gt;1,N(O184)*(N184-1),0)</f>
        <v/>
      </c>
      <c r="S184">
        <f>IFERROR(L184*MAX(N184,1)/R184*IF(ISBLANK(K182),1,K182),0)</f>
        <v/>
      </c>
      <c r="AB184" s="7" t="inlineStr">
        <is>
          <t>^Warhead_MissileAP_Light, ^Warhead_Tesla_Heavy</t>
        </is>
      </c>
    </row>
    <row r="185">
      <c r="B185" s="7" t="inlineStr">
        <is>
          <t xml:space="preserve">  ↳ HindMissiles</t>
        </is>
      </c>
      <c r="C185" s="7" t="inlineStr">
        <is>
          <t>Armament@Missiles</t>
        </is>
      </c>
      <c r="L185" s="6" t="n">
        <v>6000</v>
      </c>
      <c r="M185" s="6" t="n">
        <v>16</v>
      </c>
      <c r="N185" s="6" t="n">
        <v>1</v>
      </c>
      <c r="O185" s="6" t="n"/>
      <c r="P185" s="6" t="n">
        <v>5528</v>
      </c>
      <c r="Q185" s="6" t="n">
        <v>1</v>
      </c>
      <c r="R185">
        <f>M185+IF(N185&gt;1,N(O185)*(N185-1),0)</f>
        <v/>
      </c>
      <c r="S185">
        <f>IFERROR(L185*MAX(N185,1)/R185*IF(ISBLANK(K182),1,K182),0)</f>
        <v/>
      </c>
      <c r="AB185" s="7" t="inlineStr">
        <is>
          <t>^Warhead_Demolition_Light, ^Warhead_MissileAP_Medium, ^Warhead_Concussion_Medium</t>
        </is>
      </c>
    </row>
    <row r="186">
      <c r="B186" s="7" t="inlineStr">
        <is>
          <t xml:space="preserve">  ↳ HindMissiles</t>
        </is>
      </c>
      <c r="C186" s="7" t="inlineStr">
        <is>
          <t>Armament@MissilesRocketPod1</t>
        </is>
      </c>
      <c r="L186" s="6" t="n">
        <v>6000</v>
      </c>
      <c r="M186" s="6" t="n">
        <v>16</v>
      </c>
      <c r="N186" s="6" t="n">
        <v>1</v>
      </c>
      <c r="O186" s="6" t="n"/>
      <c r="P186" s="6" t="n">
        <v>5528</v>
      </c>
      <c r="Q186" s="6" t="n">
        <v>1</v>
      </c>
      <c r="R186">
        <f>M186+IF(N186&gt;1,N(O186)*(N186-1),0)</f>
        <v/>
      </c>
      <c r="S186">
        <f>IFERROR(L186*MAX(N186,1)/R186*IF(ISBLANK(K182),1,K182),0)</f>
        <v/>
      </c>
      <c r="AB186" s="7" t="inlineStr">
        <is>
          <t>^Warhead_Demolition_Light, ^Warhead_MissileAP_Medium, ^Warhead_Concussion_Medium</t>
        </is>
      </c>
    </row>
    <row r="187">
      <c r="B187" s="7" t="inlineStr">
        <is>
          <t xml:space="preserve">  ↳ HindMissiles</t>
        </is>
      </c>
      <c r="C187" s="7" t="inlineStr">
        <is>
          <t>Armament@MissilesRocketPod2</t>
        </is>
      </c>
      <c r="L187" s="6" t="n">
        <v>6000</v>
      </c>
      <c r="M187" s="6" t="n">
        <v>16</v>
      </c>
      <c r="N187" s="6" t="n">
        <v>1</v>
      </c>
      <c r="O187" s="6" t="n"/>
      <c r="P187" s="6" t="n">
        <v>5528</v>
      </c>
      <c r="Q187" s="6" t="n">
        <v>1</v>
      </c>
      <c r="R187">
        <f>M187+IF(N187&gt;1,N(O187)*(N187-1),0)</f>
        <v/>
      </c>
      <c r="S187">
        <f>IFERROR(L187*MAX(N187,1)/R187*IF(ISBLANK(K182),1,K182),0)</f>
        <v/>
      </c>
      <c r="AB187" s="7" t="inlineStr">
        <is>
          <t>^Warhead_Demolition_Light, ^Warhead_MissileAP_Medium, ^Warhead_Concussion_Medium</t>
        </is>
      </c>
    </row>
    <row r="188">
      <c r="B188" s="7" t="inlineStr">
        <is>
          <t xml:space="preserve">  ↳ KamovMissilesTesla</t>
        </is>
      </c>
      <c r="C188" s="7" t="inlineStr">
        <is>
          <t>Armament@MissilesUpgrade</t>
        </is>
      </c>
      <c r="L188" s="6" t="n">
        <v>10000</v>
      </c>
      <c r="M188" s="6" t="n">
        <v>16</v>
      </c>
      <c r="N188" s="6" t="n">
        <v>1</v>
      </c>
      <c r="O188" s="6" t="n"/>
      <c r="P188" s="6" t="n">
        <v>5528</v>
      </c>
      <c r="Q188" s="6" t="n">
        <v>1</v>
      </c>
      <c r="R188">
        <f>M188+IF(N188&gt;1,N(O188)*(N188-1),0)</f>
        <v/>
      </c>
      <c r="S188">
        <f>IFERROR(L188*MAX(N188,1)/R188*IF(ISBLANK(K182),1,K182),0)</f>
        <v/>
      </c>
      <c r="AB188" s="7" t="inlineStr">
        <is>
          <t>^Grenade, ^ShrapnelWeapon, ^MediumFlameWeapon, ^TeslaWeapon, ^MediumMissile, ^Effect_Tesla_Impact_RA2</t>
        </is>
      </c>
    </row>
    <row r="189">
      <c r="B189" s="7" t="inlineStr">
        <is>
          <t xml:space="preserve">  ↳ KamovMissilesTesla</t>
        </is>
      </c>
      <c r="C189" s="7" t="inlineStr">
        <is>
          <t>Armament@MissilesUpgradeRocketPod1</t>
        </is>
      </c>
      <c r="L189" s="6" t="n">
        <v>10000</v>
      </c>
      <c r="M189" s="6" t="n">
        <v>16</v>
      </c>
      <c r="N189" s="6" t="n">
        <v>1</v>
      </c>
      <c r="O189" s="6" t="n"/>
      <c r="P189" s="6" t="n">
        <v>5528</v>
      </c>
      <c r="Q189" s="6" t="n">
        <v>1</v>
      </c>
      <c r="R189">
        <f>M189+IF(N189&gt;1,N(O189)*(N189-1),0)</f>
        <v/>
      </c>
      <c r="S189">
        <f>IFERROR(L189*MAX(N189,1)/R189*IF(ISBLANK(K182),1,K182),0)</f>
        <v/>
      </c>
      <c r="AB189" s="7" t="inlineStr">
        <is>
          <t>^Grenade, ^ShrapnelWeapon, ^MediumFlameWeapon, ^TeslaWeapon, ^MediumMissile, ^Effect_Tesla_Impact_RA2</t>
        </is>
      </c>
    </row>
    <row r="190">
      <c r="B190" s="7" t="inlineStr">
        <is>
          <t xml:space="preserve">  ↳ KamovMissilesTesla</t>
        </is>
      </c>
      <c r="C190" s="7" t="inlineStr">
        <is>
          <t>Armament@MissilesUpgradeRocketPod2</t>
        </is>
      </c>
      <c r="L190" s="6" t="n">
        <v>10000</v>
      </c>
      <c r="M190" s="6" t="n">
        <v>16</v>
      </c>
      <c r="N190" s="6" t="n">
        <v>1</v>
      </c>
      <c r="O190" s="6" t="n"/>
      <c r="P190" s="6" t="n">
        <v>5528</v>
      </c>
      <c r="Q190" s="6" t="n">
        <v>1</v>
      </c>
      <c r="R190">
        <f>M190+IF(N190&gt;1,N(O190)*(N190-1),0)</f>
        <v/>
      </c>
      <c r="S190">
        <f>IFERROR(L190*MAX(N190,1)/R190*IF(ISBLANK(K182),1,K182),0)</f>
        <v/>
      </c>
      <c r="AB190" s="7" t="inlineStr">
        <is>
          <t>^Grenade, ^ShrapnelWeapon, ^MediumFlameWeapon, ^TeslaWeapon, ^MediumMissile, ^Effect_Tesla_Impact_RA2</t>
        </is>
      </c>
    </row>
    <row r="191">
      <c r="B191" s="7" t="inlineStr">
        <is>
          <t xml:space="preserve">  ↳ ChainGun</t>
        </is>
      </c>
      <c r="C191" s="7" t="inlineStr">
        <is>
          <t>Armament@PRIMARY</t>
        </is>
      </c>
      <c r="L191" s="6" t="n">
        <v>2000</v>
      </c>
      <c r="M191" s="6" t="n">
        <v>8</v>
      </c>
      <c r="N191" s="6" t="n">
        <v>1</v>
      </c>
      <c r="O191" s="6" t="n"/>
      <c r="P191" s="6" t="n">
        <v>5528</v>
      </c>
      <c r="Q191" s="6" t="n">
        <v>1</v>
      </c>
      <c r="R191">
        <f>M191+IF(N191&gt;1,N(O191)*(N191-1),0)</f>
        <v/>
      </c>
      <c r="S191">
        <f>IFERROR(L191*MAX(N191,1)/R191*IF(ISBLANK(K182),1,K182),0)</f>
        <v/>
      </c>
      <c r="AB191" s="7" t="inlineStr">
        <is>
          <t>^Warhead_Bullet_Medium</t>
        </is>
      </c>
    </row>
    <row r="192">
      <c r="B192" s="7" t="inlineStr">
        <is>
          <t xml:space="preserve">  ↳ ChainGun</t>
        </is>
      </c>
      <c r="C192" s="7" t="inlineStr">
        <is>
          <t>Armament@SECONDARY</t>
        </is>
      </c>
      <c r="L192" s="6" t="n">
        <v>2000</v>
      </c>
      <c r="M192" s="6" t="n">
        <v>8</v>
      </c>
      <c r="N192" s="6" t="n">
        <v>1</v>
      </c>
      <c r="O192" s="6" t="n"/>
      <c r="P192" s="6" t="n">
        <v>5528</v>
      </c>
      <c r="Q192" s="6" t="n">
        <v>1</v>
      </c>
      <c r="R192">
        <f>M192+IF(N192&gt;1,N(O192)*(N192-1),0)</f>
        <v/>
      </c>
      <c r="S192">
        <f>IFERROR(L192*MAX(N192,1)/R192*IF(ISBLANK(K182),1,K182),0)</f>
        <v/>
      </c>
      <c r="AB192" s="7" t="inlineStr">
        <is>
          <t>^Warhead_Bullet_Medium</t>
        </is>
      </c>
    </row>
    <row r="193">
      <c r="B193" s="7" t="inlineStr">
        <is>
          <t xml:space="preserve">  ↳ IncendiaryChainGun</t>
        </is>
      </c>
      <c r="C193" s="7" t="inlineStr">
        <is>
          <t>Armament@Upgrade1</t>
        </is>
      </c>
      <c r="L193" s="6" t="n">
        <v>4000</v>
      </c>
      <c r="M193" s="6" t="n">
        <v>8</v>
      </c>
      <c r="N193" s="6" t="n">
        <v>1</v>
      </c>
      <c r="O193" s="6" t="n"/>
      <c r="P193" s="6" t="n">
        <v>5528</v>
      </c>
      <c r="Q193" s="6" t="n">
        <v>0.875</v>
      </c>
      <c r="R193">
        <f>M193+IF(N193&gt;1,N(O193)*(N193-1),0)</f>
        <v/>
      </c>
      <c r="S193">
        <f>IFERROR(L193*MAX(N193,1)/R193*IF(ISBLANK(K182),1,K182),0)</f>
        <v/>
      </c>
      <c r="AB193" s="7" t="inlineStr">
        <is>
          <t>^Warhead_Flame_Light, ^Warhead_Bullet_Medium</t>
        </is>
      </c>
    </row>
    <row r="194">
      <c r="B194" s="7" t="inlineStr">
        <is>
          <t xml:space="preserve">  ↳ IncendiaryChainGun</t>
        </is>
      </c>
      <c r="C194" s="7" t="inlineStr">
        <is>
          <t>Armament@Upgrade2</t>
        </is>
      </c>
      <c r="L194" s="6" t="n">
        <v>4000</v>
      </c>
      <c r="M194" s="6" t="n">
        <v>8</v>
      </c>
      <c r="N194" s="6" t="n">
        <v>1</v>
      </c>
      <c r="O194" s="6" t="n"/>
      <c r="P194" s="6" t="n">
        <v>5528</v>
      </c>
      <c r="Q194" s="6" t="n">
        <v>0.875</v>
      </c>
      <c r="R194">
        <f>M194+IF(N194&gt;1,N(O194)*(N194-1),0)</f>
        <v/>
      </c>
      <c r="S194">
        <f>IFERROR(L194*MAX(N194,1)/R194*IF(ISBLANK(K182),1,K182),0)</f>
        <v/>
      </c>
      <c r="AB194" s="7" t="inlineStr">
        <is>
          <t>^Warhead_Flame_Light, ^Warhead_Bullet_Medium</t>
        </is>
      </c>
    </row>
    <row r="195">
      <c r="A195" t="inlineStr">
        <is>
          <t>redalert</t>
        </is>
      </c>
      <c r="B195" t="inlineStr">
        <is>
          <t>ra1_soviets_migattackbomber</t>
        </is>
      </c>
      <c r="C195" t="inlineStr">
        <is>
          <t>Mig Attack Bomber</t>
        </is>
      </c>
      <c r="D195" s="6" t="inlineStr">
        <is>
          <t>Bomber</t>
        </is>
      </c>
      <c r="E195" s="6" t="n">
        <v>40000</v>
      </c>
      <c r="F195" s="6" t="n">
        <v>200</v>
      </c>
      <c r="G195" t="inlineStr">
        <is>
          <t>Bomber</t>
        </is>
      </c>
      <c r="H195" s="6" t="n">
        <v>0.5077</v>
      </c>
      <c r="I195" s="6" t="n">
        <v>1</v>
      </c>
      <c r="J195" s="6" t="n">
        <v>1</v>
      </c>
      <c r="K195" s="6" t="n"/>
      <c r="P195">
        <f>MAX(P196,P197,P198,P199,P200,P201)</f>
        <v/>
      </c>
      <c r="S195">
        <f>S196+S197+S198+S199+S200+S201</f>
        <v/>
      </c>
      <c r="T195">
        <f>(E195/100000+F195/100+(P195/1000)*J195/5+S195/200)*200*I195*H195</f>
        <v/>
      </c>
      <c r="U195">
        <f>((E195*F195/25000)+((P195/1000)*J195*S195/2.5))*I195*H195</f>
        <v/>
      </c>
      <c r="V195">
        <f>(E195*F195*(P195/1000)*J195*S195*I195*H195)/12500000</f>
        <v/>
      </c>
      <c r="W195">
        <f>(T195+U195+V195)/3</f>
        <v/>
      </c>
      <c r="X195" s="6" t="n">
        <v>1400</v>
      </c>
      <c r="Y195">
        <f>IFERROR(W195-X195,"")</f>
        <v/>
      </c>
      <c r="Z195">
        <f>IFERROR(ABS(Y195)/MAX(X195,1),"")</f>
        <v/>
      </c>
      <c r="AA195">
        <f>IFERROR((X195-(((E195/100000+F195/100+S195/200)*200*I195*H195)+((E195*F195/25000)*I195*H195))/3)/(((J195/5)*200*I195*H195)+((J195*S195/2.5)*I195*H195)+((E195*F195*J195*S195*I195*H195)/12500000))/3*1000,"")</f>
        <v/>
      </c>
    </row>
    <row r="196">
      <c r="B196" s="7" t="inlineStr">
        <is>
          <t xml:space="preserve">  ↳ Maverick</t>
        </is>
      </c>
      <c r="C196" s="7" t="inlineStr">
        <is>
          <t>Armament@Rockets1</t>
        </is>
      </c>
      <c r="L196" s="6" t="n">
        <v>40000</v>
      </c>
      <c r="M196" s="6" t="n">
        <v>50</v>
      </c>
      <c r="N196" s="6" t="n">
        <v>2</v>
      </c>
      <c r="O196" s="6" t="n">
        <v>4</v>
      </c>
      <c r="P196" s="6" t="n">
        <v>5900</v>
      </c>
      <c r="Q196" s="6" t="n">
        <v>1</v>
      </c>
      <c r="R196">
        <f>M196+IF(N196&gt;1,N(O196)*(N196-1),0)</f>
        <v/>
      </c>
      <c r="S196">
        <f>IFERROR(L196*MAX(N196,1)/R196*IF(ISBLANK(K195),1,K195),0)</f>
        <v/>
      </c>
      <c r="AB196" s="7" t="inlineStr">
        <is>
          <t>^Warhead_MissileAP_Medium</t>
        </is>
      </c>
    </row>
    <row r="197">
      <c r="B197" s="7" t="inlineStr">
        <is>
          <t xml:space="preserve">  ↳ Maverick</t>
        </is>
      </c>
      <c r="C197" s="7" t="inlineStr">
        <is>
          <t>Armament@Rockets2</t>
        </is>
      </c>
      <c r="L197" s="6" t="n">
        <v>40000</v>
      </c>
      <c r="M197" s="6" t="n">
        <v>50</v>
      </c>
      <c r="N197" s="6" t="n">
        <v>2</v>
      </c>
      <c r="O197" s="6" t="n">
        <v>4</v>
      </c>
      <c r="P197" s="6" t="n">
        <v>5900</v>
      </c>
      <c r="Q197" s="6" t="n">
        <v>1</v>
      </c>
      <c r="R197">
        <f>M197+IF(N197&gt;1,N(O197)*(N197-1),0)</f>
        <v/>
      </c>
      <c r="S197">
        <f>IFERROR(L197*MAX(N197,1)/R197*IF(ISBLANK(K195),1,K195),0)</f>
        <v/>
      </c>
      <c r="AB197" s="7" t="inlineStr">
        <is>
          <t>^Warhead_MissileAP_Medium</t>
        </is>
      </c>
    </row>
    <row r="198">
      <c r="B198" s="7" t="inlineStr">
        <is>
          <t xml:space="preserve">  ↳ TeslaMaverick</t>
        </is>
      </c>
      <c r="C198" s="7" t="inlineStr">
        <is>
          <t>Armament@TeslaUpgrade1</t>
        </is>
      </c>
      <c r="L198" s="6" t="n">
        <v>32000</v>
      </c>
      <c r="M198" s="6" t="n">
        <v>50</v>
      </c>
      <c r="N198" s="6" t="n">
        <v>2</v>
      </c>
      <c r="O198" s="6" t="n">
        <v>4</v>
      </c>
      <c r="P198" s="6" t="n">
        <v>5900</v>
      </c>
      <c r="Q198" s="6" t="n">
        <v>1.125</v>
      </c>
      <c r="R198">
        <f>M198+IF(N198&gt;1,N(O198)*(N198-1),0)</f>
        <v/>
      </c>
      <c r="S198">
        <f>IFERROR(L198*MAX(N198,1)/R198*IF(ISBLANK(K195),1,K195),0)</f>
        <v/>
      </c>
      <c r="AB198" s="7" t="inlineStr">
        <is>
          <t>^Warhead_Tesla_Heavy, ^Warhead_MissileAP_Medium</t>
        </is>
      </c>
    </row>
    <row r="199">
      <c r="B199" s="7" t="inlineStr">
        <is>
          <t xml:space="preserve">  ↳ TeslaMaverick</t>
        </is>
      </c>
      <c r="C199" s="7" t="inlineStr">
        <is>
          <t>Armament@TeslaUpgrade2</t>
        </is>
      </c>
      <c r="L199" s="6" t="n">
        <v>32000</v>
      </c>
      <c r="M199" s="6" t="n">
        <v>50</v>
      </c>
      <c r="N199" s="6" t="n">
        <v>2</v>
      </c>
      <c r="O199" s="6" t="n">
        <v>4</v>
      </c>
      <c r="P199" s="6" t="n">
        <v>5900</v>
      </c>
      <c r="Q199" s="6" t="n">
        <v>1.125</v>
      </c>
      <c r="R199">
        <f>M199+IF(N199&gt;1,N(O199)*(N199-1),0)</f>
        <v/>
      </c>
      <c r="S199">
        <f>IFERROR(L199*MAX(N199,1)/R199*IF(ISBLANK(K195),1,K195),0)</f>
        <v/>
      </c>
      <c r="AB199" s="7" t="inlineStr">
        <is>
          <t>^Warhead_Tesla_Heavy, ^Warhead_MissileAP_Medium</t>
        </is>
      </c>
    </row>
    <row r="200">
      <c r="B200" s="7" t="inlineStr">
        <is>
          <t xml:space="preserve">  ↳ ThermobaricMaverick</t>
        </is>
      </c>
      <c r="C200" s="7" t="inlineStr">
        <is>
          <t>Armament@NuclearUpgrade1</t>
        </is>
      </c>
      <c r="L200" s="6" t="n">
        <v>48000</v>
      </c>
      <c r="M200" s="6" t="n">
        <v>50</v>
      </c>
      <c r="N200" s="6" t="n">
        <v>2</v>
      </c>
      <c r="O200" s="6" t="n">
        <v>4</v>
      </c>
      <c r="P200" s="6" t="n">
        <v>5900</v>
      </c>
      <c r="Q200" s="6" t="n">
        <v>1</v>
      </c>
      <c r="R200">
        <f>M200+IF(N200&gt;1,N(O200)*(N200-1),0)</f>
        <v/>
      </c>
      <c r="S200">
        <f>IFERROR(L200*MAX(N200,1)/R200*IF(ISBLANK(K195),1,K195),0)</f>
        <v/>
      </c>
      <c r="AB200" s="7" t="inlineStr">
        <is>
          <t>^Warhead_MissileAP_Medium</t>
        </is>
      </c>
    </row>
    <row r="201">
      <c r="B201" s="7" t="inlineStr">
        <is>
          <t xml:space="preserve">  ↳ ThermobaricMaverick</t>
        </is>
      </c>
      <c r="C201" s="7" t="inlineStr">
        <is>
          <t>Armament@NuclearUpgrade2</t>
        </is>
      </c>
      <c r="L201" s="6" t="n">
        <v>48000</v>
      </c>
      <c r="M201" s="6" t="n">
        <v>50</v>
      </c>
      <c r="N201" s="6" t="n">
        <v>2</v>
      </c>
      <c r="O201" s="6" t="n">
        <v>4</v>
      </c>
      <c r="P201" s="6" t="n">
        <v>5900</v>
      </c>
      <c r="Q201" s="6" t="n">
        <v>1</v>
      </c>
      <c r="R201">
        <f>M201+IF(N201&gt;1,N(O201)*(N201-1),0)</f>
        <v/>
      </c>
      <c r="S201">
        <f>IFERROR(L201*MAX(N201,1)/R201*IF(ISBLANK(K195),1,K195),0)</f>
        <v/>
      </c>
      <c r="AB201" s="7" t="inlineStr">
        <is>
          <t>^Warhead_MissileAP_Medium</t>
        </is>
      </c>
    </row>
    <row r="202">
      <c r="A202" t="inlineStr">
        <is>
          <t>redalert</t>
        </is>
      </c>
      <c r="B202" t="inlineStr">
        <is>
          <t>ra1_soviets_nuclearyak</t>
        </is>
      </c>
      <c r="C202" t="inlineStr">
        <is>
          <t>Nuclear Yak</t>
        </is>
      </c>
      <c r="D202" s="6" t="inlineStr">
        <is>
          <t>Fighter</t>
        </is>
      </c>
      <c r="E202" s="6" t="n">
        <v>64000</v>
      </c>
      <c r="F202" s="6" t="n">
        <v>190</v>
      </c>
      <c r="G202" t="inlineStr">
        <is>
          <t>Fighter</t>
        </is>
      </c>
      <c r="H202" s="6" t="n">
        <v>1</v>
      </c>
      <c r="I202" s="6" t="n">
        <v>1</v>
      </c>
      <c r="J202" s="6" t="n">
        <v>1</v>
      </c>
      <c r="K202" s="6" t="n">
        <v>0.005</v>
      </c>
      <c r="P202">
        <f>MAX(P203,P204,P205,P206,P207)</f>
        <v/>
      </c>
      <c r="S202">
        <f>S203+S204+S205+S206+S207</f>
        <v/>
      </c>
      <c r="T202">
        <f>(E202/100000+F202/100+(P202/1000)*J202/5+S202/200)*200*I202*H202</f>
        <v/>
      </c>
      <c r="U202">
        <f>((E202*F202/25000)+((P202/1000)*J202*S202/2.5))*I202*H202</f>
        <v/>
      </c>
      <c r="V202">
        <f>(E202*F202*(P202/1000)*J202*S202*I202*H202)/12500000</f>
        <v/>
      </c>
      <c r="W202">
        <f>(T202+U202+V202)/3</f>
        <v/>
      </c>
      <c r="X202" s="6" t="n">
        <v>2000</v>
      </c>
      <c r="Y202">
        <f>IFERROR(W202-X202,"")</f>
        <v/>
      </c>
      <c r="Z202">
        <f>IFERROR(ABS(Y202)/MAX(X202,1),"")</f>
        <v/>
      </c>
      <c r="AA202">
        <f>IFERROR((X202-(((E202/100000+F202/100+S202/200)*200*I202*H202)+((E202*F202/25000)*I202*H202))/3)/(((J202/5)*200*I202*H202)+((J202*S202/2.5)*I202*H202)+((E202*F202*J202*S202*I202*H202)/12500000))/3*1000,"")</f>
        <v/>
      </c>
    </row>
    <row r="203">
      <c r="B203" s="7" t="inlineStr">
        <is>
          <t xml:space="preserve">  ↳ YakNuclearBomb</t>
        </is>
      </c>
      <c r="C203" s="7" t="inlineStr">
        <is>
          <t>Armament@BOMBS</t>
        </is>
      </c>
      <c r="L203" s="6" t="n">
        <v>200000</v>
      </c>
      <c r="M203" s="6" t="n">
        <v>125</v>
      </c>
      <c r="N203" s="6" t="n">
        <v>1</v>
      </c>
      <c r="O203" s="6" t="n"/>
      <c r="P203" s="6" t="n">
        <v>1250</v>
      </c>
      <c r="Q203" s="6" t="n">
        <v>1</v>
      </c>
      <c r="R203">
        <f>M203+IF(N203&gt;1,N(O203)*(N203-1),0)</f>
        <v/>
      </c>
      <c r="S203">
        <f>IFERROR(L203*MAX(N203,1)/R203*IF(ISBLANK(K202),1,K202),0)</f>
        <v/>
      </c>
      <c r="AB203" s="7" t="inlineStr">
        <is>
          <t>^HeavyBomb, ^HeavyChemicalWeapon, ^HeavyFlameWeapon, ^NuclearWarhead</t>
        </is>
      </c>
    </row>
    <row r="204">
      <c r="B204" s="7" t="inlineStr">
        <is>
          <t xml:space="preserve">  ↳ YakChainGun</t>
        </is>
      </c>
      <c r="C204" s="7" t="inlineStr">
        <is>
          <t>Armament@PRIMARY</t>
        </is>
      </c>
      <c r="L204" s="6" t="n">
        <v>4000</v>
      </c>
      <c r="M204" s="6" t="n">
        <v>100</v>
      </c>
      <c r="N204" s="6" t="n">
        <v>8</v>
      </c>
      <c r="O204" s="6" t="n">
        <v>3</v>
      </c>
      <c r="P204" s="6" t="n">
        <v>7000</v>
      </c>
      <c r="Q204" s="6" t="n">
        <v>1</v>
      </c>
      <c r="R204">
        <f>M204+IF(N204&gt;1,N(O204)*(N204-1),0)</f>
        <v/>
      </c>
      <c r="S204">
        <f>IFERROR(L204*MAX(N204,1)/R204*IF(ISBLANK(K202),1,K202),0)</f>
        <v/>
      </c>
      <c r="AB204" s="7" t="inlineStr">
        <is>
          <t>^Warhead_Bullet_Medium</t>
        </is>
      </c>
    </row>
    <row r="205">
      <c r="B205" s="7" t="inlineStr">
        <is>
          <t xml:space="preserve">  ↳ YakChainGun</t>
        </is>
      </c>
      <c r="C205" s="7" t="inlineStr">
        <is>
          <t>Armament@SECONDARY</t>
        </is>
      </c>
      <c r="L205" s="6" t="n">
        <v>4000</v>
      </c>
      <c r="M205" s="6" t="n">
        <v>100</v>
      </c>
      <c r="N205" s="6" t="n">
        <v>8</v>
      </c>
      <c r="O205" s="6" t="n">
        <v>3</v>
      </c>
      <c r="P205" s="6" t="n">
        <v>7000</v>
      </c>
      <c r="Q205" s="6" t="n">
        <v>1</v>
      </c>
      <c r="R205">
        <f>M205+IF(N205&gt;1,N(O205)*(N205-1),0)</f>
        <v/>
      </c>
      <c r="S205">
        <f>IFERROR(L205*MAX(N205,1)/R205*IF(ISBLANK(K202),1,K202),0)</f>
        <v/>
      </c>
      <c r="AB205" s="7" t="inlineStr">
        <is>
          <t>^Warhead_Bullet_Medium</t>
        </is>
      </c>
    </row>
    <row r="206">
      <c r="B206" s="7" t="inlineStr">
        <is>
          <t xml:space="preserve">  ↳ IncendiaryYakChainGun</t>
        </is>
      </c>
      <c r="C206" s="7" t="inlineStr">
        <is>
          <t>Armament@Upgrade1</t>
        </is>
      </c>
      <c r="L206" s="6" t="n">
        <v>8000</v>
      </c>
      <c r="M206" s="6" t="n">
        <v>100</v>
      </c>
      <c r="N206" s="6" t="n">
        <v>8</v>
      </c>
      <c r="O206" s="6" t="n">
        <v>3</v>
      </c>
      <c r="P206" s="6" t="n">
        <v>7000</v>
      </c>
      <c r="Q206" s="6" t="n">
        <v>0.875</v>
      </c>
      <c r="R206">
        <f>M206+IF(N206&gt;1,N(O206)*(N206-1),0)</f>
        <v/>
      </c>
      <c r="S206">
        <f>IFERROR(L206*MAX(N206,1)/R206*IF(ISBLANK(K202),1,K202),0)</f>
        <v/>
      </c>
      <c r="AB206" s="7" t="inlineStr">
        <is>
          <t>^Warhead_Flame_Light, ^Warhead_Bullet_Medium</t>
        </is>
      </c>
    </row>
    <row r="207">
      <c r="B207" s="7" t="inlineStr">
        <is>
          <t xml:space="preserve">  ↳ IncendiaryYakChainGun</t>
        </is>
      </c>
      <c r="C207" s="7" t="inlineStr">
        <is>
          <t>Armament@Upgrade2</t>
        </is>
      </c>
      <c r="L207" s="6" t="n">
        <v>8000</v>
      </c>
      <c r="M207" s="6" t="n">
        <v>100</v>
      </c>
      <c r="N207" s="6" t="n">
        <v>8</v>
      </c>
      <c r="O207" s="6" t="n">
        <v>3</v>
      </c>
      <c r="P207" s="6" t="n">
        <v>7000</v>
      </c>
      <c r="Q207" s="6" t="n">
        <v>0.875</v>
      </c>
      <c r="R207">
        <f>M207+IF(N207&gt;1,N(O207)*(N207-1),0)</f>
        <v/>
      </c>
      <c r="S207">
        <f>IFERROR(L207*MAX(N207,1)/R207*IF(ISBLANK(K202),1,K202),0)</f>
        <v/>
      </c>
      <c r="AB207" s="7" t="inlineStr">
        <is>
          <t>^Warhead_Flame_Light, ^Warhead_Bullet_Medium</t>
        </is>
      </c>
    </row>
    <row r="208">
      <c r="A208" t="inlineStr">
        <is>
          <t>redalert</t>
        </is>
      </c>
      <c r="B208" t="inlineStr">
        <is>
          <t>ra1_soviets_su57attackbomber</t>
        </is>
      </c>
      <c r="C208" t="inlineStr">
        <is>
          <t>Su-57 Attack Bomber</t>
        </is>
      </c>
      <c r="D208" s="6" t="inlineStr">
        <is>
          <t>Bomber</t>
        </is>
      </c>
      <c r="E208" s="6" t="n">
        <v>65000</v>
      </c>
      <c r="F208" s="6" t="n">
        <v>220</v>
      </c>
      <c r="G208" t="inlineStr">
        <is>
          <t>Bomber</t>
        </is>
      </c>
      <c r="H208" s="6" t="n">
        <v>0.5077</v>
      </c>
      <c r="I208" s="6" t="n">
        <v>1</v>
      </c>
      <c r="J208" s="6" t="n">
        <v>1</v>
      </c>
      <c r="K208" s="6" t="n">
        <v>0.0115</v>
      </c>
      <c r="P208">
        <f>MAX(P209,P210,P211,P212,P213,P214)</f>
        <v/>
      </c>
      <c r="S208">
        <f>S209+S210+S211+S212+S213+S214</f>
        <v/>
      </c>
      <c r="T208">
        <f>(E208/100000+F208/100+(P208/1000)*J208/5+S208/200)*200*I208*H208</f>
        <v/>
      </c>
      <c r="U208">
        <f>((E208*F208/25000)+((P208/1000)*J208*S208/2.5))*I208*H208</f>
        <v/>
      </c>
      <c r="V208">
        <f>(E208*F208*(P208/1000)*J208*S208*I208*H208)/12500000</f>
        <v/>
      </c>
      <c r="W208">
        <f>(T208+U208+V208)/3</f>
        <v/>
      </c>
      <c r="X208" s="6" t="n">
        <v>3000</v>
      </c>
      <c r="Y208">
        <f>IFERROR(W208-X208,"")</f>
        <v/>
      </c>
      <c r="Z208">
        <f>IFERROR(ABS(Y208)/MAX(X208,1),"")</f>
        <v/>
      </c>
      <c r="AA208">
        <f>IFERROR((X208-(((E208/100000+F208/100+S208/200)*200*I208*H208)+((E208*F208/25000)*I208*H208))/3)/(((J208/5)*200*I208*H208)+((J208*S208/2.5)*I208*H208)+((E208*F208*J208*S208*I208*H208)/12500000))/3*1000,"")</f>
        <v/>
      </c>
    </row>
    <row r="209">
      <c r="B209" s="7" t="inlineStr">
        <is>
          <t xml:space="preserve">  ↳ NuclearMaverick</t>
        </is>
      </c>
      <c r="C209" s="7" t="inlineStr">
        <is>
          <t>Armament</t>
        </is>
      </c>
      <c r="L209" s="6" t="n">
        <v>40000</v>
      </c>
      <c r="M209" s="6" t="n">
        <v>50</v>
      </c>
      <c r="N209" s="6" t="n">
        <v>2</v>
      </c>
      <c r="O209" s="6" t="n">
        <v>4</v>
      </c>
      <c r="P209" s="6" t="n">
        <v>7890</v>
      </c>
      <c r="Q209" s="6" t="n">
        <v>1.25</v>
      </c>
      <c r="R209">
        <f>M209+IF(N209&gt;1,N(O209)*(N209-1),0)</f>
        <v/>
      </c>
      <c r="S209">
        <f>IFERROR(L209*MAX(N209,1)/R209*IF(ISBLANK(K208),1,K208),0)</f>
        <v/>
      </c>
      <c r="AB209" s="7" t="inlineStr">
        <is>
          <t>^Warhead_MissileHE_Heavy</t>
        </is>
      </c>
    </row>
    <row r="210">
      <c r="B210" s="7" t="inlineStr">
        <is>
          <t xml:space="preserve">  ↳ ThermobaricNuclearMaverick</t>
        </is>
      </c>
      <c r="C210" s="7" t="inlineStr">
        <is>
          <t>Armament@HE</t>
        </is>
      </c>
      <c r="L210" s="6" t="n">
        <v>42000</v>
      </c>
      <c r="M210" s="6" t="n">
        <v>50</v>
      </c>
      <c r="N210" s="6" t="n">
        <v>2</v>
      </c>
      <c r="O210" s="6" t="n">
        <v>4</v>
      </c>
      <c r="P210" s="6" t="n">
        <v>7890</v>
      </c>
      <c r="Q210" s="6" t="n">
        <v>1.25</v>
      </c>
      <c r="R210">
        <f>M210+IF(N210&gt;1,N(O210)*(N210-1),0)</f>
        <v/>
      </c>
      <c r="S210">
        <f>IFERROR(L210*MAX(N210,1)/R210*IF(ISBLANK(K208),1,K208),0)</f>
        <v/>
      </c>
      <c r="AB210" s="7" t="inlineStr">
        <is>
          <t>^Warhead_MissileHE_Heavy, ^Warhead_Flame_Heavy</t>
        </is>
      </c>
    </row>
    <row r="211">
      <c r="B211" s="7" t="inlineStr">
        <is>
          <t xml:space="preserve">  ↳ YakChainGun</t>
        </is>
      </c>
      <c r="C211" s="7" t="inlineStr">
        <is>
          <t>Armament@PRIMARY</t>
        </is>
      </c>
      <c r="L211" s="6" t="n">
        <v>4000</v>
      </c>
      <c r="M211" s="6" t="n">
        <v>100</v>
      </c>
      <c r="N211" s="6" t="n">
        <v>8</v>
      </c>
      <c r="O211" s="6" t="n">
        <v>3</v>
      </c>
      <c r="P211" s="6" t="n">
        <v>7000</v>
      </c>
      <c r="Q211" s="6" t="n">
        <v>1</v>
      </c>
      <c r="R211">
        <f>M211+IF(N211&gt;1,N(O211)*(N211-1),0)</f>
        <v/>
      </c>
      <c r="S211">
        <f>IFERROR(L211*MAX(N211,1)/R211*IF(ISBLANK(K208),1,K208),0)</f>
        <v/>
      </c>
      <c r="AB211" s="7" t="inlineStr">
        <is>
          <t>^Warhead_Bullet_Medium</t>
        </is>
      </c>
    </row>
    <row r="212">
      <c r="B212" s="7" t="inlineStr">
        <is>
          <t xml:space="preserve">  ↳ YakChainGun</t>
        </is>
      </c>
      <c r="C212" s="7" t="inlineStr">
        <is>
          <t>Armament@SECONDARY</t>
        </is>
      </c>
      <c r="L212" s="6" t="n">
        <v>4000</v>
      </c>
      <c r="M212" s="6" t="n">
        <v>100</v>
      </c>
      <c r="N212" s="6" t="n">
        <v>8</v>
      </c>
      <c r="O212" s="6" t="n">
        <v>3</v>
      </c>
      <c r="P212" s="6" t="n">
        <v>7000</v>
      </c>
      <c r="Q212" s="6" t="n">
        <v>1</v>
      </c>
      <c r="R212">
        <f>M212+IF(N212&gt;1,N(O212)*(N212-1),0)</f>
        <v/>
      </c>
      <c r="S212">
        <f>IFERROR(L212*MAX(N212,1)/R212*IF(ISBLANK(K208),1,K208),0)</f>
        <v/>
      </c>
      <c r="AB212" s="7" t="inlineStr">
        <is>
          <t>^Warhead_Bullet_Medium</t>
        </is>
      </c>
    </row>
    <row r="213">
      <c r="B213" s="7" t="inlineStr">
        <is>
          <t xml:space="preserve">  ↳ IncendiaryYakChainGun</t>
        </is>
      </c>
      <c r="C213" s="7" t="inlineStr">
        <is>
          <t>Armament@Upgrade1</t>
        </is>
      </c>
      <c r="L213" s="6" t="n">
        <v>8000</v>
      </c>
      <c r="M213" s="6" t="n">
        <v>100</v>
      </c>
      <c r="N213" s="6" t="n">
        <v>8</v>
      </c>
      <c r="O213" s="6" t="n">
        <v>3</v>
      </c>
      <c r="P213" s="6" t="n">
        <v>7000</v>
      </c>
      <c r="Q213" s="6" t="n">
        <v>0.875</v>
      </c>
      <c r="R213">
        <f>M213+IF(N213&gt;1,N(O213)*(N213-1),0)</f>
        <v/>
      </c>
      <c r="S213">
        <f>IFERROR(L213*MAX(N213,1)/R213*IF(ISBLANK(K208),1,K208),0)</f>
        <v/>
      </c>
      <c r="AB213" s="7" t="inlineStr">
        <is>
          <t>^Warhead_Flame_Light, ^Warhead_Bullet_Medium</t>
        </is>
      </c>
    </row>
    <row r="214">
      <c r="B214" s="7" t="inlineStr">
        <is>
          <t xml:space="preserve">  ↳ IncendiaryYakChainGun</t>
        </is>
      </c>
      <c r="C214" s="7" t="inlineStr">
        <is>
          <t>Armament@Upgrade2</t>
        </is>
      </c>
      <c r="L214" s="6" t="n">
        <v>8000</v>
      </c>
      <c r="M214" s="6" t="n">
        <v>100</v>
      </c>
      <c r="N214" s="6" t="n">
        <v>8</v>
      </c>
      <c r="O214" s="6" t="n">
        <v>3</v>
      </c>
      <c r="P214" s="6" t="n">
        <v>7000</v>
      </c>
      <c r="Q214" s="6" t="n">
        <v>0.875</v>
      </c>
      <c r="R214">
        <f>M214+IF(N214&gt;1,N(O214)*(N214-1),0)</f>
        <v/>
      </c>
      <c r="S214">
        <f>IFERROR(L214*MAX(N214,1)/R214*IF(ISBLANK(K208),1,K208),0)</f>
        <v/>
      </c>
      <c r="AB214" s="7" t="inlineStr">
        <is>
          <t>^Warhead_Flame_Light, ^Warhead_Bullet_Medium</t>
        </is>
      </c>
    </row>
    <row r="215">
      <c r="A215" t="inlineStr">
        <is>
          <t>redalert</t>
        </is>
      </c>
      <c r="B215" t="inlineStr">
        <is>
          <t>ra1_soviets_supersonicnuclearbomber</t>
        </is>
      </c>
      <c r="C215" t="inlineStr">
        <is>
          <t>Supersonic Nuclear Bomber</t>
        </is>
      </c>
      <c r="D215" s="6" t="inlineStr">
        <is>
          <t>Bomber</t>
        </is>
      </c>
      <c r="E215" s="6" t="n">
        <v>125000</v>
      </c>
      <c r="F215" s="6" t="n">
        <v>200</v>
      </c>
      <c r="G215" t="inlineStr">
        <is>
          <t>Bomber</t>
        </is>
      </c>
      <c r="H215" s="6" t="n">
        <v>0.5077</v>
      </c>
      <c r="I215" s="6" t="n">
        <v>1</v>
      </c>
      <c r="J215" s="6" t="n">
        <v>1</v>
      </c>
      <c r="K215" s="6" t="n"/>
      <c r="P215">
        <f>MAX(P216)</f>
        <v/>
      </c>
      <c r="S215">
        <f>S216</f>
        <v/>
      </c>
      <c r="T215">
        <f>(E215/100000+F215/100+(P215/1000)*J215/5+S215/200)*200*I215*H215</f>
        <v/>
      </c>
      <c r="U215">
        <f>((E215*F215/25000)+((P215/1000)*J215*S215/2.5))*I215*H215</f>
        <v/>
      </c>
      <c r="V215">
        <f>(E215*F215*(P215/1000)*J215*S215*I215*H215)/12500000</f>
        <v/>
      </c>
      <c r="W215">
        <f>(T215+U215+V215)/3</f>
        <v/>
      </c>
      <c r="X215" s="6" t="n">
        <v>7000</v>
      </c>
      <c r="Y215">
        <f>IFERROR(W215-X215,"")</f>
        <v/>
      </c>
      <c r="Z215">
        <f>IFERROR(ABS(Y215)/MAX(X215,1),"")</f>
        <v/>
      </c>
      <c r="AA215">
        <f>IFERROR((X215-(((E215/100000+F215/100+S215/200)*200*I215*H215)+((E215*F215/25000)*I215*H215))/3)/(((J215/5)*200*I215*H215)+((J215*S215/2.5)*I215*H215)+((E215*F215*J215*S215*I215*H215)/12500000))/3*1000,"")</f>
        <v/>
      </c>
    </row>
    <row r="216">
      <c r="B216" s="7" t="inlineStr">
        <is>
          <t xml:space="preserve">  ↳ ParaBombNuke</t>
        </is>
      </c>
      <c r="C216" s="7" t="inlineStr">
        <is>
          <t>Armament@Nuke</t>
        </is>
      </c>
      <c r="L216" s="6" t="n">
        <v>400000</v>
      </c>
      <c r="M216" s="6" t="n">
        <v>50</v>
      </c>
      <c r="N216" s="6" t="n">
        <v>1</v>
      </c>
      <c r="O216" s="6" t="n"/>
      <c r="P216" s="6" t="n">
        <v>750</v>
      </c>
      <c r="Q216" s="6" t="n">
        <v>1</v>
      </c>
      <c r="R216">
        <f>M216+IF(N216&gt;1,N(O216)*(N216-1),0)</f>
        <v/>
      </c>
      <c r="S216">
        <f>IFERROR(L216*MAX(N216,1)/R216*IF(ISBLANK(K215),1,K215),0)</f>
        <v/>
      </c>
      <c r="AB216" s="7" t="inlineStr">
        <is>
          <t>^HeavyBomb, ^HeavyChemicalWeapon, ^HeavyFlameWeapon, ^NuclearWarhead</t>
        </is>
      </c>
    </row>
    <row r="217">
      <c r="A217" t="inlineStr">
        <is>
          <t>redalert</t>
        </is>
      </c>
      <c r="B217" t="inlineStr">
        <is>
          <t>ra1_soviets_teslayak</t>
        </is>
      </c>
      <c r="C217" t="inlineStr">
        <is>
          <t>Tesla Yak</t>
        </is>
      </c>
      <c r="D217" s="6" t="inlineStr">
        <is>
          <t>Fighter</t>
        </is>
      </c>
      <c r="E217" s="6" t="n">
        <v>64000</v>
      </c>
      <c r="F217" s="6" t="n">
        <v>190</v>
      </c>
      <c r="G217" t="inlineStr">
        <is>
          <t>Fighter</t>
        </is>
      </c>
      <c r="H217" s="6" t="n">
        <v>1</v>
      </c>
      <c r="I217" s="6" t="n">
        <v>1</v>
      </c>
      <c r="J217" s="6" t="n">
        <v>1</v>
      </c>
      <c r="K217" s="6" t="n">
        <v>0.0025</v>
      </c>
      <c r="P217">
        <f>MAX(P218,P219,P220,P221,P222,P223,P224)</f>
        <v/>
      </c>
      <c r="S217">
        <f>S218+S219+S220+S221+S222+S223+S224</f>
        <v/>
      </c>
      <c r="T217">
        <f>(E217/100000+F217/100+(P217/1000)*J217/5+S217/200)*200*I217*H217</f>
        <v/>
      </c>
      <c r="U217">
        <f>((E217*F217/25000)+((P217/1000)*J217*S217/2.5))*I217*H217</f>
        <v/>
      </c>
      <c r="V217">
        <f>(E217*F217*(P217/1000)*J217*S217*I217*H217)/12500000</f>
        <v/>
      </c>
      <c r="W217">
        <f>(T217+U217+V217)/3</f>
        <v/>
      </c>
      <c r="X217" s="6" t="n">
        <v>2000</v>
      </c>
      <c r="Y217">
        <f>IFERROR(W217-X217,"")</f>
        <v/>
      </c>
      <c r="Z217">
        <f>IFERROR(ABS(Y217)/MAX(X217,1),"")</f>
        <v/>
      </c>
      <c r="AA217">
        <f>IFERROR((X217-(((E217/100000+F217/100+S217/200)*200*I217*H217)+((E217*F217/25000)*I217*H217))/3)/(((J217/5)*200*I217*H217)+((J217*S217/2.5)*I217*H217)+((E217*F217*J217*S217*I217*H217)/12500000))/3*1000,"")</f>
        <v/>
      </c>
    </row>
    <row r="218">
      <c r="B218" s="7" t="inlineStr">
        <is>
          <t xml:space="preserve">  ↳ YakTeslaBomb</t>
        </is>
      </c>
      <c r="C218" s="7" t="inlineStr">
        <is>
          <t>Armament@BOMBS</t>
        </is>
      </c>
      <c r="L218" s="6" t="n">
        <v>160000</v>
      </c>
      <c r="M218" s="6" t="n">
        <v>125</v>
      </c>
      <c r="N218" s="6" t="n">
        <v>1</v>
      </c>
      <c r="O218" s="6" t="n"/>
      <c r="P218" s="6" t="n">
        <v>1250</v>
      </c>
      <c r="Q218" s="6" t="n">
        <v>1</v>
      </c>
      <c r="R218">
        <f>M218+IF(N218&gt;1,N(O218)*(N218-1),0)</f>
        <v/>
      </c>
      <c r="S218">
        <f>IFERROR(L218*MAX(N218,1)/R218*IF(ISBLANK(K217),1,K217),0)</f>
        <v/>
      </c>
      <c r="AB218" s="7" t="inlineStr">
        <is>
          <t>^TeslaWeapon, ^HeavyBomb, ^HeavyChemicalWeapon, ^HeavyFlameWeapon, ^Effect_Kirov_Tesla_RA2</t>
        </is>
      </c>
    </row>
    <row r="219">
      <c r="B219" s="7" t="inlineStr">
        <is>
          <t xml:space="preserve">  ↳ YakTeslaGun</t>
        </is>
      </c>
      <c r="C219" s="7" t="inlineStr">
        <is>
          <t>Armament@Tesla</t>
        </is>
      </c>
      <c r="L219" s="6" t="n">
        <v>16000</v>
      </c>
      <c r="M219" s="6" t="n">
        <v>100</v>
      </c>
      <c r="N219" s="6" t="n">
        <v>8</v>
      </c>
      <c r="O219" s="6" t="n">
        <v>3</v>
      </c>
      <c r="P219" s="6" t="n">
        <v>7000</v>
      </c>
      <c r="Q219" s="6" t="n">
        <v>1</v>
      </c>
      <c r="R219">
        <f>M219+IF(N219&gt;1,N(O219)*(N219-1),0)</f>
        <v/>
      </c>
      <c r="S219">
        <f>IFERROR(L219*MAX(N219,1)/R219*IF(ISBLANK(K217),1,K217),0)</f>
        <v/>
      </c>
      <c r="AB219" s="7" t="inlineStr">
        <is>
          <t>^Warhead_MissileAP_Light, ^Warhead_Tesla_Heavy</t>
        </is>
      </c>
    </row>
    <row r="220">
      <c r="B220" s="7" t="inlineStr">
        <is>
          <t xml:space="preserve">  ↳ YakTeslaGunArc</t>
        </is>
      </c>
      <c r="C220" s="7" t="inlineStr">
        <is>
          <t>Armament@Arcing</t>
        </is>
      </c>
      <c r="L220" s="6" t="n">
        <v>16000</v>
      </c>
      <c r="M220" s="6" t="n">
        <v>100</v>
      </c>
      <c r="N220" s="6" t="n">
        <v>8</v>
      </c>
      <c r="O220" s="6" t="n">
        <v>3</v>
      </c>
      <c r="P220" s="6" t="n">
        <v>7000</v>
      </c>
      <c r="Q220" s="6" t="n">
        <v>1</v>
      </c>
      <c r="R220">
        <f>M220+IF(N220&gt;1,N(O220)*(N220-1),0)</f>
        <v/>
      </c>
      <c r="S220">
        <f>IFERROR(L220*MAX(N220,1)/R220*IF(ISBLANK(K217),1,K217),0)</f>
        <v/>
      </c>
      <c r="AB220" s="7" t="inlineStr">
        <is>
          <t>^Warhead_MissileAP_Light, ^Warhead_Tesla_Heavy</t>
        </is>
      </c>
    </row>
    <row r="221">
      <c r="B221" s="7" t="inlineStr">
        <is>
          <t xml:space="preserve">  ↳ YakChainGun</t>
        </is>
      </c>
      <c r="C221" s="7" t="inlineStr">
        <is>
          <t>Armament@PRIMARY</t>
        </is>
      </c>
      <c r="L221" s="6" t="n">
        <v>4000</v>
      </c>
      <c r="M221" s="6" t="n">
        <v>100</v>
      </c>
      <c r="N221" s="6" t="n">
        <v>8</v>
      </c>
      <c r="O221" s="6" t="n">
        <v>3</v>
      </c>
      <c r="P221" s="6" t="n">
        <v>7000</v>
      </c>
      <c r="Q221" s="6" t="n">
        <v>1</v>
      </c>
      <c r="R221">
        <f>M221+IF(N221&gt;1,N(O221)*(N221-1),0)</f>
        <v/>
      </c>
      <c r="S221">
        <f>IFERROR(L221*MAX(N221,1)/R221*IF(ISBLANK(K217),1,K217),0)</f>
        <v/>
      </c>
      <c r="AB221" s="7" t="inlineStr">
        <is>
          <t>^Warhead_Bullet_Medium</t>
        </is>
      </c>
    </row>
    <row r="222">
      <c r="B222" s="7" t="inlineStr">
        <is>
          <t xml:space="preserve">  ↳ YakChainGun</t>
        </is>
      </c>
      <c r="C222" s="7" t="inlineStr">
        <is>
          <t>Armament@SECONDARY</t>
        </is>
      </c>
      <c r="L222" s="6" t="n">
        <v>4000</v>
      </c>
      <c r="M222" s="6" t="n">
        <v>100</v>
      </c>
      <c r="N222" s="6" t="n">
        <v>8</v>
      </c>
      <c r="O222" s="6" t="n">
        <v>3</v>
      </c>
      <c r="P222" s="6" t="n">
        <v>7000</v>
      </c>
      <c r="Q222" s="6" t="n">
        <v>1</v>
      </c>
      <c r="R222">
        <f>M222+IF(N222&gt;1,N(O222)*(N222-1),0)</f>
        <v/>
      </c>
      <c r="S222">
        <f>IFERROR(L222*MAX(N222,1)/R222*IF(ISBLANK(K217),1,K217),0)</f>
        <v/>
      </c>
      <c r="AB222" s="7" t="inlineStr">
        <is>
          <t>^Warhead_Bullet_Medium</t>
        </is>
      </c>
    </row>
    <row r="223">
      <c r="B223" s="7" t="inlineStr">
        <is>
          <t xml:space="preserve">  ↳ IncendiaryYakChainGun</t>
        </is>
      </c>
      <c r="C223" s="7" t="inlineStr">
        <is>
          <t>Armament@Upgrade1</t>
        </is>
      </c>
      <c r="L223" s="6" t="n">
        <v>8000</v>
      </c>
      <c r="M223" s="6" t="n">
        <v>100</v>
      </c>
      <c r="N223" s="6" t="n">
        <v>8</v>
      </c>
      <c r="O223" s="6" t="n">
        <v>3</v>
      </c>
      <c r="P223" s="6" t="n">
        <v>7000</v>
      </c>
      <c r="Q223" s="6" t="n">
        <v>0.875</v>
      </c>
      <c r="R223">
        <f>M223+IF(N223&gt;1,N(O223)*(N223-1),0)</f>
        <v/>
      </c>
      <c r="S223">
        <f>IFERROR(L223*MAX(N223,1)/R223*IF(ISBLANK(K217),1,K217),0)</f>
        <v/>
      </c>
      <c r="AB223" s="7" t="inlineStr">
        <is>
          <t>^Warhead_Flame_Light, ^Warhead_Bullet_Medium</t>
        </is>
      </c>
    </row>
    <row r="224">
      <c r="B224" s="7" t="inlineStr">
        <is>
          <t xml:space="preserve">  ↳ IncendiaryYakChainGun</t>
        </is>
      </c>
      <c r="C224" s="7" t="inlineStr">
        <is>
          <t>Armament@Upgrade2</t>
        </is>
      </c>
      <c r="L224" s="6" t="n">
        <v>8000</v>
      </c>
      <c r="M224" s="6" t="n">
        <v>100</v>
      </c>
      <c r="N224" s="6" t="n">
        <v>8</v>
      </c>
      <c r="O224" s="6" t="n">
        <v>3</v>
      </c>
      <c r="P224" s="6" t="n">
        <v>7000</v>
      </c>
      <c r="Q224" s="6" t="n">
        <v>0.875</v>
      </c>
      <c r="R224">
        <f>M224+IF(N224&gt;1,N(O224)*(N224-1),0)</f>
        <v/>
      </c>
      <c r="S224">
        <f>IFERROR(L224*MAX(N224,1)/R224*IF(ISBLANK(K217),1,K217),0)</f>
        <v/>
      </c>
      <c r="AB224" s="7" t="inlineStr">
        <is>
          <t>^Warhead_Flame_Light, ^Warhead_Bullet_Medium</t>
        </is>
      </c>
    </row>
    <row r="225">
      <c r="A225" t="inlineStr">
        <is>
          <t>redalert</t>
        </is>
      </c>
      <c r="B225" t="inlineStr">
        <is>
          <t>ra1_soviets_yakscoutplane</t>
        </is>
      </c>
      <c r="C225" t="inlineStr">
        <is>
          <t>Yak Scout Plane</t>
        </is>
      </c>
      <c r="D225" s="6" t="inlineStr">
        <is>
          <t>Fighter</t>
        </is>
      </c>
      <c r="E225" s="6" t="n">
        <v>32000</v>
      </c>
      <c r="F225" s="6" t="n">
        <v>170</v>
      </c>
      <c r="G225" t="inlineStr">
        <is>
          <t>Fighter</t>
        </is>
      </c>
      <c r="H225" s="6" t="n">
        <v>0.7333</v>
      </c>
      <c r="I225" s="6" t="n">
        <v>1</v>
      </c>
      <c r="J225" s="6" t="n">
        <v>1</v>
      </c>
      <c r="K225" s="6" t="n">
        <v>0.0025</v>
      </c>
      <c r="P225">
        <f>MAX(P226,P227,P228,P229,P230)</f>
        <v/>
      </c>
      <c r="S225">
        <f>S226+S227+S228+S229+S230</f>
        <v/>
      </c>
      <c r="T225">
        <f>(E225/100000+F225/100+(P225/1000)*J225/5+S225/200)*200*I225*H225</f>
        <v/>
      </c>
      <c r="U225">
        <f>((E225*F225/25000)+((P225/1000)*J225*S225/2.5))*I225*H225</f>
        <v/>
      </c>
      <c r="V225">
        <f>(E225*F225*(P225/1000)*J225*S225*I225*H225)/12500000</f>
        <v/>
      </c>
      <c r="W225">
        <f>(T225+U225+V225)/3</f>
        <v/>
      </c>
      <c r="X225" s="6" t="n">
        <v>800</v>
      </c>
      <c r="Y225">
        <f>IFERROR(W225-X225,"")</f>
        <v/>
      </c>
      <c r="Z225">
        <f>IFERROR(ABS(Y225)/MAX(X225,1),"")</f>
        <v/>
      </c>
      <c r="AA225">
        <f>IFERROR((X225-(((E225/100000+F225/100+S225/200)*200*I225*H225)+((E225*F225/25000)*I225*H225))/3)/(((J225/5)*200*I225*H225)+((J225*S225/2.5)*I225*H225)+((E225*F225*J225*S225*I225*H225)/12500000))/3*1000,"")</f>
        <v/>
      </c>
    </row>
    <row r="226">
      <c r="B226" s="7" t="inlineStr">
        <is>
          <t xml:space="preserve">  ↳ YakNapalm</t>
        </is>
      </c>
      <c r="C226" s="7" t="inlineStr">
        <is>
          <t>Armament@BOMBS</t>
        </is>
      </c>
      <c r="L226" s="6" t="n">
        <v>40000</v>
      </c>
      <c r="M226" s="6" t="n">
        <v>110</v>
      </c>
      <c r="N226" s="6" t="n">
        <v>4</v>
      </c>
      <c r="O226" s="6" t="n">
        <v>3</v>
      </c>
      <c r="P226" s="6" t="n">
        <v>1840</v>
      </c>
      <c r="Q226" s="6" t="n">
        <v>1</v>
      </c>
      <c r="R226">
        <f>M226+IF(N226&gt;1,N(O226)*(N226-1),0)</f>
        <v/>
      </c>
      <c r="S226">
        <f>IFERROR(L226*MAX(N226,1)/R226*IF(ISBLANK(K225),1,K225),0)</f>
        <v/>
      </c>
      <c r="AB226" s="7" t="inlineStr">
        <is>
          <t>^ShrapnelWeapon, ^HeavyBomb, ^MediumFlameWeapon, ^HeavyFlameWeapon</t>
        </is>
      </c>
    </row>
    <row r="227">
      <c r="B227" s="7" t="inlineStr">
        <is>
          <t xml:space="preserve">  ↳ YakChainGun</t>
        </is>
      </c>
      <c r="C227" s="7" t="inlineStr">
        <is>
          <t>Armament@PRIMARY</t>
        </is>
      </c>
      <c r="L227" s="6" t="n">
        <v>4000</v>
      </c>
      <c r="M227" s="6" t="n">
        <v>100</v>
      </c>
      <c r="N227" s="6" t="n">
        <v>8</v>
      </c>
      <c r="O227" s="6" t="n">
        <v>3</v>
      </c>
      <c r="P227" s="6" t="n">
        <v>7000</v>
      </c>
      <c r="Q227" s="6" t="n">
        <v>1</v>
      </c>
      <c r="R227">
        <f>M227+IF(N227&gt;1,N(O227)*(N227-1),0)</f>
        <v/>
      </c>
      <c r="S227">
        <f>IFERROR(L227*MAX(N227,1)/R227*IF(ISBLANK(K225),1,K225),0)</f>
        <v/>
      </c>
      <c r="AB227" s="7" t="inlineStr">
        <is>
          <t>^Warhead_Bullet_Medium</t>
        </is>
      </c>
    </row>
    <row r="228">
      <c r="B228" s="7" t="inlineStr">
        <is>
          <t xml:space="preserve">  ↳ YakChainGun</t>
        </is>
      </c>
      <c r="C228" s="7" t="inlineStr">
        <is>
          <t>Armament@SECONDARY</t>
        </is>
      </c>
      <c r="L228" s="6" t="n">
        <v>4000</v>
      </c>
      <c r="M228" s="6" t="n">
        <v>100</v>
      </c>
      <c r="N228" s="6" t="n">
        <v>8</v>
      </c>
      <c r="O228" s="6" t="n">
        <v>3</v>
      </c>
      <c r="P228" s="6" t="n">
        <v>7000</v>
      </c>
      <c r="Q228" s="6" t="n">
        <v>1</v>
      </c>
      <c r="R228">
        <f>M228+IF(N228&gt;1,N(O228)*(N228-1),0)</f>
        <v/>
      </c>
      <c r="S228">
        <f>IFERROR(L228*MAX(N228,1)/R228*IF(ISBLANK(K225),1,K225),0)</f>
        <v/>
      </c>
      <c r="AB228" s="7" t="inlineStr">
        <is>
          <t>^Warhead_Bullet_Medium</t>
        </is>
      </c>
    </row>
    <row r="229">
      <c r="B229" s="7" t="inlineStr">
        <is>
          <t xml:space="preserve">  ↳ IncendiaryYakChainGun</t>
        </is>
      </c>
      <c r="C229" s="7" t="inlineStr">
        <is>
          <t>Armament@Upgrade1</t>
        </is>
      </c>
      <c r="L229" s="6" t="n">
        <v>8000</v>
      </c>
      <c r="M229" s="6" t="n">
        <v>100</v>
      </c>
      <c r="N229" s="6" t="n">
        <v>8</v>
      </c>
      <c r="O229" s="6" t="n">
        <v>3</v>
      </c>
      <c r="P229" s="6" t="n">
        <v>7000</v>
      </c>
      <c r="Q229" s="6" t="n">
        <v>0.875</v>
      </c>
      <c r="R229">
        <f>M229+IF(N229&gt;1,N(O229)*(N229-1),0)</f>
        <v/>
      </c>
      <c r="S229">
        <f>IFERROR(L229*MAX(N229,1)/R229*IF(ISBLANK(K225),1,K225),0)</f>
        <v/>
      </c>
      <c r="AB229" s="7" t="inlineStr">
        <is>
          <t>^Warhead_Flame_Light, ^Warhead_Bullet_Medium</t>
        </is>
      </c>
    </row>
    <row r="230">
      <c r="B230" s="7" t="inlineStr">
        <is>
          <t xml:space="preserve">  ↳ IncendiaryYakChainGun</t>
        </is>
      </c>
      <c r="C230" s="7" t="inlineStr">
        <is>
          <t>Armament@Upgrade2</t>
        </is>
      </c>
      <c r="L230" s="6" t="n">
        <v>8000</v>
      </c>
      <c r="M230" s="6" t="n">
        <v>100</v>
      </c>
      <c r="N230" s="6" t="n">
        <v>8</v>
      </c>
      <c r="O230" s="6" t="n">
        <v>3</v>
      </c>
      <c r="P230" s="6" t="n">
        <v>7000</v>
      </c>
      <c r="Q230" s="6" t="n">
        <v>0.875</v>
      </c>
      <c r="R230">
        <f>M230+IF(N230&gt;1,N(O230)*(N230-1),0)</f>
        <v/>
      </c>
      <c r="S230">
        <f>IFERROR(L230*MAX(N230,1)/R230*IF(ISBLANK(K225),1,K225),0)</f>
        <v/>
      </c>
      <c r="AB230" s="7" t="inlineStr">
        <is>
          <t>^Warhead_Flame_Light, ^Warhead_Bullet_Medium</t>
        </is>
      </c>
    </row>
    <row r="231">
      <c r="A231" s="4" t="inlineStr">
        <is>
          <t>DEFENSES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t="inlineStr">
        <is>
          <t>redalert</t>
        </is>
      </c>
      <c r="B232" t="inlineStr">
        <is>
          <t>ra1_soviets_flametower</t>
        </is>
      </c>
      <c r="C232" t="inlineStr">
        <is>
          <t>Flame Tower</t>
        </is>
      </c>
      <c r="D232" s="6" t="inlineStr">
        <is>
          <t>BasicDefense</t>
        </is>
      </c>
      <c r="E232" s="6" t="n">
        <v>64000</v>
      </c>
      <c r="F232" s="6" t="n">
        <v>100</v>
      </c>
      <c r="G232" t="inlineStr">
        <is>
          <t>Concrete</t>
        </is>
      </c>
      <c r="H232" s="6" t="n">
        <v>1</v>
      </c>
      <c r="I232" s="6" t="n">
        <v>0.35</v>
      </c>
      <c r="J232" s="6" t="n">
        <v>1</v>
      </c>
      <c r="K232" s="6" t="n"/>
      <c r="P232">
        <f>MAX(P233,P234)</f>
        <v/>
      </c>
      <c r="S232">
        <f>S233+S234</f>
        <v/>
      </c>
      <c r="T232">
        <f>(E232/100000+F232/100+(P232/1000)*J232/5+S232/200)*200*I232*H232</f>
        <v/>
      </c>
      <c r="U232">
        <f>((E232*F232/25000)+((P232/1000)*J232*S232/2.5))*I232*H232</f>
        <v/>
      </c>
      <c r="V232">
        <f>(E232*F232*(P232/1000)*J232*S232*I232*H232)/12500000</f>
        <v/>
      </c>
      <c r="W232">
        <f>(T232+U232+V232)/3</f>
        <v/>
      </c>
      <c r="X232" s="6" t="n">
        <v>600</v>
      </c>
      <c r="Y232">
        <f>IFERROR(W232-X232,"")</f>
        <v/>
      </c>
      <c r="Z232">
        <f>IFERROR(ABS(Y232)/MAX(X232,1),"")</f>
        <v/>
      </c>
      <c r="AA232">
        <f>IFERROR((X232-(((E232/100000+F232/100+S232/200)*200*I232*H232)+((E232*F232/25000)*I232*H232))/3)/(((J232/5)*200*I232*H232)+((J232*S232/2.5)*I232*H232)+((E232*F232*J232*S232*I232*H232)/12500000))/3*1000,"")</f>
        <v/>
      </c>
    </row>
    <row r="233">
      <c r="B233" s="7" t="inlineStr">
        <is>
          <t xml:space="preserve">  ↳ FireballLauncher</t>
        </is>
      </c>
      <c r="C233" s="7" t="inlineStr">
        <is>
          <t>Armament</t>
        </is>
      </c>
      <c r="L233" s="6" t="n">
        <v>18000</v>
      </c>
      <c r="M233" s="6" t="n">
        <v>30</v>
      </c>
      <c r="N233" s="6" t="n">
        <v>1</v>
      </c>
      <c r="O233" s="6" t="n"/>
      <c r="P233" s="6" t="n">
        <v>6742</v>
      </c>
      <c r="Q233" s="6" t="n">
        <v>1</v>
      </c>
      <c r="R233">
        <f>M233+IF(N233&gt;1,N(O233)*(N233-1),0)</f>
        <v/>
      </c>
      <c r="S233">
        <f>IFERROR(L233*MAX(N233,1)/R233*IF(ISBLANK(K232),1,K232),0)</f>
        <v/>
      </c>
      <c r="AB233" s="7" t="inlineStr">
        <is>
          <t>^Warhead_Flame_Medium</t>
        </is>
      </c>
    </row>
    <row r="234">
      <c r="B234" s="7" t="inlineStr">
        <is>
          <t xml:space="preserve">  ↳ FireballLauncherThermobaric</t>
        </is>
      </c>
      <c r="C234" s="7" t="inlineStr">
        <is>
          <t>Armament@Upgrade</t>
        </is>
      </c>
      <c r="L234" s="6" t="n">
        <v>20000</v>
      </c>
      <c r="M234" s="6" t="n">
        <v>30</v>
      </c>
      <c r="N234" s="6" t="n">
        <v>1</v>
      </c>
      <c r="O234" s="6" t="n"/>
      <c r="P234" s="6" t="n">
        <v>6742</v>
      </c>
      <c r="Q234" s="6" t="n">
        <v>1</v>
      </c>
      <c r="R234">
        <f>M234+IF(N234&gt;1,N(O234)*(N234-1),0)</f>
        <v/>
      </c>
      <c r="S234">
        <f>IFERROR(L234*MAX(N234,1)/R234*IF(ISBLANK(K232),1,K232),0)</f>
        <v/>
      </c>
      <c r="AB234" s="7" t="inlineStr">
        <is>
          <t>^Warhead_Flame_Medium</t>
        </is>
      </c>
    </row>
    <row r="235">
      <c r="A235" t="inlineStr">
        <is>
          <t>redalert</t>
        </is>
      </c>
      <c r="B235" t="inlineStr">
        <is>
          <t>ra1_soviets_ironcurtain</t>
        </is>
      </c>
      <c r="C235" t="inlineStr">
        <is>
          <t>Iron Curtain</t>
        </is>
      </c>
      <c r="D235" s="6" t="inlineStr">
        <is>
          <t>Defense</t>
        </is>
      </c>
      <c r="E235" s="6" t="n">
        <v>1000000</v>
      </c>
      <c r="F235" s="6" t="n">
        <v>100</v>
      </c>
      <c r="G235" t="inlineStr">
        <is>
          <t>Concrete</t>
        </is>
      </c>
      <c r="H235" s="6" t="n">
        <v>0.5593</v>
      </c>
      <c r="I235" s="6" t="n">
        <v>1</v>
      </c>
      <c r="J235" s="6" t="n">
        <v>1</v>
      </c>
      <c r="K235" s="6" t="n"/>
      <c r="X235" s="6" t="n">
        <v>5000</v>
      </c>
    </row>
    <row r="236">
      <c r="A236" t="inlineStr">
        <is>
          <t>redalert</t>
        </is>
      </c>
      <c r="B236" t="inlineStr">
        <is>
          <t>ra1_soviets_missilesilo</t>
        </is>
      </c>
      <c r="C236" t="inlineStr">
        <is>
          <t>Soviet Missile Silo</t>
        </is>
      </c>
      <c r="D236" s="6" t="inlineStr">
        <is>
          <t>Defense</t>
        </is>
      </c>
      <c r="E236" s="6" t="n">
        <v>1000000</v>
      </c>
      <c r="F236" s="6" t="n">
        <v>100</v>
      </c>
      <c r="G236" t="inlineStr">
        <is>
          <t>Concrete</t>
        </is>
      </c>
      <c r="H236" s="6" t="n">
        <v>0.5593</v>
      </c>
      <c r="I236" s="6" t="n">
        <v>1</v>
      </c>
      <c r="J236" s="6" t="n">
        <v>1</v>
      </c>
      <c r="K236" s="6" t="n"/>
      <c r="X236" s="6" t="n">
        <v>10000</v>
      </c>
    </row>
    <row r="237">
      <c r="A237" t="inlineStr">
        <is>
          <t>redalert</t>
        </is>
      </c>
      <c r="B237" t="inlineStr">
        <is>
          <t>ra1_soviets_samsite</t>
        </is>
      </c>
      <c r="C237" t="inlineStr">
        <is>
          <t>Soviet SAM Site</t>
        </is>
      </c>
      <c r="D237" s="6" t="inlineStr">
        <is>
          <t>AntiAirDefense</t>
        </is>
      </c>
      <c r="E237" s="6" t="n">
        <v>75000</v>
      </c>
      <c r="F237" s="6" t="n">
        <v>100</v>
      </c>
      <c r="G237" t="inlineStr">
        <is>
          <t>Concrete</t>
        </is>
      </c>
      <c r="H237" s="6" t="n">
        <v>1</v>
      </c>
      <c r="I237" s="6" t="n">
        <v>0.225</v>
      </c>
      <c r="J237" s="6" t="n">
        <v>1</v>
      </c>
      <c r="K237" s="6" t="n">
        <v>0.011</v>
      </c>
      <c r="P237">
        <f>MAX(P238)</f>
        <v/>
      </c>
      <c r="S237">
        <f>S238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(T237+U237+V237)/3</f>
        <v/>
      </c>
      <c r="X237" s="6" t="n">
        <v>700</v>
      </c>
      <c r="Y237">
        <f>IFERROR(W237-X237,"")</f>
        <v/>
      </c>
      <c r="Z237">
        <f>IFERROR(ABS(Y237)/MAX(X237,1),"")</f>
        <v/>
      </c>
      <c r="AA237">
        <f>IFERROR((X237-(((E237/100000+F237/100+S237/200)*200*I237*H237)+((E237*F237/25000)*I237*H237))/3)/(((J237/5)*200*I237*H237)+((J237*S237/2.5)*I237*H237)+((E237*F237*J237*S237*I237*H237)/12500000))/3*1000,"")</f>
        <v/>
      </c>
    </row>
    <row r="238">
      <c r="B238" s="7" t="inlineStr">
        <is>
          <t xml:space="preserve">  ↳ Nike</t>
        </is>
      </c>
      <c r="C238" s="7" t="inlineStr">
        <is>
          <t>Armament</t>
        </is>
      </c>
      <c r="L238" s="6" t="n">
        <v>16000</v>
      </c>
      <c r="M238" s="6" t="n">
        <v>27</v>
      </c>
      <c r="N238" s="6" t="n">
        <v>1</v>
      </c>
      <c r="O238" s="6" t="n"/>
      <c r="P238" s="6" t="n">
        <v>12790</v>
      </c>
      <c r="Q238" s="6" t="n">
        <v>1</v>
      </c>
      <c r="R238">
        <f>M238+IF(N238&gt;1,N(O238)*(N238-1),0)</f>
        <v/>
      </c>
      <c r="S238">
        <f>IFERROR(L238*MAX(N238,1)/R238*IF(ISBLANK(K237),1,K237),0)</f>
        <v/>
      </c>
      <c r="AB238" s="7" t="inlineStr">
        <is>
          <t>^FlakWeapon, ^HeavyMissile, ^MediumMissile, ^LightMissile</t>
        </is>
      </c>
    </row>
    <row r="239">
      <c r="A239" t="inlineStr">
        <is>
          <t>redalert</t>
        </is>
      </c>
      <c r="B239" t="inlineStr">
        <is>
          <t>ra1_soviets_teslacoil</t>
        </is>
      </c>
      <c r="C239" t="inlineStr">
        <is>
          <t>Tesla Coil</t>
        </is>
      </c>
      <c r="D239" s="6" t="inlineStr">
        <is>
          <t>AdvancedDefense</t>
        </is>
      </c>
      <c r="E239" s="6" t="n">
        <v>90000</v>
      </c>
      <c r="F239" s="6" t="n">
        <v>100</v>
      </c>
      <c r="G239" t="inlineStr">
        <is>
          <t>Steel</t>
        </is>
      </c>
      <c r="H239" s="6" t="n">
        <v>0.5593</v>
      </c>
      <c r="I239" s="6" t="n">
        <v>1</v>
      </c>
      <c r="J239" s="6" t="n">
        <v>1</v>
      </c>
      <c r="K239" s="6" t="n"/>
      <c r="P239">
        <f>MAX(P240,P241,P242)</f>
        <v/>
      </c>
      <c r="S239">
        <f>S240+S241+S242</f>
        <v/>
      </c>
      <c r="T239">
        <f>(E239/100000+F239/100+(P239/1000)*J239/5+S239/200)*200*I239*H239</f>
        <v/>
      </c>
      <c r="U239">
        <f>((E239*F239/25000)+((P239/1000)*J239*S239/2.5))*I239*H239</f>
        <v/>
      </c>
      <c r="V239">
        <f>(E239*F239*(P239/1000)*J239*S239*I239*H239)/12500000</f>
        <v/>
      </c>
      <c r="W239">
        <f>(T239+U239+V239)/3</f>
        <v/>
      </c>
      <c r="X239" s="6" t="n">
        <v>1500</v>
      </c>
      <c r="Y239">
        <f>IFERROR(W239-X239,"")</f>
        <v/>
      </c>
      <c r="Z239">
        <f>IFERROR(ABS(Y239)/MAX(X239,1),"")</f>
        <v/>
      </c>
      <c r="AA239">
        <f>IFERROR((X239-(((E239/100000+F239/100+S239/200)*200*I239*H239)+((E239*F239/25000)*I239*H239))/3)/(((J239/5)*200*I239*H239)+((J239*S239/2.5)*I239*H239)+((E239*F239*J239*S239*I239*H239)/12500000))/3*1000,"")</f>
        <v/>
      </c>
    </row>
    <row r="240">
      <c r="B240" s="7" t="inlineStr">
        <is>
          <t xml:space="preserve">  ↳ TeslaZap</t>
        </is>
      </c>
      <c r="C240" s="7" t="inlineStr">
        <is>
          <t>Armament</t>
        </is>
      </c>
      <c r="L240" s="6" t="n">
        <v>32000</v>
      </c>
      <c r="M240" s="6" t="n">
        <v>3</v>
      </c>
      <c r="N240" s="6" t="n">
        <v>1</v>
      </c>
      <c r="O240" s="6" t="n"/>
      <c r="P240" s="6" t="n">
        <v>9320</v>
      </c>
      <c r="Q240" s="6" t="n">
        <v>1.25</v>
      </c>
      <c r="R240">
        <f>M240+IF(N240&gt;1,N(O240)*(N240-1),0)</f>
        <v/>
      </c>
      <c r="S240">
        <f>IFERROR(L240*MAX(N240,1)/R240*IF(ISBLANK(K239),1,K239),0)</f>
        <v/>
      </c>
      <c r="AB240" s="7" t="inlineStr">
        <is>
          <t>^Warhead_Tesla_Heavy</t>
        </is>
      </c>
    </row>
    <row r="241">
      <c r="B241" s="7" t="inlineStr">
        <is>
          <t xml:space="preserve">  ↳ TeslaZap_EMP</t>
        </is>
      </c>
      <c r="C241" s="7" t="inlineStr">
        <is>
          <t>Armament@Upgrade1</t>
        </is>
      </c>
      <c r="L241" s="6" t="n">
        <v>32000</v>
      </c>
      <c r="M241" s="6" t="n">
        <v>3</v>
      </c>
      <c r="N241" s="6" t="n">
        <v>1</v>
      </c>
      <c r="O241" s="6" t="n"/>
      <c r="P241" s="6" t="n">
        <v>9320</v>
      </c>
      <c r="Q241" s="6" t="n">
        <v>1.25</v>
      </c>
      <c r="R241">
        <f>M241+IF(N241&gt;1,N(O241)*(N241-1),0)</f>
        <v/>
      </c>
      <c r="S241">
        <f>IFERROR(L241*MAX(N241,1)/R241*IF(ISBLANK(K239),1,K239),0)</f>
        <v/>
      </c>
      <c r="AB241" s="7" t="inlineStr">
        <is>
          <t>^Warhead_Tesla_Heavy</t>
        </is>
      </c>
    </row>
    <row r="242">
      <c r="B242" s="7" t="inlineStr">
        <is>
          <t xml:space="preserve">  ↳ TeslaZapArc_EMP</t>
        </is>
      </c>
      <c r="C242" s="7" t="inlineStr">
        <is>
          <t>Armament@Upgrade2</t>
        </is>
      </c>
      <c r="L242" s="6" t="n">
        <v>32000</v>
      </c>
      <c r="M242" s="6" t="n">
        <v>3</v>
      </c>
      <c r="N242" s="6" t="n">
        <v>1</v>
      </c>
      <c r="O242" s="6" t="n"/>
      <c r="P242" s="6" t="n">
        <v>9320</v>
      </c>
      <c r="Q242" s="6" t="n">
        <v>1.25</v>
      </c>
      <c r="R242">
        <f>M242+IF(N242&gt;1,N(O242)*(N242-1),0)</f>
        <v/>
      </c>
      <c r="S242">
        <f>IFERROR(L242*MAX(N242,1)/R242*IF(ISBLANK(K239),1,K239),0)</f>
        <v/>
      </c>
      <c r="AB242" s="7" t="inlineStr">
        <is>
          <t>^Warhead_Tesla_Heavy</t>
        </is>
      </c>
    </row>
    <row r="243">
      <c r="A243" s="4" t="inlineStr">
        <is>
          <t>BUILDINGS</t>
        </is>
      </c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t="inlineStr">
        <is>
          <t>redalert</t>
        </is>
      </c>
      <c r="B244" t="inlineStr">
        <is>
          <t>ra1_soviets_airfield</t>
        </is>
      </c>
      <c r="C244" t="inlineStr">
        <is>
          <t>Soviet Airfield</t>
        </is>
      </c>
      <c r="D244" s="6" t="inlineStr">
        <is>
          <t>Building</t>
        </is>
      </c>
      <c r="E244" s="6" t="n">
        <v>300000</v>
      </c>
      <c r="F244" s="6" t="n"/>
      <c r="G244" t="inlineStr">
        <is>
          <t>Wood</t>
        </is>
      </c>
      <c r="H244" s="6" t="n">
        <v>0.8462</v>
      </c>
      <c r="I244" s="6" t="n">
        <v>1</v>
      </c>
      <c r="J244" s="6" t="n">
        <v>1</v>
      </c>
      <c r="K244" s="6" t="n"/>
      <c r="X244" s="6" t="n">
        <v>1500</v>
      </c>
    </row>
    <row r="245">
      <c r="A245" t="inlineStr">
        <is>
          <t>redalert</t>
        </is>
      </c>
      <c r="B245" t="inlineStr">
        <is>
          <t>ra1_soviets_barracks</t>
        </is>
      </c>
      <c r="C245" t="inlineStr">
        <is>
          <t>Soviet Barracks</t>
        </is>
      </c>
      <c r="D245" s="6" t="inlineStr">
        <is>
          <t>Building</t>
        </is>
      </c>
      <c r="E245" s="6" t="n">
        <v>200000</v>
      </c>
      <c r="F245" s="6" t="n"/>
      <c r="G245" t="inlineStr">
        <is>
          <t>Wood</t>
        </is>
      </c>
      <c r="H245" s="6" t="n">
        <v>1</v>
      </c>
      <c r="I245" s="6" t="n">
        <v>1</v>
      </c>
      <c r="J245" s="6" t="n">
        <v>1</v>
      </c>
      <c r="K245" s="6" t="n"/>
      <c r="X245" s="6" t="n">
        <v>1000</v>
      </c>
    </row>
    <row r="246">
      <c r="A246" t="inlineStr">
        <is>
          <t>redalert</t>
        </is>
      </c>
      <c r="B246" t="inlineStr">
        <is>
          <t>ra1_soviets_constructionyard</t>
        </is>
      </c>
      <c r="C246" t="inlineStr">
        <is>
          <t>Soviet Construction Yard</t>
        </is>
      </c>
      <c r="D246" s="6" t="inlineStr">
        <is>
          <t>Building</t>
        </is>
      </c>
      <c r="E246" s="6" t="n">
        <v>1000000</v>
      </c>
      <c r="F246" s="6" t="n"/>
      <c r="G246" t="inlineStr">
        <is>
          <t>Concrete</t>
        </is>
      </c>
      <c r="H246" s="6" t="n">
        <v>1</v>
      </c>
      <c r="I246" s="6" t="n">
        <v>1</v>
      </c>
      <c r="J246" s="6" t="n">
        <v>1</v>
      </c>
      <c r="K246" s="6" t="n"/>
      <c r="X246" s="6" t="n">
        <v>5000</v>
      </c>
    </row>
    <row r="247">
      <c r="A247" t="inlineStr">
        <is>
          <t>redalert</t>
        </is>
      </c>
      <c r="B247" t="inlineStr">
        <is>
          <t>ra1_soviets_largefactory</t>
        </is>
      </c>
      <c r="C247" t="inlineStr">
        <is>
          <t>Soviet Large Factory</t>
        </is>
      </c>
      <c r="D247" s="6" t="inlineStr">
        <is>
          <t>Building</t>
        </is>
      </c>
      <c r="E247" s="6" t="n">
        <v>600000</v>
      </c>
      <c r="F247" s="6" t="n"/>
      <c r="G247" t="inlineStr">
        <is>
          <t>Concrete</t>
        </is>
      </c>
      <c r="H247" s="6" t="n">
        <v>1</v>
      </c>
      <c r="I247" s="6" t="n">
        <v>1</v>
      </c>
      <c r="J247" s="6" t="n">
        <v>1</v>
      </c>
      <c r="K247" s="6" t="n"/>
      <c r="X247" s="6" t="n">
        <v>3000</v>
      </c>
    </row>
    <row r="248">
      <c r="A248" t="inlineStr">
        <is>
          <t>redalert</t>
        </is>
      </c>
      <c r="B248" t="inlineStr">
        <is>
          <t>ra1_soviets_largesovietairfield</t>
        </is>
      </c>
      <c r="C248" t="inlineStr">
        <is>
          <t>Large Soviet Airfield</t>
        </is>
      </c>
      <c r="D248" s="6" t="inlineStr">
        <is>
          <t>Building</t>
        </is>
      </c>
      <c r="E248" s="6" t="n">
        <v>500000</v>
      </c>
      <c r="F248" s="6" t="n"/>
      <c r="G248" t="inlineStr">
        <is>
          <t>Wood</t>
        </is>
      </c>
      <c r="H248" s="6" t="n">
        <v>0.8462</v>
      </c>
      <c r="I248" s="6" t="n">
        <v>1</v>
      </c>
      <c r="J248" s="6" t="n">
        <v>1</v>
      </c>
      <c r="K248" s="6" t="n"/>
      <c r="X248" s="6" t="n">
        <v>2500</v>
      </c>
    </row>
    <row r="249">
      <c r="A249" t="inlineStr">
        <is>
          <t>redalert</t>
        </is>
      </c>
      <c r="B249" t="inlineStr">
        <is>
          <t>ra1_soviets_orerefinery</t>
        </is>
      </c>
      <c r="C249" t="inlineStr">
        <is>
          <t>Soviet Ore Refinery</t>
        </is>
      </c>
      <c r="D249" s="6" t="inlineStr">
        <is>
          <t>Building</t>
        </is>
      </c>
      <c r="E249" s="6" t="n">
        <v>300000</v>
      </c>
      <c r="F249" s="6" t="n"/>
      <c r="G249" t="inlineStr">
        <is>
          <t>Concrete</t>
        </is>
      </c>
      <c r="H249" s="6" t="n">
        <v>1</v>
      </c>
      <c r="I249" s="6" t="n">
        <v>1</v>
      </c>
      <c r="J249" s="6" t="n">
        <v>1</v>
      </c>
      <c r="K249" s="6" t="n"/>
      <c r="X249" s="6" t="n">
        <v>3000</v>
      </c>
    </row>
    <row r="250">
      <c r="A250" t="inlineStr">
        <is>
          <t>redalert</t>
        </is>
      </c>
      <c r="B250" t="inlineStr">
        <is>
          <t>ra1_soviets_radardome</t>
        </is>
      </c>
      <c r="C250" t="inlineStr">
        <is>
          <t>Soviet Radar Dome</t>
        </is>
      </c>
      <c r="D250" s="6" t="inlineStr">
        <is>
          <t>Building</t>
        </is>
      </c>
      <c r="E250" s="6" t="n">
        <v>250000</v>
      </c>
      <c r="F250" s="6" t="n"/>
      <c r="G250" t="inlineStr">
        <is>
          <t>Wood</t>
        </is>
      </c>
      <c r="H250" s="6" t="n">
        <v>1</v>
      </c>
      <c r="I250" s="6" t="n">
        <v>1</v>
      </c>
      <c r="J250" s="6" t="n">
        <v>1</v>
      </c>
      <c r="K250" s="6" t="n"/>
      <c r="X250" s="6" t="n">
        <v>2500</v>
      </c>
    </row>
    <row r="251">
      <c r="A251" t="inlineStr">
        <is>
          <t>redalert</t>
        </is>
      </c>
      <c r="B251" t="inlineStr">
        <is>
          <t>ra1_soviets_servicedepot</t>
        </is>
      </c>
      <c r="C251" t="inlineStr">
        <is>
          <t>Soviet Service Depot</t>
        </is>
      </c>
      <c r="D251" s="6" t="inlineStr">
        <is>
          <t>Building</t>
        </is>
      </c>
      <c r="E251" s="6" t="n">
        <v>250000</v>
      </c>
      <c r="F251" s="6" t="n"/>
      <c r="G251" t="inlineStr">
        <is>
          <t>Concrete</t>
        </is>
      </c>
      <c r="H251" s="6" t="n">
        <v>0.8919</v>
      </c>
      <c r="I251" s="6" t="n">
        <v>1</v>
      </c>
      <c r="J251" s="6" t="n">
        <v>1</v>
      </c>
      <c r="K251" s="6" t="n"/>
      <c r="X251" s="6" t="n">
        <v>1000</v>
      </c>
    </row>
    <row r="252">
      <c r="A252" t="inlineStr">
        <is>
          <t>redalert</t>
        </is>
      </c>
      <c r="B252" t="inlineStr">
        <is>
          <t>ra1_soviets_techcenter</t>
        </is>
      </c>
      <c r="C252" t="inlineStr">
        <is>
          <t>Soviet Tech Center</t>
        </is>
      </c>
      <c r="D252" s="6" t="inlineStr">
        <is>
          <t>Building</t>
        </is>
      </c>
      <c r="E252" s="6" t="n">
        <v>500000</v>
      </c>
      <c r="F252" s="6" t="n"/>
      <c r="G252" t="inlineStr">
        <is>
          <t>Concrete</t>
        </is>
      </c>
      <c r="H252" s="6" t="n">
        <v>0.8462</v>
      </c>
      <c r="I252" s="6" t="n">
        <v>1</v>
      </c>
      <c r="J252" s="6" t="n">
        <v>1</v>
      </c>
      <c r="K252" s="6" t="n"/>
      <c r="X252" s="6" t="n">
        <v>5000</v>
      </c>
    </row>
    <row r="253">
      <c r="A253" t="inlineStr">
        <is>
          <t>redalert</t>
        </is>
      </c>
      <c r="B253" t="inlineStr">
        <is>
          <t>ra1_soviets_warfactory</t>
        </is>
      </c>
      <c r="C253" t="inlineStr">
        <is>
          <t>Soviet War Factory</t>
        </is>
      </c>
      <c r="D253" s="6" t="inlineStr">
        <is>
          <t>Building</t>
        </is>
      </c>
      <c r="E253" s="6" t="n">
        <v>400000</v>
      </c>
      <c r="F253" s="6" t="n"/>
      <c r="G253" t="inlineStr">
        <is>
          <t>Concrete</t>
        </is>
      </c>
      <c r="H253" s="6" t="n">
        <v>1</v>
      </c>
      <c r="I253" s="6" t="n">
        <v>1</v>
      </c>
      <c r="J253" s="6" t="n">
        <v>1</v>
      </c>
      <c r="K253" s="6" t="n"/>
      <c r="X253" s="6" t="n">
        <v>2000</v>
      </c>
    </row>
    <row r="254">
      <c r="A254" s="4" t="inlineStr">
        <is>
          <t>UPGRADES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t="inlineStr">
        <is>
          <t>redalert</t>
        </is>
      </c>
      <c r="B255" t="inlineStr">
        <is>
          <t>ra1_soviets_doctrine_conscription</t>
        </is>
      </c>
      <c r="C255" t="inlineStr">
        <is>
          <t>Conscription Doctrine</t>
        </is>
      </c>
      <c r="D255" s="6" t="inlineStr">
        <is>
          <t>Doctrine</t>
        </is>
      </c>
      <c r="E255" s="6" t="n"/>
      <c r="F255" s="6" t="n"/>
      <c r="H255" s="6" t="n">
        <v>0.8462</v>
      </c>
      <c r="I255" s="6" t="n">
        <v>1</v>
      </c>
      <c r="J255" s="6" t="n">
        <v>1</v>
      </c>
      <c r="K255" s="6" t="n"/>
      <c r="X255" s="6" t="n">
        <v>5000</v>
      </c>
    </row>
    <row r="256">
      <c r="A256" t="inlineStr">
        <is>
          <t>redalert</t>
        </is>
      </c>
      <c r="B256" t="inlineStr">
        <is>
          <t>ra1_soviets_doctrine_heavyarmor</t>
        </is>
      </c>
      <c r="C256" t="inlineStr">
        <is>
          <t>Heavy Armor Doctrine</t>
        </is>
      </c>
      <c r="D256" s="6" t="inlineStr">
        <is>
          <t>Doctrine</t>
        </is>
      </c>
      <c r="E256" s="6" t="n"/>
      <c r="F256" s="6" t="n"/>
      <c r="H256" s="6" t="n">
        <v>0.8462</v>
      </c>
      <c r="I256" s="6" t="n">
        <v>1</v>
      </c>
      <c r="J256" s="6" t="n">
        <v>1</v>
      </c>
      <c r="K256" s="6" t="n"/>
      <c r="X256" s="6" t="n">
        <v>5000</v>
      </c>
    </row>
    <row r="257">
      <c r="A257" t="inlineStr">
        <is>
          <t>redalert</t>
        </is>
      </c>
      <c r="B257" t="inlineStr">
        <is>
          <t>ra1_soviets_doctrine_industrialefficiency</t>
        </is>
      </c>
      <c r="C257" t="inlineStr">
        <is>
          <t>Industrial Efficiency Doctrine</t>
        </is>
      </c>
      <c r="D257" s="6" t="inlineStr">
        <is>
          <t>Doctrine</t>
        </is>
      </c>
      <c r="E257" s="6" t="n"/>
      <c r="F257" s="6" t="n"/>
      <c r="H257" s="6" t="n">
        <v>0.8462</v>
      </c>
      <c r="I257" s="6" t="n">
        <v>1</v>
      </c>
      <c r="J257" s="6" t="n">
        <v>1</v>
      </c>
      <c r="K257" s="6" t="n"/>
      <c r="X257" s="6" t="n">
        <v>5000</v>
      </c>
    </row>
    <row r="258">
      <c r="A258" t="inlineStr">
        <is>
          <t>redalert</t>
        </is>
      </c>
      <c r="B258" t="inlineStr">
        <is>
          <t>ra1_soviets_doctrine_inferno</t>
        </is>
      </c>
      <c r="C258" t="inlineStr">
        <is>
          <t>Inferno Doctrine</t>
        </is>
      </c>
      <c r="D258" s="6" t="inlineStr">
        <is>
          <t>Doctrine</t>
        </is>
      </c>
      <c r="E258" s="6" t="n"/>
      <c r="F258" s="6" t="n"/>
      <c r="H258" s="6" t="n">
        <v>0.8462</v>
      </c>
      <c r="I258" s="6" t="n">
        <v>1</v>
      </c>
      <c r="J258" s="6" t="n">
        <v>1</v>
      </c>
      <c r="K258" s="6" t="n"/>
      <c r="X258" s="6" t="n">
        <v>5000</v>
      </c>
    </row>
    <row r="259">
      <c r="A259" t="inlineStr">
        <is>
          <t>redalert</t>
        </is>
      </c>
      <c r="B259" t="inlineStr">
        <is>
          <t>ra1_soviets_doctrine_nuclearwar</t>
        </is>
      </c>
      <c r="C259" t="inlineStr">
        <is>
          <t>Nuclear War Doctrine</t>
        </is>
      </c>
      <c r="D259" s="6" t="inlineStr">
        <is>
          <t>Doctrine</t>
        </is>
      </c>
      <c r="E259" s="6" t="n"/>
      <c r="F259" s="6" t="n"/>
      <c r="H259" s="6" t="n">
        <v>0.8462</v>
      </c>
      <c r="I259" s="6" t="n">
        <v>1</v>
      </c>
      <c r="J259" s="6" t="n">
        <v>1</v>
      </c>
      <c r="K259" s="6" t="n"/>
      <c r="X259" s="6" t="n">
        <v>5000</v>
      </c>
    </row>
    <row r="260">
      <c r="A260" t="inlineStr">
        <is>
          <t>redalert</t>
        </is>
      </c>
      <c r="B260" t="inlineStr">
        <is>
          <t>ra1_soviets_doctrine_teslaandexperimentaltech</t>
        </is>
      </c>
      <c r="C260" t="inlineStr">
        <is>
          <t>Tesla and Experimental Tech Doctrine</t>
        </is>
      </c>
      <c r="D260" s="6" t="inlineStr">
        <is>
          <t>Doctrine</t>
        </is>
      </c>
      <c r="E260" s="6" t="n"/>
      <c r="F260" s="6" t="n"/>
      <c r="H260" s="6" t="n">
        <v>0.8462</v>
      </c>
      <c r="I260" s="6" t="n">
        <v>1</v>
      </c>
      <c r="J260" s="6" t="n">
        <v>1</v>
      </c>
      <c r="K260" s="6" t="n"/>
      <c r="X260" s="6" t="n">
        <v>5000</v>
      </c>
    </row>
    <row r="261">
      <c r="A261" t="inlineStr">
        <is>
          <t>redalert</t>
        </is>
      </c>
      <c r="B261" t="inlineStr">
        <is>
          <t>ra1_soviets_upgrade_afterburners</t>
        </is>
      </c>
      <c r="C261" t="inlineStr">
        <is>
          <t>Afterburners</t>
        </is>
      </c>
      <c r="D261" s="6" t="inlineStr">
        <is>
          <t>UnitUpgrade</t>
        </is>
      </c>
      <c r="E261" s="6" t="n"/>
      <c r="F261" s="6" t="n"/>
      <c r="H261" s="6" t="n">
        <v>0.8462</v>
      </c>
      <c r="I261" s="6" t="n">
        <v>1</v>
      </c>
      <c r="J261" s="6" t="n">
        <v>1</v>
      </c>
      <c r="K261" s="6" t="n"/>
      <c r="X261" s="6" t="n">
        <v>2500</v>
      </c>
    </row>
    <row r="262">
      <c r="A262" t="inlineStr">
        <is>
          <t>redalert</t>
        </is>
      </c>
      <c r="B262" t="inlineStr">
        <is>
          <t>ra1_soviets_upgrade_armoredyak</t>
        </is>
      </c>
      <c r="C262" t="inlineStr">
        <is>
          <t>Unlock Armored Yak</t>
        </is>
      </c>
      <c r="D262" s="6" t="inlineStr">
        <is>
          <t>UnitUpgrade</t>
        </is>
      </c>
      <c r="E262" s="6" t="n"/>
      <c r="F262" s="6" t="n"/>
      <c r="H262" s="6" t="n">
        <v>0.8462</v>
      </c>
      <c r="I262" s="6" t="n">
        <v>1</v>
      </c>
      <c r="J262" s="6" t="n">
        <v>1</v>
      </c>
      <c r="K262" s="6" t="n"/>
      <c r="X262" s="6" t="n">
        <v>2500</v>
      </c>
    </row>
    <row r="263">
      <c r="A263" t="inlineStr">
        <is>
          <t>redalert</t>
        </is>
      </c>
      <c r="B263" t="inlineStr">
        <is>
          <t>ra1_soviets_upgrade_autoloaders</t>
        </is>
      </c>
      <c r="C263" t="inlineStr">
        <is>
          <t>Autoloaders</t>
        </is>
      </c>
      <c r="D263" s="6" t="inlineStr">
        <is>
          <t>TechUpgrade</t>
        </is>
      </c>
      <c r="E263" s="6" t="n"/>
      <c r="F263" s="6" t="n"/>
      <c r="H263" s="6" t="n">
        <v>0.5593</v>
      </c>
      <c r="I263" s="6" t="n">
        <v>1</v>
      </c>
      <c r="J263" s="6" t="n">
        <v>1</v>
      </c>
      <c r="K263" s="6" t="n"/>
      <c r="X263" s="6" t="n">
        <v>7500</v>
      </c>
    </row>
    <row r="264">
      <c r="A264" t="inlineStr">
        <is>
          <t>redalert</t>
        </is>
      </c>
      <c r="B264" t="inlineStr">
        <is>
          <t>ra1_soviets_upgrade_commissar</t>
        </is>
      </c>
      <c r="C264" t="inlineStr">
        <is>
          <t>Unlock Commissar</t>
        </is>
      </c>
      <c r="D264" s="6" t="inlineStr">
        <is>
          <t>UnitUpgrade</t>
        </is>
      </c>
      <c r="E264" s="6" t="n"/>
      <c r="F264" s="6" t="n"/>
      <c r="H264" s="6" t="n">
        <v>0.8462</v>
      </c>
      <c r="I264" s="6" t="n">
        <v>1</v>
      </c>
      <c r="J264" s="6" t="n">
        <v>1</v>
      </c>
      <c r="K264" s="6" t="n"/>
      <c r="X264" s="6" t="n">
        <v>2500</v>
      </c>
    </row>
    <row r="265">
      <c r="A265" t="inlineStr">
        <is>
          <t>redalert</t>
        </is>
      </c>
      <c r="B265" t="inlineStr">
        <is>
          <t>ra1_soviets_upgrade_hammertank</t>
        </is>
      </c>
      <c r="C265" t="inlineStr">
        <is>
          <t>Hammer Tank Upgrade</t>
        </is>
      </c>
      <c r="D265" s="6" t="inlineStr">
        <is>
          <t>UnitUpgrade</t>
        </is>
      </c>
      <c r="E265" s="6" t="n"/>
      <c r="F265" s="6" t="n"/>
      <c r="H265" s="6" t="n">
        <v>0.8462</v>
      </c>
      <c r="I265" s="6" t="n">
        <v>1</v>
      </c>
      <c r="J265" s="6" t="n">
        <v>1</v>
      </c>
      <c r="K265" s="6" t="n"/>
      <c r="X265" s="6" t="n">
        <v>2500</v>
      </c>
    </row>
    <row r="266">
      <c r="A266" t="inlineStr">
        <is>
          <t>redalert</t>
        </is>
      </c>
      <c r="B266" t="inlineStr">
        <is>
          <t>ra1_soviets_upgrade_hazmatsuits</t>
        </is>
      </c>
      <c r="C266" t="inlineStr">
        <is>
          <t>Hazmat Suits</t>
        </is>
      </c>
      <c r="D266" s="6" t="inlineStr">
        <is>
          <t>TechUpgrade</t>
        </is>
      </c>
      <c r="E266" s="6" t="n"/>
      <c r="F266" s="6" t="n"/>
      <c r="H266" s="6" t="n">
        <v>0.5593</v>
      </c>
      <c r="I266" s="6" t="n">
        <v>1</v>
      </c>
      <c r="J266" s="6" t="n">
        <v>1</v>
      </c>
      <c r="K266" s="6" t="n"/>
      <c r="X266" s="6" t="n">
        <v>7500</v>
      </c>
    </row>
    <row r="267">
      <c r="A267" t="inlineStr">
        <is>
          <t>redalert</t>
        </is>
      </c>
      <c r="B267" t="inlineStr">
        <is>
          <t>ra1_soviets_upgrade_heatraytank</t>
        </is>
      </c>
      <c r="C267" t="inlineStr">
        <is>
          <t>Unlock Heatray Tank</t>
        </is>
      </c>
      <c r="D267" s="6" t="inlineStr">
        <is>
          <t>UnitUpgrade</t>
        </is>
      </c>
      <c r="E267" s="6" t="n"/>
      <c r="F267" s="6" t="n"/>
      <c r="H267" s="6" t="n">
        <v>0.8462</v>
      </c>
      <c r="I267" s="6" t="n">
        <v>1</v>
      </c>
      <c r="J267" s="6" t="n">
        <v>1</v>
      </c>
      <c r="K267" s="6" t="n"/>
      <c r="X267" s="6" t="n">
        <v>2500</v>
      </c>
    </row>
    <row r="268">
      <c r="A268" t="inlineStr">
        <is>
          <t>redalert</t>
        </is>
      </c>
      <c r="B268" t="inlineStr">
        <is>
          <t>ra1_soviets_upgrade_heavyteslatank</t>
        </is>
      </c>
      <c r="C268" t="inlineStr">
        <is>
          <t>Heavy Tesla Tank Upgrade</t>
        </is>
      </c>
      <c r="D268" s="6" t="inlineStr">
        <is>
          <t>UnitUpgrade</t>
        </is>
      </c>
      <c r="E268" s="6" t="n"/>
      <c r="F268" s="6" t="n"/>
      <c r="H268" s="6" t="n">
        <v>0.5593</v>
      </c>
      <c r="I268" s="6" t="n">
        <v>1</v>
      </c>
      <c r="J268" s="6" t="n">
        <v>1</v>
      </c>
      <c r="K268" s="6" t="n"/>
      <c r="X268" s="6" t="n">
        <v>2500</v>
      </c>
    </row>
    <row r="269">
      <c r="A269" t="inlineStr">
        <is>
          <t>redalert</t>
        </is>
      </c>
      <c r="B269" t="inlineStr">
        <is>
          <t>ra1_soviets_upgrade_highexplosiverockets</t>
        </is>
      </c>
      <c r="C269" t="inlineStr">
        <is>
          <t>High Explosive Rockets</t>
        </is>
      </c>
      <c r="D269" s="6" t="inlineStr">
        <is>
          <t>TechUpgrade</t>
        </is>
      </c>
      <c r="E269" s="6" t="n"/>
      <c r="F269" s="6" t="n"/>
      <c r="H269" s="6" t="n">
        <v>0.5593</v>
      </c>
      <c r="I269" s="6" t="n">
        <v>1</v>
      </c>
      <c r="J269" s="6" t="n">
        <v>1</v>
      </c>
      <c r="K269" s="6" t="n"/>
      <c r="X269" s="6" t="n">
        <v>7500</v>
      </c>
    </row>
    <row r="270">
      <c r="A270" t="inlineStr">
        <is>
          <t>redalert</t>
        </is>
      </c>
      <c r="B270" t="inlineStr">
        <is>
          <t>ra1_soviets_upgrade_incendiarybullets</t>
        </is>
      </c>
      <c r="C270" t="inlineStr">
        <is>
          <t>Incendiary Bullets</t>
        </is>
      </c>
      <c r="D270" s="6" t="inlineStr">
        <is>
          <t>TechUpgrade</t>
        </is>
      </c>
      <c r="E270" s="6" t="n"/>
      <c r="F270" s="6" t="n"/>
      <c r="H270" s="6" t="n">
        <v>0.5593</v>
      </c>
      <c r="I270" s="6" t="n">
        <v>1</v>
      </c>
      <c r="J270" s="6" t="n">
        <v>1</v>
      </c>
      <c r="K270" s="6" t="n"/>
      <c r="X270" s="6" t="n">
        <v>7500</v>
      </c>
    </row>
    <row r="271">
      <c r="A271" t="inlineStr">
        <is>
          <t>redalert</t>
        </is>
      </c>
      <c r="B271" t="inlineStr">
        <is>
          <t>ra1_soviets_upgrade_kotinnucleartank</t>
        </is>
      </c>
      <c r="C271" t="inlineStr">
        <is>
          <t>Kotin Nuclear Tank Upgrade</t>
        </is>
      </c>
      <c r="D271" s="6" t="inlineStr">
        <is>
          <t>UnitUpgrade</t>
        </is>
      </c>
      <c r="E271" s="6" t="n"/>
      <c r="F271" s="6" t="n"/>
      <c r="H271" s="6" t="n">
        <v>0.5593</v>
      </c>
      <c r="I271" s="6" t="n">
        <v>1</v>
      </c>
      <c r="J271" s="6" t="n">
        <v>1</v>
      </c>
      <c r="K271" s="6" t="n"/>
      <c r="X271" s="6" t="n">
        <v>2500</v>
      </c>
    </row>
    <row r="272">
      <c r="A272" t="inlineStr">
        <is>
          <t>redalert</t>
        </is>
      </c>
      <c r="B272" t="inlineStr">
        <is>
          <t>ra1_soviets_upgrade_massproduction</t>
        </is>
      </c>
      <c r="C272" t="inlineStr">
        <is>
          <t>Mass Production</t>
        </is>
      </c>
      <c r="D272" s="6" t="inlineStr">
        <is>
          <t>TechUpgrade</t>
        </is>
      </c>
      <c r="E272" s="6" t="n"/>
      <c r="F272" s="6" t="n"/>
      <c r="H272" s="6" t="n">
        <v>0.5593</v>
      </c>
      <c r="I272" s="6" t="n">
        <v>1</v>
      </c>
      <c r="J272" s="6" t="n">
        <v>1</v>
      </c>
      <c r="K272" s="6" t="n"/>
      <c r="X272" s="6" t="n">
        <v>7500</v>
      </c>
    </row>
    <row r="273">
      <c r="A273" t="inlineStr">
        <is>
          <t>redalert</t>
        </is>
      </c>
      <c r="B273" t="inlineStr">
        <is>
          <t>ra1_soviets_upgrade_menofsteel</t>
        </is>
      </c>
      <c r="C273" t="inlineStr">
        <is>
          <t>Men Of Steel</t>
        </is>
      </c>
      <c r="D273" s="6" t="inlineStr">
        <is>
          <t>TeamUpgrade</t>
        </is>
      </c>
      <c r="E273" s="6" t="n"/>
      <c r="F273" s="6" t="n"/>
      <c r="H273" s="6" t="n">
        <v>0.5593</v>
      </c>
      <c r="I273" s="6" t="n">
        <v>1</v>
      </c>
      <c r="J273" s="6" t="n">
        <v>1</v>
      </c>
      <c r="K273" s="6" t="n"/>
      <c r="X273" s="6" t="n">
        <v>10000</v>
      </c>
    </row>
    <row r="274">
      <c r="A274" t="inlineStr">
        <is>
          <t>redalert</t>
        </is>
      </c>
      <c r="B274" t="inlineStr">
        <is>
          <t>ra1_soviets_upgrade_nucleartankshells</t>
        </is>
      </c>
      <c r="C274" t="inlineStr">
        <is>
          <t>Nuclear Tank Shells</t>
        </is>
      </c>
      <c r="D274" s="6" t="inlineStr">
        <is>
          <t>TeamUpgrade</t>
        </is>
      </c>
      <c r="E274" s="6" t="n"/>
      <c r="F274" s="6" t="n"/>
      <c r="H274" s="6" t="n">
        <v>0.5593</v>
      </c>
      <c r="I274" s="6" t="n">
        <v>1</v>
      </c>
      <c r="J274" s="6" t="n">
        <v>1</v>
      </c>
      <c r="K274" s="6" t="n"/>
      <c r="X274" s="6" t="n">
        <v>10000</v>
      </c>
    </row>
    <row r="275">
      <c r="A275" t="inlineStr">
        <is>
          <t>redalert</t>
        </is>
      </c>
      <c r="B275" t="inlineStr">
        <is>
          <t>ra1_soviets_upgrade_nuclearyak</t>
        </is>
      </c>
      <c r="C275" t="inlineStr">
        <is>
          <t>Unlock Nuclear Yak</t>
        </is>
      </c>
      <c r="D275" s="6" t="inlineStr">
        <is>
          <t>UnitUpgrade</t>
        </is>
      </c>
      <c r="E275" s="6" t="n"/>
      <c r="F275" s="6" t="n"/>
      <c r="H275" s="6" t="n">
        <v>0.8462</v>
      </c>
      <c r="I275" s="6" t="n">
        <v>1</v>
      </c>
      <c r="J275" s="6" t="n">
        <v>1</v>
      </c>
      <c r="K275" s="6" t="n"/>
      <c r="X275" s="6" t="n">
        <v>2500</v>
      </c>
    </row>
    <row r="276">
      <c r="A276" t="inlineStr">
        <is>
          <t>redalert</t>
        </is>
      </c>
      <c r="B276" t="inlineStr">
        <is>
          <t>ra1_soviets_upgrade_reactoroverload</t>
        </is>
      </c>
      <c r="C276" t="inlineStr">
        <is>
          <t>Reactor Overload</t>
        </is>
      </c>
      <c r="D276" s="6" t="inlineStr">
        <is>
          <t>TeamUpgrade</t>
        </is>
      </c>
      <c r="E276" s="6" t="n"/>
      <c r="F276" s="6" t="n"/>
      <c r="H276" s="6" t="n">
        <v>0.5593</v>
      </c>
      <c r="I276" s="6" t="n">
        <v>1</v>
      </c>
      <c r="J276" s="6" t="n">
        <v>1</v>
      </c>
      <c r="K276" s="6" t="n"/>
      <c r="X276" s="6" t="n">
        <v>10000</v>
      </c>
    </row>
    <row r="277">
      <c r="A277" t="inlineStr">
        <is>
          <t>redalert</t>
        </is>
      </c>
      <c r="B277" t="inlineStr">
        <is>
          <t>ra1_soviets_upgrade_scorchedearth</t>
        </is>
      </c>
      <c r="C277" t="inlineStr">
        <is>
          <t>Scorched Earth</t>
        </is>
      </c>
      <c r="D277" s="6" t="inlineStr">
        <is>
          <t>TeamUpgrade</t>
        </is>
      </c>
      <c r="E277" s="6" t="n"/>
      <c r="F277" s="6" t="n"/>
      <c r="H277" s="6" t="n">
        <v>0.5593</v>
      </c>
      <c r="I277" s="6" t="n">
        <v>1</v>
      </c>
      <c r="J277" s="6" t="n">
        <v>1</v>
      </c>
      <c r="K277" s="6" t="n"/>
      <c r="X277" s="6" t="n">
        <v>10000</v>
      </c>
    </row>
    <row r="278">
      <c r="A278" t="inlineStr">
        <is>
          <t>redalert</t>
        </is>
      </c>
      <c r="B278" t="inlineStr">
        <is>
          <t>ra1_soviets_upgrade_shtoradefensesystem</t>
        </is>
      </c>
      <c r="C278" t="inlineStr">
        <is>
          <t>Shtora Defense System Upgrade</t>
        </is>
      </c>
      <c r="D278" s="6" t="inlineStr">
        <is>
          <t>UnitUpgrade</t>
        </is>
      </c>
      <c r="E278" s="6" t="n"/>
      <c r="F278" s="6" t="n"/>
      <c r="H278" s="6" t="n">
        <v>0.5593</v>
      </c>
      <c r="I278" s="6" t="n">
        <v>1</v>
      </c>
      <c r="J278" s="6" t="n">
        <v>1</v>
      </c>
      <c r="K278" s="6" t="n"/>
      <c r="X278" s="6" t="n">
        <v>2500</v>
      </c>
    </row>
    <row r="279">
      <c r="A279" t="inlineStr">
        <is>
          <t>redalert</t>
        </is>
      </c>
      <c r="B279" t="inlineStr">
        <is>
          <t>ra1_soviets_upgrade_stalinium</t>
        </is>
      </c>
      <c r="C279" t="inlineStr">
        <is>
          <t>Stalinium</t>
        </is>
      </c>
      <c r="D279" s="6" t="inlineStr">
        <is>
          <t>TeamUpgrade</t>
        </is>
      </c>
      <c r="E279" s="6" t="n"/>
      <c r="F279" s="6" t="n"/>
      <c r="H279" s="6" t="n">
        <v>0.5593</v>
      </c>
      <c r="I279" s="6" t="n">
        <v>1</v>
      </c>
      <c r="J279" s="6" t="n">
        <v>1</v>
      </c>
      <c r="K279" s="6" t="n"/>
      <c r="X279" s="6" t="n">
        <v>10000</v>
      </c>
    </row>
    <row r="280">
      <c r="A280" t="inlineStr">
        <is>
          <t>redalert</t>
        </is>
      </c>
      <c r="B280" t="inlineStr">
        <is>
          <t>ra1_soviets_upgrade_teslaarcing</t>
        </is>
      </c>
      <c r="C280" t="inlineStr">
        <is>
          <t>Tesla Arcing</t>
        </is>
      </c>
      <c r="D280" s="6" t="inlineStr">
        <is>
          <t>TechUpgrade</t>
        </is>
      </c>
      <c r="E280" s="6" t="n"/>
      <c r="F280" s="6" t="n"/>
      <c r="H280" s="6" t="n">
        <v>0.5593</v>
      </c>
      <c r="I280" s="6" t="n">
        <v>1</v>
      </c>
      <c r="J280" s="6" t="n">
        <v>1</v>
      </c>
      <c r="K280" s="6" t="n"/>
      <c r="X280" s="6" t="n">
        <v>7500</v>
      </c>
    </row>
    <row r="281">
      <c r="A281" t="inlineStr">
        <is>
          <t>redalert</t>
        </is>
      </c>
      <c r="B281" t="inlineStr">
        <is>
          <t>ra1_soviets_upgrade_teslarockets</t>
        </is>
      </c>
      <c r="C281" t="inlineStr">
        <is>
          <t>Tesla Rockets</t>
        </is>
      </c>
      <c r="D281" s="6" t="inlineStr">
        <is>
          <t>TechUpgrade</t>
        </is>
      </c>
      <c r="E281" s="6" t="n"/>
      <c r="F281" s="6" t="n"/>
      <c r="H281" s="6" t="n">
        <v>0.5593</v>
      </c>
      <c r="I281" s="6" t="n">
        <v>1</v>
      </c>
      <c r="J281" s="6" t="n">
        <v>1</v>
      </c>
      <c r="K281" s="6" t="n"/>
      <c r="X281" s="6" t="n">
        <v>7500</v>
      </c>
    </row>
    <row r="282">
      <c r="A282" t="inlineStr">
        <is>
          <t>redalert</t>
        </is>
      </c>
      <c r="B282" t="inlineStr">
        <is>
          <t>ra1_soviets_upgrade_teslayak</t>
        </is>
      </c>
      <c r="C282" t="inlineStr">
        <is>
          <t>Unlock Tesla Yak</t>
        </is>
      </c>
      <c r="D282" s="6" t="inlineStr">
        <is>
          <t>UnitUpgrade</t>
        </is>
      </c>
      <c r="E282" s="6" t="n"/>
      <c r="F282" s="6" t="n"/>
      <c r="H282" s="6" t="n">
        <v>0.8462</v>
      </c>
      <c r="I282" s="6" t="n">
        <v>1</v>
      </c>
      <c r="J282" s="6" t="n">
        <v>1</v>
      </c>
      <c r="K282" s="6" t="n"/>
      <c r="X282" s="6" t="n">
        <v>2500</v>
      </c>
    </row>
    <row r="283">
      <c r="A283" t="inlineStr">
        <is>
          <t>redalert</t>
        </is>
      </c>
      <c r="B283" t="inlineStr">
        <is>
          <t>ra1_soviets_upgrade_thermonuclearrockets</t>
        </is>
      </c>
      <c r="C283" t="inlineStr">
        <is>
          <t>Thermonuclear Rockets</t>
        </is>
      </c>
      <c r="D283" s="6" t="inlineStr">
        <is>
          <t>TechUpgrade</t>
        </is>
      </c>
      <c r="E283" s="6" t="n"/>
      <c r="F283" s="6" t="n"/>
      <c r="H283" s="6" t="n">
        <v>0.5593</v>
      </c>
      <c r="I283" s="6" t="n">
        <v>1</v>
      </c>
      <c r="J283" s="6" t="n">
        <v>1</v>
      </c>
      <c r="K283" s="6" t="n"/>
      <c r="X283" s="6" t="n">
        <v>7500</v>
      </c>
    </row>
    <row r="284">
      <c r="A284" t="inlineStr">
        <is>
          <t>redalert</t>
        </is>
      </c>
      <c r="B284" t="inlineStr">
        <is>
          <t>ra1_soviets_upgrade_unstableisotopes</t>
        </is>
      </c>
      <c r="C284" t="inlineStr">
        <is>
          <t>Unstable Isotopes</t>
        </is>
      </c>
      <c r="D284" s="6" t="inlineStr">
        <is>
          <t>TechUpgrade</t>
        </is>
      </c>
      <c r="E284" s="6" t="n"/>
      <c r="F284" s="6" t="n"/>
      <c r="H284" s="6" t="n">
        <v>0.5593</v>
      </c>
      <c r="I284" s="6" t="n">
        <v>1</v>
      </c>
      <c r="J284" s="6" t="n">
        <v>1</v>
      </c>
      <c r="K284" s="6" t="n"/>
      <c r="X284" s="6" t="n">
        <v>7500</v>
      </c>
    </row>
    <row r="285">
      <c r="A285" t="inlineStr">
        <is>
          <t>redalert</t>
        </is>
      </c>
      <c r="B285" t="inlineStr">
        <is>
          <t>ra1_soviets_upgrade_vengeance</t>
        </is>
      </c>
      <c r="C285" t="inlineStr">
        <is>
          <t>Vengeance</t>
        </is>
      </c>
      <c r="D285" s="6" t="inlineStr">
        <is>
          <t>TechUpgrade</t>
        </is>
      </c>
      <c r="E285" s="6" t="n"/>
      <c r="F285" s="6" t="n"/>
      <c r="H285" s="6" t="n">
        <v>0.5593</v>
      </c>
      <c r="I285" s="6" t="n">
        <v>1</v>
      </c>
      <c r="J285" s="6" t="n">
        <v>1</v>
      </c>
      <c r="K285" s="6" t="n"/>
      <c r="X285" s="6" t="n">
        <v>7500</v>
      </c>
    </row>
    <row r="286">
      <c r="A286" t="inlineStr">
        <is>
          <t>redalert</t>
        </is>
      </c>
      <c r="B286" t="inlineStr">
        <is>
          <t>ra1_soviets_upgrade_wareconomy</t>
        </is>
      </c>
      <c r="C286" t="inlineStr">
        <is>
          <t>War Economy</t>
        </is>
      </c>
      <c r="D286" s="6" t="inlineStr">
        <is>
          <t>TeamUpgrade</t>
        </is>
      </c>
      <c r="E286" s="6" t="n"/>
      <c r="F286" s="6" t="n"/>
      <c r="H286" s="6" t="n">
        <v>0.5593</v>
      </c>
      <c r="I286" s="6" t="n">
        <v>1</v>
      </c>
      <c r="J286" s="6" t="n">
        <v>1</v>
      </c>
      <c r="K286" s="6" t="n"/>
      <c r="X286" s="6" t="n">
        <v>10000</v>
      </c>
    </row>
    <row r="287">
      <c r="A287" s="4" t="inlineStr">
        <is>
          <t>PROMOTIONS</t>
        </is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t="inlineStr">
        <is>
          <t>redalert</t>
        </is>
      </c>
      <c r="B288" t="inlineStr">
        <is>
          <t>ra1_soviets_promotion_cyberdog</t>
        </is>
      </c>
      <c r="C288" t="inlineStr">
        <is>
          <t>Unlock Cyberdog</t>
        </is>
      </c>
      <c r="D288" s="6" t="inlineStr">
        <is>
          <t>PromotionUpgrade</t>
        </is>
      </c>
      <c r="E288" s="6" t="n"/>
      <c r="F288" s="6" t="n"/>
      <c r="H288" s="6" t="n">
        <v>1</v>
      </c>
      <c r="I288" s="6" t="n">
        <v>1</v>
      </c>
      <c r="J288" s="6" t="n">
        <v>1</v>
      </c>
      <c r="K288" s="6" t="n"/>
      <c r="X288" s="6" t="n"/>
    </row>
    <row r="289">
      <c r="A289" t="inlineStr">
        <is>
          <t>redalert</t>
        </is>
      </c>
      <c r="B289" t="inlineStr">
        <is>
          <t>ra1_soviets_promotion_gatlingtank</t>
        </is>
      </c>
      <c r="C289" t="inlineStr">
        <is>
          <t>Unlock Gatling Tank</t>
        </is>
      </c>
      <c r="D289" s="6" t="inlineStr">
        <is>
          <t>PromotionUpgrade</t>
        </is>
      </c>
      <c r="E289" s="6" t="n"/>
      <c r="F289" s="6" t="n"/>
      <c r="H289" s="6" t="n">
        <v>1</v>
      </c>
      <c r="I289" s="6" t="n">
        <v>1</v>
      </c>
      <c r="J289" s="6" t="n">
        <v>1</v>
      </c>
      <c r="K289" s="6" t="n"/>
      <c r="X289" s="6" t="n"/>
    </row>
    <row r="290">
      <c r="A290" t="inlineStr">
        <is>
          <t>redalert</t>
        </is>
      </c>
      <c r="B290" t="inlineStr">
        <is>
          <t>ra1_soviets_promotion_hurricanerocketpods</t>
        </is>
      </c>
      <c r="C290" t="inlineStr">
        <is>
          <t>Hurricane Rocket Pods</t>
        </is>
      </c>
      <c r="D290" s="6" t="inlineStr">
        <is>
          <t>PromotionUpgrade</t>
        </is>
      </c>
      <c r="E290" s="6" t="n"/>
      <c r="F290" s="6" t="n"/>
      <c r="H290" s="6" t="n">
        <v>1</v>
      </c>
      <c r="I290" s="6" t="n">
        <v>1</v>
      </c>
      <c r="J290" s="6" t="n">
        <v>1</v>
      </c>
      <c r="K290" s="6" t="n"/>
      <c r="X290" s="6" t="n"/>
    </row>
    <row r="291">
      <c r="A291" t="inlineStr">
        <is>
          <t>redalert</t>
        </is>
      </c>
      <c r="B291" t="inlineStr">
        <is>
          <t>ra1_soviets_promotion_infantrysuperoptics</t>
        </is>
      </c>
      <c r="C291" t="inlineStr">
        <is>
          <t>Infantry Super Optics</t>
        </is>
      </c>
      <c r="D291" s="6" t="inlineStr">
        <is>
          <t>PromotionUpgrade</t>
        </is>
      </c>
      <c r="E291" s="6" t="n"/>
      <c r="F291" s="6" t="n"/>
      <c r="H291" s="6" t="n">
        <v>1</v>
      </c>
      <c r="I291" s="6" t="n">
        <v>1</v>
      </c>
      <c r="J291" s="6" t="n">
        <v>1</v>
      </c>
      <c r="K291" s="6" t="n"/>
      <c r="X291" s="6" t="n"/>
    </row>
    <row r="292">
      <c r="A292" t="inlineStr">
        <is>
          <t>redalert</t>
        </is>
      </c>
      <c r="B292" t="inlineStr">
        <is>
          <t>ra1_soviets_promotion_mammothtanktargetingcomputer</t>
        </is>
      </c>
      <c r="C292" t="inlineStr">
        <is>
          <t>Mammoth Tank Targeting Computer</t>
        </is>
      </c>
      <c r="D292" s="6" t="inlineStr">
        <is>
          <t>PromotionUpgrade</t>
        </is>
      </c>
      <c r="E292" s="6" t="n"/>
      <c r="F292" s="6" t="n"/>
      <c r="H292" s="6" t="n">
        <v>1</v>
      </c>
      <c r="I292" s="6" t="n">
        <v>1</v>
      </c>
      <c r="J292" s="6" t="n">
        <v>1</v>
      </c>
      <c r="K292" s="6" t="n"/>
      <c r="X292" s="6" t="n"/>
    </row>
    <row r="293">
      <c r="A293" t="inlineStr">
        <is>
          <t>redalert</t>
        </is>
      </c>
      <c r="B293" t="inlineStr">
        <is>
          <t>ra1_soviets_promotion_monstertank</t>
        </is>
      </c>
      <c r="C293" t="inlineStr">
        <is>
          <t>Unlock Monster Tank</t>
        </is>
      </c>
      <c r="D293" s="6" t="inlineStr">
        <is>
          <t>PromotionUpgrade</t>
        </is>
      </c>
      <c r="E293" s="6" t="n"/>
      <c r="F293" s="6" t="n"/>
      <c r="H293" s="6" t="n">
        <v>1</v>
      </c>
      <c r="I293" s="6" t="n">
        <v>1</v>
      </c>
      <c r="J293" s="6" t="n">
        <v>1</v>
      </c>
      <c r="K293" s="6" t="n"/>
      <c r="X293" s="6" t="n"/>
    </row>
    <row r="294">
      <c r="A294" t="inlineStr">
        <is>
          <t>redalert</t>
        </is>
      </c>
      <c r="B294" t="inlineStr">
        <is>
          <t>ra1_soviets_promotion_mortarsoldier</t>
        </is>
      </c>
      <c r="C294" t="inlineStr">
        <is>
          <t>Unlock Mortar Soldier</t>
        </is>
      </c>
      <c r="D294" s="6" t="inlineStr">
        <is>
          <t>PromotionUpgrade</t>
        </is>
      </c>
      <c r="E294" s="6" t="n"/>
      <c r="F294" s="6" t="n"/>
      <c r="H294" s="6" t="n">
        <v>1</v>
      </c>
      <c r="I294" s="6" t="n">
        <v>1</v>
      </c>
      <c r="J294" s="6" t="n">
        <v>1</v>
      </c>
      <c r="K294" s="6" t="n"/>
      <c r="X294" s="6" t="n"/>
    </row>
    <row r="295">
      <c r="A295" t="inlineStr">
        <is>
          <t>redalert</t>
        </is>
      </c>
      <c r="B295" t="inlineStr">
        <is>
          <t>ra1_soviets_promotion_parabombslevel2</t>
        </is>
      </c>
      <c r="C295" t="inlineStr">
        <is>
          <t>Parabombs Level 2</t>
        </is>
      </c>
      <c r="D295" s="6" t="inlineStr">
        <is>
          <t>PromotionUpgrade</t>
        </is>
      </c>
      <c r="E295" s="6" t="n"/>
      <c r="F295" s="6" t="n"/>
      <c r="H295" s="6" t="n">
        <v>1</v>
      </c>
      <c r="I295" s="6" t="n">
        <v>1</v>
      </c>
      <c r="J295" s="6" t="n">
        <v>1</v>
      </c>
      <c r="K295" s="6" t="n"/>
      <c r="X295" s="6" t="n"/>
    </row>
    <row r="296">
      <c r="A296" t="inlineStr">
        <is>
          <t>redalert</t>
        </is>
      </c>
      <c r="B296" t="inlineStr">
        <is>
          <t>ra1_soviets_promotion_parabombslevel3</t>
        </is>
      </c>
      <c r="C296" t="inlineStr">
        <is>
          <t>Parabombs Level 3</t>
        </is>
      </c>
      <c r="D296" s="6" t="inlineStr">
        <is>
          <t>PromotionUpgrade</t>
        </is>
      </c>
      <c r="E296" s="6" t="n"/>
      <c r="F296" s="6" t="n"/>
      <c r="H296" s="6" t="n">
        <v>1</v>
      </c>
      <c r="I296" s="6" t="n">
        <v>1</v>
      </c>
      <c r="J296" s="6" t="n">
        <v>1</v>
      </c>
      <c r="K296" s="6" t="n"/>
      <c r="X296" s="6" t="n"/>
    </row>
    <row r="297">
      <c r="A297" t="inlineStr">
        <is>
          <t>redalert</t>
        </is>
      </c>
      <c r="B297" t="inlineStr">
        <is>
          <t>ra1_soviets_promotion_supersonicnuclearbomber</t>
        </is>
      </c>
      <c r="C297" t="inlineStr">
        <is>
          <t>Unlock Supersonic Nuclear Bomber</t>
        </is>
      </c>
      <c r="D297" s="6" t="inlineStr">
        <is>
          <t>PromotionUpgrade</t>
        </is>
      </c>
      <c r="E297" s="6" t="n"/>
      <c r="F297" s="6" t="n"/>
      <c r="H297" s="6" t="n">
        <v>1</v>
      </c>
      <c r="I297" s="6" t="n">
        <v>1</v>
      </c>
      <c r="J297" s="6" t="n">
        <v>1</v>
      </c>
      <c r="K297" s="6" t="n"/>
      <c r="X297" s="6" t="n"/>
    </row>
    <row r="298">
      <c r="A298" t="inlineStr">
        <is>
          <t>redalert</t>
        </is>
      </c>
      <c r="B298" t="inlineStr">
        <is>
          <t>ra1_soviets_promotion_superspyplane</t>
        </is>
      </c>
      <c r="C298" t="inlineStr">
        <is>
          <t>Super Spy Plane</t>
        </is>
      </c>
      <c r="D298" s="6" t="inlineStr">
        <is>
          <t>PromotionUpgrade</t>
        </is>
      </c>
      <c r="E298" s="6" t="n"/>
      <c r="F298" s="6" t="n"/>
      <c r="H298" s="6" t="n">
        <v>1</v>
      </c>
      <c r="I298" s="6" t="n">
        <v>1</v>
      </c>
      <c r="J298" s="6" t="n">
        <v>1</v>
      </c>
      <c r="K298" s="6" t="n"/>
      <c r="X298" s="6" t="n"/>
    </row>
    <row r="299">
      <c r="A299" t="inlineStr">
        <is>
          <t>redalert</t>
        </is>
      </c>
      <c r="B299" t="inlineStr">
        <is>
          <t>ra1_soviets_promotion_volkov</t>
        </is>
      </c>
      <c r="C299" t="inlineStr">
        <is>
          <t>Unlock Volkov</t>
        </is>
      </c>
      <c r="D299" s="6" t="inlineStr">
        <is>
          <t>PromotionUpgrade</t>
        </is>
      </c>
      <c r="E299" s="6" t="n"/>
      <c r="F299" s="6" t="n"/>
      <c r="H299" s="6" t="n">
        <v>1</v>
      </c>
      <c r="I299" s="6" t="n">
        <v>1</v>
      </c>
      <c r="J299" s="6" t="n">
        <v>1</v>
      </c>
      <c r="K299" s="6" t="n"/>
      <c r="X299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ra1_allies_alliedsniper</t>
        </is>
      </c>
      <c r="C3" t="inlineStr">
        <is>
          <t>Allied Sniper</t>
        </is>
      </c>
      <c r="D3" s="6" t="inlineStr">
        <is>
          <t>SniperInfantry</t>
        </is>
      </c>
      <c r="E3" s="6" t="n">
        <v>10000</v>
      </c>
      <c r="F3" s="6" t="n">
        <v>60</v>
      </c>
      <c r="G3" t="inlineStr">
        <is>
          <t>Flak</t>
        </is>
      </c>
      <c r="H3" s="6" t="n">
        <v>1</v>
      </c>
      <c r="I3" s="6" t="n">
        <v>0.75</v>
      </c>
      <c r="J3" s="6" t="n">
        <v>1.25</v>
      </c>
      <c r="K3" s="6" t="n"/>
      <c r="P3">
        <f>MAX(P4,P6)</f>
        <v/>
      </c>
      <c r="S3">
        <f>S4+S6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LightSniper</t>
        </is>
      </c>
      <c r="C4" s="7" t="inlineStr">
        <is>
          <t>Armament@PRIMARY</t>
        </is>
      </c>
      <c r="L4" s="6" t="n">
        <v>30000</v>
      </c>
      <c r="M4" s="6" t="n">
        <v>100</v>
      </c>
      <c r="N4" s="6" t="n">
        <v>1</v>
      </c>
      <c r="O4" s="6" t="n"/>
      <c r="P4" s="6" t="n">
        <v>9153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B5" s="7" t="inlineStr">
        <is>
          <t xml:space="preserve">  ↳ LightSniper</t>
        </is>
      </c>
      <c r="C5" s="7" t="inlineStr">
        <is>
          <t>Armament@GARRISONED</t>
        </is>
      </c>
      <c r="L5" s="6" t="n">
        <v>30000</v>
      </c>
      <c r="M5" s="6" t="n">
        <v>100</v>
      </c>
      <c r="N5" s="6" t="n">
        <v>1</v>
      </c>
      <c r="O5" s="6" t="n"/>
      <c r="P5" s="6" t="n">
        <v>9153</v>
      </c>
      <c r="Q5" s="6" t="n">
        <v>0.75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^Warhead_Sniper_Light</t>
        </is>
      </c>
    </row>
    <row r="6">
      <c r="B6" s="7" t="inlineStr">
        <is>
          <t xml:space="preserve">  ↳ CryoLightSniper</t>
        </is>
      </c>
      <c r="C6" s="7" t="inlineStr">
        <is>
          <t>Armament@Upgrade</t>
        </is>
      </c>
      <c r="L6" s="6" t="n">
        <v>30000</v>
      </c>
      <c r="M6" s="6" t="n">
        <v>100</v>
      </c>
      <c r="N6" s="6" t="n">
        <v>1</v>
      </c>
      <c r="O6" s="6" t="n"/>
      <c r="P6" s="6" t="n">
        <v>9153</v>
      </c>
      <c r="Q6" s="6" t="n">
        <v>0.75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^Warhead_Sniper_Light</t>
        </is>
      </c>
    </row>
    <row r="7">
      <c r="B7" s="7" t="inlineStr">
        <is>
          <t xml:space="preserve">  ↳ CryoLightSniper</t>
        </is>
      </c>
      <c r="C7" s="7" t="inlineStr">
        <is>
          <t>Armament@UpgradeGARRISONED</t>
        </is>
      </c>
      <c r="L7" s="6" t="n">
        <v>30000</v>
      </c>
      <c r="M7" s="6" t="n">
        <v>100</v>
      </c>
      <c r="N7" s="6" t="n">
        <v>1</v>
      </c>
      <c r="O7" s="6" t="n"/>
      <c r="P7" s="6" t="n">
        <v>9153</v>
      </c>
      <c r="Q7" s="6" t="n">
        <v>0.75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^Warhead_Sniper_Light</t>
        </is>
      </c>
    </row>
    <row r="8">
      <c r="A8" t="inlineStr">
        <is>
          <t>redalert</t>
        </is>
      </c>
      <c r="B8" t="inlineStr">
        <is>
          <t>ra1_allies_machinegunner</t>
        </is>
      </c>
      <c r="C8" t="inlineStr">
        <is>
          <t>Machine Gunner</t>
        </is>
      </c>
      <c r="D8" s="6" t="inlineStr">
        <is>
          <t>HeavyInfantry</t>
        </is>
      </c>
      <c r="E8" s="6" t="n">
        <v>19000</v>
      </c>
      <c r="F8" s="6" t="n">
        <v>49</v>
      </c>
      <c r="G8" t="inlineStr">
        <is>
          <t>Plate</t>
        </is>
      </c>
      <c r="H8" s="6" t="n">
        <v>1</v>
      </c>
      <c r="I8" s="6" t="n">
        <v>0.8</v>
      </c>
      <c r="J8" s="6" t="n">
        <v>1</v>
      </c>
      <c r="K8" s="6" t="n">
        <v>0.009300000000000001</v>
      </c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(((E8/15000)+(F8/50)+(S8/240)+((P8/6000)*J8))*200/4+(((E8/15000)*(F8/50))+(((P8/6000)*J8)*(S8/240)))*200/2+((E8/15000)*(F8/50)*((P8/6000)*J8)*(S8/240))*200)*(H8/1.0)/3</f>
        <v/>
      </c>
      <c r="X8" s="6" t="n">
        <v>557</v>
      </c>
      <c r="Y8">
        <f>IFERROR(W8-X8,"")</f>
        <v/>
      </c>
      <c r="Z8">
        <f>IFERROR(ABS(Y8)/MAX(X8,1),"")</f>
        <v/>
      </c>
      <c r="AA8">
        <f>IFERROR(ROUND(((3*X8-(((E8/15000)+(F8/50)+(S8/240))*200/4+((E8/15000)*(F8/50))*200/2)*(H8/1.0))/(200/4+((S8/240))*200/2+((E8/15000)*(F8/50)*(S8/240))*200)*(H8/1.0)*6000)/J8,-1),"")</f>
        <v/>
      </c>
    </row>
    <row r="9">
      <c r="B9" s="7" t="inlineStr">
        <is>
          <t xml:space="preserve">  ↳ RAVulcan</t>
        </is>
      </c>
      <c r="C9" s="7" t="inlineStr">
        <is>
          <t>Armament@PRIMARY</t>
        </is>
      </c>
      <c r="L9" s="6" t="n">
        <v>16000</v>
      </c>
      <c r="M9" s="6" t="n">
        <v>48</v>
      </c>
      <c r="N9" s="6" t="n">
        <v>5</v>
      </c>
      <c r="O9" s="6" t="n">
        <v>3</v>
      </c>
      <c r="P9" s="6" t="n">
        <v>6500</v>
      </c>
      <c r="Q9" s="6" t="n">
        <v>0.875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^Warhead_Bullet_Light, ^Warhead_Bullet_Medium</t>
        </is>
      </c>
    </row>
    <row r="10">
      <c r="B10" s="7" t="inlineStr">
        <is>
          <t xml:space="preserve">  ↳ RAVulcan</t>
        </is>
      </c>
      <c r="C10" s="7" t="inlineStr">
        <is>
          <t>Armament@GARRISONED</t>
        </is>
      </c>
      <c r="L10" s="6" t="n">
        <v>16000</v>
      </c>
      <c r="M10" s="6" t="n">
        <v>48</v>
      </c>
      <c r="N10" s="6" t="n">
        <v>5</v>
      </c>
      <c r="O10" s="6" t="n">
        <v>3</v>
      </c>
      <c r="P10" s="6" t="n">
        <v>6500</v>
      </c>
      <c r="Q10" s="6" t="n">
        <v>0.875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^Warhead_Bullet_Light, ^Warhead_Bullet_Medium</t>
        </is>
      </c>
    </row>
    <row r="11">
      <c r="A11" t="inlineStr">
        <is>
          <t>redalert</t>
        </is>
      </c>
      <c r="B11" t="inlineStr">
        <is>
          <t>ra1_allies_mechanic</t>
        </is>
      </c>
      <c r="C11" t="inlineStr">
        <is>
          <t>Mechanic</t>
        </is>
      </c>
      <c r="D11" s="6" t="inlineStr">
        <is>
          <t>Mechanic</t>
        </is>
      </c>
      <c r="E11" s="6" t="n">
        <v>7500</v>
      </c>
      <c r="F11" s="6" t="n">
        <v>50</v>
      </c>
      <c r="G11" t="inlineStr">
        <is>
          <t>None</t>
        </is>
      </c>
      <c r="H11" s="6" t="n">
        <v>0.7333</v>
      </c>
      <c r="I11" s="6" t="n">
        <v>1</v>
      </c>
      <c r="J11" s="6" t="n">
        <v>1</v>
      </c>
      <c r="K11" s="6" t="n"/>
      <c r="P11">
        <f>MAX(P13)</f>
        <v/>
      </c>
      <c r="S11">
        <f>S13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(((E11/5000)+(F11/50)+(S11/0)+((P11/0)*J11))*500/4+(((E11/5000)*(F11/50))+(((P11/0)*J11)*(S11/0)))*500/2+((E11/5000)*(F11/50)*((P11/0)*J11)*(S11/0))*500)*(H11/1.0)/3</f>
        <v/>
      </c>
      <c r="X11" s="6" t="n">
        <v>500</v>
      </c>
      <c r="Y11">
        <f>IFERROR(W11-X11,"")</f>
        <v/>
      </c>
      <c r="Z11">
        <f>IFERROR(ABS(Y11)/MAX(X11,1),"")</f>
        <v/>
      </c>
      <c r="AA11">
        <f>IFERROR(ROUND(((3*X11-(((E11/5000)+(F11/50)+(S11/0))*500/4+((E11/5000)*(F11/50))*500/2)*(H11/1.0))/(500/4+((S11/0))*500/2+((E11/5000)*(F11/50)*(S11/0))*500)*(H11/1.0)*0)/J11,-1),"")</f>
        <v/>
      </c>
    </row>
    <row r="12">
      <c r="B12" s="7" t="inlineStr">
        <is>
          <t xml:space="preserve">  ↳ dummytargeting</t>
        </is>
      </c>
      <c r="C12" s="7" t="inlineStr">
        <is>
          <t>Armament@Dummy</t>
        </is>
      </c>
      <c r="L12" s="6" t="n"/>
      <c r="M12" s="6" t="n"/>
      <c r="N12" s="6" t="n">
        <v>1</v>
      </c>
      <c r="O12" s="6" t="n"/>
      <c r="P12" s="6" t="n">
        <v>10000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/>
    </row>
    <row r="13">
      <c r="B13" s="7" t="inlineStr">
        <is>
          <t xml:space="preserve">  ↳ Repair</t>
        </is>
      </c>
      <c r="C13" s="7" t="inlineStr">
        <is>
          <t>Armament</t>
        </is>
      </c>
      <c r="L13" s="6" t="n">
        <v>-3000</v>
      </c>
      <c r="M13" s="6" t="n">
        <v>75</v>
      </c>
      <c r="N13" s="6" t="n">
        <v>10</v>
      </c>
      <c r="O13" s="6" t="n">
        <v>1</v>
      </c>
      <c r="P13" s="6" t="n">
        <v>5000</v>
      </c>
      <c r="Q13" s="6" t="n">
        <v>1</v>
      </c>
      <c r="R13">
        <f>M13+IF(N13&gt;1,N(O13)*(N13-1),0)</f>
        <v/>
      </c>
      <c r="S13">
        <f>IFERROR(L13*MAX(N13,1)/R13*IF(ISBLANK(K11),1,K11),0)</f>
        <v/>
      </c>
      <c r="AB13" s="7" t="inlineStr">
        <is>
          <t>^RepairWeapon</t>
        </is>
      </c>
    </row>
    <row r="14">
      <c r="B14" s="7" t="inlineStr">
        <is>
          <t xml:space="preserve">  ↳ Repair</t>
        </is>
      </c>
      <c r="C14" s="7" t="inlineStr">
        <is>
          <t>Armament@GARRISONED</t>
        </is>
      </c>
      <c r="L14" s="6" t="n">
        <v>-3000</v>
      </c>
      <c r="M14" s="6" t="n">
        <v>75</v>
      </c>
      <c r="N14" s="6" t="n">
        <v>10</v>
      </c>
      <c r="O14" s="6" t="n">
        <v>1</v>
      </c>
      <c r="P14" s="6" t="n">
        <v>5000</v>
      </c>
      <c r="Q14" s="6" t="n">
        <v>1</v>
      </c>
      <c r="R14">
        <f>M14+IF(N14&gt;1,N(O14)*(N14-1),0)</f>
        <v/>
      </c>
      <c r="S14">
        <f>IFERROR(L14*MAX(N14,1)/R14*IF(ISBLANK(K11),1,K11),0)</f>
        <v/>
      </c>
      <c r="AB14" s="7" t="inlineStr">
        <is>
          <t>^RepairWeapon</t>
        </is>
      </c>
    </row>
    <row r="15">
      <c r="A15" t="inlineStr">
        <is>
          <t>redalert</t>
        </is>
      </c>
      <c r="B15" t="inlineStr">
        <is>
          <t>ra1_allies_medic</t>
        </is>
      </c>
      <c r="C15" t="inlineStr">
        <is>
          <t>Medic</t>
        </is>
      </c>
      <c r="D15" s="6" t="inlineStr">
        <is>
          <t>Medic</t>
        </is>
      </c>
      <c r="E15" s="6" t="n">
        <v>10000</v>
      </c>
      <c r="F15" s="6" t="n">
        <v>50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K15" s="6" t="n"/>
      <c r="P15">
        <f>MAX(P17)</f>
        <v/>
      </c>
      <c r="S15">
        <f>S17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(((E15/5000)+(F15/50)+(S15/0)+((P15/0)*J15))*500/4+(((E15/5000)*(F15/50))+(((P15/0)*J15)*(S15/0)))*500/2+((E15/5000)*(F15/50)*((P15/0)*J15)*(S15/0))*500)*(H15/1.0)/3</f>
        <v/>
      </c>
      <c r="X15" s="6" t="n">
        <v>500</v>
      </c>
      <c r="Y15">
        <f>IFERROR(W15-X15,"")</f>
        <v/>
      </c>
      <c r="Z15">
        <f>IFERROR(ABS(Y15)/MAX(X15,1),"")</f>
        <v/>
      </c>
      <c r="AA15">
        <f>IFERROR(ROUND(((3*X15-(((E15/5000)+(F15/50)+(S15/0))*500/4+((E15/5000)*(F15/50))*500/2)*(H15/1.0))/(500/4+((S15/0))*500/2+((E15/5000)*(F15/50)*(S15/0))*500)*(H15/1.0)*0)/J15,-1),"")</f>
        <v/>
      </c>
    </row>
    <row r="16">
      <c r="B16" s="7" t="inlineStr">
        <is>
          <t xml:space="preserve">  ↳ dummytargeting</t>
        </is>
      </c>
      <c r="C16" s="7" t="inlineStr">
        <is>
          <t>Armament@Dummy</t>
        </is>
      </c>
      <c r="L16" s="6" t="n"/>
      <c r="M16" s="6" t="n"/>
      <c r="N16" s="6" t="n">
        <v>1</v>
      </c>
      <c r="O16" s="6" t="n"/>
      <c r="P16" s="6" t="n">
        <v>10000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/>
    </row>
    <row r="17">
      <c r="B17" s="7" t="inlineStr">
        <is>
          <t xml:space="preserve">  ↳ Heal</t>
        </is>
      </c>
      <c r="C17" s="7" t="inlineStr">
        <is>
          <t>Armament</t>
        </is>
      </c>
      <c r="L17" s="6" t="n">
        <v>-3000</v>
      </c>
      <c r="M17" s="6" t="n">
        <v>75</v>
      </c>
      <c r="N17" s="6" t="n">
        <v>1</v>
      </c>
      <c r="O17" s="6" t="n"/>
      <c r="P17" s="6" t="n">
        <v>5000</v>
      </c>
      <c r="Q17" s="6" t="n">
        <v>1</v>
      </c>
      <c r="R17">
        <f>M17+IF(N17&gt;1,N(O17)*(N17-1),0)</f>
        <v/>
      </c>
      <c r="S17">
        <f>IFERROR(L17*MAX(N17,1)/R17*IF(ISBLANK(K15),1,K15),0)</f>
        <v/>
      </c>
      <c r="AB17" s="7" t="inlineStr">
        <is>
          <t>^HealingWeapon</t>
        </is>
      </c>
    </row>
    <row r="18">
      <c r="B18" s="7" t="inlineStr">
        <is>
          <t xml:space="preserve">  ↳ Heal</t>
        </is>
      </c>
      <c r="C18" s="7" t="inlineStr">
        <is>
          <t>Armament@GARRISONED</t>
        </is>
      </c>
      <c r="L18" s="6" t="n">
        <v>-3000</v>
      </c>
      <c r="M18" s="6" t="n">
        <v>75</v>
      </c>
      <c r="N18" s="6" t="n">
        <v>1</v>
      </c>
      <c r="O18" s="6" t="n"/>
      <c r="P18" s="6" t="n">
        <v>5000</v>
      </c>
      <c r="Q18" s="6" t="n">
        <v>1</v>
      </c>
      <c r="R18">
        <f>M18+IF(N18&gt;1,N(O18)*(N18-1),0)</f>
        <v/>
      </c>
      <c r="S18">
        <f>IFERROR(L18*MAX(N18,1)/R18*IF(ISBLANK(K15),1,K15),0)</f>
        <v/>
      </c>
      <c r="AB18" s="7" t="inlineStr">
        <is>
          <t>^HealingWeapon</t>
        </is>
      </c>
    </row>
    <row r="19">
      <c r="A19" t="inlineStr">
        <is>
          <t>redalert</t>
        </is>
      </c>
      <c r="B19" t="inlineStr">
        <is>
          <t>ra1_allies_raspy</t>
        </is>
      </c>
      <c r="C19" t="inlineStr">
        <is>
          <t>Spy</t>
        </is>
      </c>
      <c r="D19" s="6" t="inlineStr">
        <is>
          <t>ScoutInfantry</t>
        </is>
      </c>
      <c r="E19" s="6" t="n">
        <v>5000</v>
      </c>
      <c r="F19" s="6" t="n">
        <v>60</v>
      </c>
      <c r="G19" t="inlineStr">
        <is>
          <t>None</t>
        </is>
      </c>
      <c r="H19" s="6" t="n">
        <v>0.7674</v>
      </c>
      <c r="I19" s="6" t="n">
        <v>1</v>
      </c>
      <c r="J19" s="6" t="n">
        <v>1</v>
      </c>
      <c r="K19" s="6" t="n"/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(((E19/5000)+(F19/50)+(S19/0)+((P19/0)*J19))*500/4+(((E19/5000)*(F19/50))+(((P19/0)*J19)*(S19/0)))*500/2+((E19/5000)*(F19/50)*((P19/0)*J19)*(S19/0))*500)*(H19/1.0)/3</f>
        <v/>
      </c>
      <c r="X19" s="6" t="n">
        <v>500</v>
      </c>
      <c r="Y19">
        <f>IFERROR(W19-X19,"")</f>
        <v/>
      </c>
      <c r="Z19">
        <f>IFERROR(ABS(Y19)/MAX(X19,1),"")</f>
        <v/>
      </c>
      <c r="AA19">
        <f>IFERROR(ROUND(((3*X19-(((E19/5000)+(F19/50)+(S19/0))*500/4+((E19/5000)*(F19/50))*500/2)*(H19/1.0))/(500/4+((S19/0))*500/2+((E19/5000)*(F19/50)*(S19/0))*500)*(H19/1.0)*0)/J19,-1),"")</f>
        <v/>
      </c>
    </row>
    <row r="20">
      <c r="B20" s="7" t="inlineStr">
        <is>
          <t xml:space="preserve">  ↳ SilencedPPK</t>
        </is>
      </c>
      <c r="C20" s="7" t="inlineStr">
        <is>
          <t>Armament</t>
        </is>
      </c>
      <c r="L20" s="6" t="n">
        <v>15000</v>
      </c>
      <c r="M20" s="6" t="n">
        <v>80</v>
      </c>
      <c r="N20" s="6" t="n">
        <v>1</v>
      </c>
      <c r="O20" s="6" t="n"/>
      <c r="P20" s="6" t="n">
        <v>2560</v>
      </c>
      <c r="Q20" s="6" t="n">
        <v>1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^SnipeWeapon</t>
        </is>
      </c>
    </row>
    <row r="21">
      <c r="A21" t="inlineStr">
        <is>
          <t>redalert</t>
        </is>
      </c>
      <c r="B21" t="inlineStr">
        <is>
          <t>ra1_allies_tanya</t>
        </is>
      </c>
      <c r="C21" t="inlineStr">
        <is>
          <t>Tanya</t>
        </is>
      </c>
      <c r="D21" s="6" t="inlineStr">
        <is>
          <t>HeroInfantry</t>
        </is>
      </c>
      <c r="E21" s="6" t="n">
        <v>44000</v>
      </c>
      <c r="F21" s="6" t="n">
        <v>77</v>
      </c>
      <c r="G21" t="inlineStr">
        <is>
          <t>Heroic</t>
        </is>
      </c>
      <c r="H21" s="6" t="n">
        <v>0.75</v>
      </c>
      <c r="I21" s="6" t="n">
        <v>1</v>
      </c>
      <c r="J21" s="6" t="n">
        <v>1.25</v>
      </c>
      <c r="K21" s="6" t="n"/>
      <c r="P21">
        <f>MAX(P22)</f>
        <v/>
      </c>
      <c r="S21">
        <f>S22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(T21+U21+V21)/3</f>
        <v/>
      </c>
      <c r="X21" s="6" t="n">
        <v>3000</v>
      </c>
      <c r="Y21">
        <f>IFERROR(W21-X21,"")</f>
        <v/>
      </c>
      <c r="Z21">
        <f>IFERROR(ABS(Y21)/MAX(X21,1),"")</f>
        <v/>
      </c>
      <c r="AA21">
        <f>IFERROR((X21-(((E21/100000+F21/100+S21/200)*200*I21*H21)+((E21*F21/25000)*I21*H21))/3)/(((J21/5)*200*I21*H21)+((J21*S21/2.5)*I21*H21)+((E21*F21*J21*S21*I21*H21)/12500000))/3*1000,"")</f>
        <v/>
      </c>
    </row>
    <row r="22">
      <c r="B22" s="7" t="inlineStr">
        <is>
          <t xml:space="preserve">  ↳ Colt45</t>
        </is>
      </c>
      <c r="C22" s="7" t="inlineStr">
        <is>
          <t>Armament@PRIMARY</t>
        </is>
      </c>
      <c r="L22" s="6" t="n">
        <v>7777</v>
      </c>
      <c r="M22" s="6" t="n">
        <v>7</v>
      </c>
      <c r="N22" s="6" t="n">
        <v>2</v>
      </c>
      <c r="O22" s="6" t="n">
        <v>0</v>
      </c>
      <c r="P22" s="6" t="n">
        <v>7777</v>
      </c>
      <c r="Q22" s="6" t="n">
        <v>0.75</v>
      </c>
      <c r="R22">
        <f>M22+IF(N22&gt;1,N(O22)*(N22-1),0)</f>
        <v/>
      </c>
      <c r="S22">
        <f>IFERROR(L22*MAX(N22,1)/R22*IF(ISBLANK(K21),1,K21),0)</f>
        <v/>
      </c>
      <c r="AB22" s="7" t="inlineStr">
        <is>
          <t>^Warhead_Sniper_Light</t>
        </is>
      </c>
    </row>
    <row r="23">
      <c r="B23" s="7" t="inlineStr">
        <is>
          <t xml:space="preserve">  ↳ Colt45</t>
        </is>
      </c>
      <c r="C23" s="7" t="inlineStr">
        <is>
          <t>Armament@GARRISONED</t>
        </is>
      </c>
      <c r="L23" s="6" t="n">
        <v>7777</v>
      </c>
      <c r="M23" s="6" t="n">
        <v>7</v>
      </c>
      <c r="N23" s="6" t="n">
        <v>2</v>
      </c>
      <c r="O23" s="6" t="n">
        <v>0</v>
      </c>
      <c r="P23" s="6" t="n">
        <v>7777</v>
      </c>
      <c r="Q23" s="6" t="n">
        <v>0.75</v>
      </c>
      <c r="R23">
        <f>M23+IF(N23&gt;1,N(O23)*(N23-1),0)</f>
        <v/>
      </c>
      <c r="S23">
        <f>IFERROR(L23*MAX(N23,1)/R23*IF(ISBLANK(K21),1,K21),0)</f>
        <v/>
      </c>
      <c r="AB23" s="7" t="inlineStr">
        <is>
          <t>^Warhead_Sniper_Light</t>
        </is>
      </c>
    </row>
    <row r="24">
      <c r="B24" s="7" t="inlineStr">
        <is>
          <t xml:space="preserve">  ↳ TanyaAttach</t>
        </is>
      </c>
      <c r="C24" s="7" t="inlineStr">
        <is>
          <t>Armament@c4</t>
        </is>
      </c>
      <c r="L24" s="6" t="n"/>
      <c r="M24" s="6" t="n">
        <v>20</v>
      </c>
      <c r="N24" s="6" t="n">
        <v>1</v>
      </c>
      <c r="O24" s="6" t="n"/>
      <c r="P24" s="6" t="n">
        <v>2000</v>
      </c>
      <c r="Q24" s="6" t="n">
        <v>1</v>
      </c>
      <c r="R24">
        <f>M24+IF(N24&gt;1,N(O24)*(N24-1),0)</f>
        <v/>
      </c>
      <c r="S24">
        <f>IFERROR(L24*MAX(N24,1)/R24*IF(ISBLANK(K21),1,K21),0)</f>
        <v/>
      </c>
      <c r="AB24" s="7" t="inlineStr">
        <is>
          <t>IvanAttach</t>
        </is>
      </c>
    </row>
    <row r="25">
      <c r="B25" s="7" t="inlineStr">
        <is>
          <t xml:space="preserve">  ↳ GenericC4</t>
        </is>
      </c>
      <c r="C25" s="7" t="inlineStr">
        <is>
          <t>Armament@c4building</t>
        </is>
      </c>
      <c r="L25" s="6" t="n"/>
      <c r="M25" s="6" t="n">
        <v>20</v>
      </c>
      <c r="N25" s="6" t="n">
        <v>1</v>
      </c>
      <c r="O25" s="6" t="n"/>
      <c r="P25" s="6" t="n">
        <v>2000</v>
      </c>
      <c r="Q25" s="6" t="n">
        <v>1</v>
      </c>
      <c r="R25">
        <f>M25+IF(N25&gt;1,N(O25)*(N25-1),0)</f>
        <v/>
      </c>
      <c r="S25">
        <f>IFERROR(L25*MAX(N25,1)/R25*IF(ISBLANK(K21),1,K21),0)</f>
        <v/>
      </c>
      <c r="AB25" s="7" t="inlineStr"/>
    </row>
    <row r="26">
      <c r="A26" s="4" t="inlineStr">
        <is>
          <t>VEHICLES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t="inlineStr">
        <is>
          <t>redalert</t>
        </is>
      </c>
      <c r="B27" t="inlineStr">
        <is>
          <t>ra1_allies_alliedartillery</t>
        </is>
      </c>
      <c r="C27" t="inlineStr">
        <is>
          <t>Allied Artillery</t>
        </is>
      </c>
      <c r="D27" s="6" t="inlineStr">
        <is>
          <t>Artillery</t>
        </is>
      </c>
      <c r="E27" s="6" t="n">
        <v>20000</v>
      </c>
      <c r="F27" s="6" t="n">
        <v>60</v>
      </c>
      <c r="G27" t="inlineStr">
        <is>
          <t>Light</t>
        </is>
      </c>
      <c r="H27" s="6" t="n">
        <v>1</v>
      </c>
      <c r="I27" s="6" t="n">
        <v>0.5</v>
      </c>
      <c r="J27" s="6" t="n">
        <v>1</v>
      </c>
      <c r="K27" s="6" t="n"/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(((E27/60000)+(F27/75)+(S27/500)+((P27/15000)*J27))*500/4+(((E27/60000)*(F27/75))+(((P27/15000)*J27)*(S27/500)))*500/2+((E27/60000)*(F27/75)*((P27/15000)*J27)*(S27/500))*500)*(H27/1.0)/3</f>
        <v/>
      </c>
      <c r="X27" s="6" t="n">
        <v>600</v>
      </c>
      <c r="Y27">
        <f>IFERROR(W27-X27,"")</f>
        <v/>
      </c>
      <c r="Z27">
        <f>IFERROR(ABS(Y27)/MAX(X27,1),"")</f>
        <v/>
      </c>
      <c r="AA27">
        <f>IFERROR(ROUND(((3*X27-(((E27/60000)+(F27/75)+(S27/500))*500/4+((E27/60000)*(F27/75))*500/2)*(H27/1.0))/(500/4+((S27/500))*500/2+((E27/60000)*(F27/75)*(S27/500))*500)*(H27/1.0)*15000)/J27,-1),"")</f>
        <v/>
      </c>
    </row>
    <row r="28">
      <c r="B28" s="7" t="inlineStr">
        <is>
          <t xml:space="preserve">  ↳ 155mm</t>
        </is>
      </c>
      <c r="C28" s="7" t="inlineStr">
        <is>
          <t>Armament</t>
        </is>
      </c>
      <c r="L28" s="6" t="n">
        <v>30000</v>
      </c>
      <c r="M28" s="6" t="n">
        <v>80</v>
      </c>
      <c r="N28" s="6" t="n">
        <v>1</v>
      </c>
      <c r="O28" s="6" t="n"/>
      <c r="P28" s="6" t="n">
        <v>13350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^HeavyCannon, ^ShrapnelWeapon, ^Grenade</t>
        </is>
      </c>
    </row>
    <row r="29">
      <c r="B29" s="7" t="inlineStr">
        <is>
          <t xml:space="preserve">  ↳ 155mmCryo</t>
        </is>
      </c>
      <c r="C29" s="7" t="inlineStr">
        <is>
          <t>Armament@Upgrade</t>
        </is>
      </c>
      <c r="L29" s="6" t="n">
        <v>30000</v>
      </c>
      <c r="M29" s="6" t="n">
        <v>80</v>
      </c>
      <c r="N29" s="6" t="n">
        <v>1</v>
      </c>
      <c r="O29" s="6" t="n"/>
      <c r="P29" s="6" t="n">
        <v>13350</v>
      </c>
      <c r="Q29" s="6" t="n">
        <v>1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155mm, ^CryoMissileProjectile</t>
        </is>
      </c>
    </row>
    <row r="30">
      <c r="A30" t="inlineStr">
        <is>
          <t>redalert</t>
        </is>
      </c>
      <c r="B30" t="inlineStr">
        <is>
          <t>ra1_allies_alliedheavyaatank</t>
        </is>
      </c>
      <c r="C30" t="inlineStr">
        <is>
          <t>Allied Heavy AA Tank</t>
        </is>
      </c>
      <c r="D30" s="6" t="inlineStr">
        <is>
          <t>AntiAirVehicle</t>
        </is>
      </c>
      <c r="E30" s="6" t="n">
        <v>125000</v>
      </c>
      <c r="F30" s="6" t="n">
        <v>75</v>
      </c>
      <c r="G30" t="inlineStr">
        <is>
          <t>Medium</t>
        </is>
      </c>
      <c r="H30" s="6" t="n">
        <v>1</v>
      </c>
      <c r="I30" s="6" t="n">
        <v>1</v>
      </c>
      <c r="J30" s="6" t="n">
        <v>1.25</v>
      </c>
      <c r="K30" s="6" t="n">
        <v>0.0025</v>
      </c>
      <c r="P30">
        <f>MAX(P31,P32)</f>
        <v/>
      </c>
      <c r="S30">
        <f>S31+S32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(((E30/170000)+(F30/110)+(S30/1250)+((P30/6000)*J30))*1000/4+(((E30/170000)*(F30/110))+(((P30/6000)*J30)*(S30/1250)))*1000/2+((E30/170000)*(F30/110)*((P30/6000)*J30)*(S30/1250))*1000)*(H30/1.0)/3</f>
        <v/>
      </c>
      <c r="X30" s="6" t="n">
        <v>1250</v>
      </c>
      <c r="Y30">
        <f>IFERROR(W30-X30,"")</f>
        <v/>
      </c>
      <c r="Z30">
        <f>IFERROR(ABS(Y30)/MAX(X30,1),"")</f>
        <v/>
      </c>
      <c r="AA30">
        <f>IFERROR(ROUND(((3*X30-(((E30/170000)+(F30/110)+(S30/1250))*1000/4+((E30/170000)*(F30/110))*1000/2)*(H30/1.0))/(1000/4+((S30/1250))*1000/2+((E30/170000)*(F30/110)*(S30/1250))*1000)*(H30/1.0)*6000)/J30,-1),"")</f>
        <v/>
      </c>
    </row>
    <row r="31">
      <c r="B31" s="7" t="inlineStr">
        <is>
          <t xml:space="preserve">  ↳ HeavyAATankCannonAG</t>
        </is>
      </c>
      <c r="C31" s="7" t="inlineStr">
        <is>
          <t>Armament@AG</t>
        </is>
      </c>
      <c r="L31" s="6" t="n">
        <v>8000</v>
      </c>
      <c r="M31" s="6" t="n">
        <v>10</v>
      </c>
      <c r="N31" s="6" t="n">
        <v>1</v>
      </c>
      <c r="O31" s="6" t="n"/>
      <c r="P31" s="6" t="n">
        <v>4746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^LightMissile, ^FlakWeapon, ^SmallArms, ^Chaingun</t>
        </is>
      </c>
    </row>
    <row r="32">
      <c r="B32" s="7" t="inlineStr">
        <is>
          <t xml:space="preserve">  ↳ HeavyAATankCannon_AA</t>
        </is>
      </c>
      <c r="C32" s="7" t="inlineStr">
        <is>
          <t>Armament@AA</t>
        </is>
      </c>
      <c r="L32" s="6" t="n">
        <v>8000</v>
      </c>
      <c r="M32" s="6" t="n">
        <v>10</v>
      </c>
      <c r="N32" s="6" t="n">
        <v>1</v>
      </c>
      <c r="O32" s="6" t="n"/>
      <c r="P32" s="6" t="n">
        <v>7119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HeavyAATankCannonAG</t>
        </is>
      </c>
    </row>
    <row r="33">
      <c r="A33" t="inlineStr">
        <is>
          <t>redalert</t>
        </is>
      </c>
      <c r="B33" t="inlineStr">
        <is>
          <t>ra1_allies_alliedlighttank</t>
        </is>
      </c>
      <c r="C33" t="inlineStr">
        <is>
          <t>Allied Light Tank</t>
        </is>
      </c>
      <c r="D33" s="6" t="inlineStr">
        <is>
          <t>LightTank</t>
        </is>
      </c>
      <c r="E33" s="6" t="n">
        <v>50000</v>
      </c>
      <c r="F33" s="6" t="n">
        <v>120</v>
      </c>
      <c r="G33" t="inlineStr">
        <is>
          <t>Medium</t>
        </is>
      </c>
      <c r="H33" s="6" t="n">
        <v>1</v>
      </c>
      <c r="I33" s="6" t="n">
        <v>1</v>
      </c>
      <c r="J33" s="6" t="n">
        <v>1</v>
      </c>
      <c r="K33" s="6" t="n">
        <v>0.005</v>
      </c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(((E33/100000)+(F33/125)+(S33/200)+((P33/5000)*J33))*400/4+(((E33/100000)*(F33/125))+(((P33/5000)*J33)*(S33/200)))*400/2+((E33/100000)*(F33/125)*((P33/5000)*J33)*(S33/200))*400)*(H33/1.0)/3</f>
        <v/>
      </c>
      <c r="X33" s="6" t="n">
        <v>500</v>
      </c>
      <c r="Y33">
        <f>IFERROR(W33-X33,"")</f>
        <v/>
      </c>
      <c r="Z33">
        <f>IFERROR(ABS(Y33)/MAX(X33,1),"")</f>
        <v/>
      </c>
      <c r="AA33">
        <f>IFERROR(ROUND(((3*X33-(((E33/100000)+(F33/125)+(S33/200))*400/4+((E33/100000)*(F33/125))*400/2)*(H33/1.0))/(400/4+((S33/200))*400/2+((E33/100000)*(F33/125)*(S33/200))*400)*(H33/1.0)*5000)/J33,-1),"")</f>
        <v/>
      </c>
    </row>
    <row r="34">
      <c r="B34" s="7" t="inlineStr">
        <is>
          <t xml:space="preserve">  ↳ 25mm</t>
        </is>
      </c>
      <c r="C34" s="7" t="inlineStr">
        <is>
          <t>Armament</t>
        </is>
      </c>
      <c r="L34" s="6" t="n">
        <v>12000</v>
      </c>
      <c r="M34" s="6" t="n">
        <v>37</v>
      </c>
      <c r="N34" s="6" t="n">
        <v>1</v>
      </c>
      <c r="O34" s="6" t="n"/>
      <c r="P34" s="6" t="n">
        <v>4720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^Warhead_CannonHE_Medium</t>
        </is>
      </c>
    </row>
    <row r="35">
      <c r="A35" t="inlineStr">
        <is>
          <t>redalert</t>
        </is>
      </c>
      <c r="B35" t="inlineStr">
        <is>
          <t>ra1_allies_alliedmediumtank</t>
        </is>
      </c>
      <c r="C35" t="inlineStr">
        <is>
          <t>Allied Medium Tank</t>
        </is>
      </c>
      <c r="D35" s="6" t="inlineStr">
        <is>
          <t>MainBattleTank</t>
        </is>
      </c>
      <c r="E35" s="6" t="n">
        <v>90000</v>
      </c>
      <c r="F35" s="6" t="n">
        <v>100</v>
      </c>
      <c r="G35" t="inlineStr">
        <is>
          <t>Heavy</t>
        </is>
      </c>
      <c r="H35" s="6" t="n">
        <v>1</v>
      </c>
      <c r="I35" s="6" t="n">
        <v>1</v>
      </c>
      <c r="J35" s="6" t="n">
        <v>1</v>
      </c>
      <c r="K35" s="6" t="n"/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(((E35/240000)+(F35/95)+(S35/600)+((P35/5500)*J35))*800/4+(((E35/240000)*(F35/95))+(((P35/5500)*J35)*(S35/600)))*800/2+((E35/240000)*(F35/95)*((P35/5500)*J35)*(S35/600))*800)*(H35/1.0)/3</f>
        <v/>
      </c>
      <c r="X35" s="6" t="n">
        <v>700</v>
      </c>
      <c r="Y35">
        <f>IFERROR(W35-X35,"")</f>
        <v/>
      </c>
      <c r="Z35">
        <f>IFERROR(ABS(Y35)/MAX(X35,1),"")</f>
        <v/>
      </c>
      <c r="AA35">
        <f>IFERROR(ROUND(((3*X35-(((E35/240000)+(F35/95)+(S35/600))*800/4+((E35/240000)*(F35/95))*800/2)*(H35/1.0))/(800/4+((S35/600))*800/2+((E35/240000)*(F35/95)*(S35/600))*800)*(H35/1.0)*5500)/J35,-1),"")</f>
        <v/>
      </c>
    </row>
    <row r="36">
      <c r="B36" s="7" t="inlineStr">
        <is>
          <t xml:space="preserve">  ↳ 90mm</t>
        </is>
      </c>
      <c r="C36" s="7" t="inlineStr">
        <is>
          <t>Armament</t>
        </is>
      </c>
      <c r="L36" s="6" t="n">
        <v>8000</v>
      </c>
      <c r="M36" s="6" t="n">
        <v>47</v>
      </c>
      <c r="N36" s="6" t="n">
        <v>1</v>
      </c>
      <c r="O36" s="6" t="n"/>
      <c r="P36" s="6" t="n">
        <v>5159</v>
      </c>
      <c r="Q36" s="6" t="n">
        <v>1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^Warhead_CannonHE_Medium</t>
        </is>
      </c>
    </row>
    <row r="37">
      <c r="A37" t="inlineStr">
        <is>
          <t>redalert</t>
        </is>
      </c>
      <c r="B37" t="inlineStr">
        <is>
          <t>ra1_allies_alliedmobileconstructionvehicle</t>
        </is>
      </c>
      <c r="C37" t="inlineStr">
        <is>
          <t>Allied Mobile Construction Vehicle</t>
        </is>
      </c>
      <c r="D37" s="6" t="inlineStr">
        <is>
          <t>SupportVehicle</t>
        </is>
      </c>
      <c r="E37" s="6" t="n">
        <v>300000</v>
      </c>
      <c r="F37" s="6" t="n">
        <v>75</v>
      </c>
      <c r="G37" t="inlineStr">
        <is>
          <t>Medium</t>
        </is>
      </c>
      <c r="H37" s="6" t="n">
        <v>0.8048999999999999</v>
      </c>
      <c r="I37" s="6" t="n">
        <v>1</v>
      </c>
      <c r="J37" s="6" t="n">
        <v>1</v>
      </c>
      <c r="K37" s="6" t="n"/>
      <c r="X37" s="6" t="n">
        <v>5000</v>
      </c>
    </row>
    <row r="38">
      <c r="A38" t="inlineStr">
        <is>
          <t>redalert</t>
        </is>
      </c>
      <c r="B38" t="inlineStr">
        <is>
          <t>ra1_allies_alliedoretruck</t>
        </is>
      </c>
      <c r="C38" t="inlineStr">
        <is>
          <t>Allied Ore Truck</t>
        </is>
      </c>
      <c r="D38" s="6" t="inlineStr">
        <is>
          <t>Harvester</t>
        </is>
      </c>
      <c r="E38" s="6" t="n">
        <v>100000</v>
      </c>
      <c r="F38" s="6" t="n">
        <v>90</v>
      </c>
      <c r="G38" t="inlineStr">
        <is>
          <t>Medium</t>
        </is>
      </c>
      <c r="H38" s="6" t="n">
        <v>1</v>
      </c>
      <c r="I38" s="6" t="n">
        <v>1</v>
      </c>
      <c r="J38" s="6" t="n">
        <v>1</v>
      </c>
      <c r="K38" s="6" t="n"/>
      <c r="X38" s="6" t="n">
        <v>1000</v>
      </c>
    </row>
    <row r="39">
      <c r="A39" t="inlineStr">
        <is>
          <t>redalert</t>
        </is>
      </c>
      <c r="B39" t="inlineStr">
        <is>
          <t>ra1_allies_alliedtankdestroyer</t>
        </is>
      </c>
      <c r="C39" t="inlineStr">
        <is>
          <t>Allied Tank Destroyer</t>
        </is>
      </c>
      <c r="D39" s="6" t="inlineStr">
        <is>
          <t>TankDestroyer</t>
        </is>
      </c>
      <c r="E39" s="6" t="n">
        <v>120000</v>
      </c>
      <c r="F39" s="6" t="n">
        <v>60</v>
      </c>
      <c r="G39" t="inlineStr">
        <is>
          <t>Heavy</t>
        </is>
      </c>
      <c r="H39" s="6" t="n">
        <v>1</v>
      </c>
      <c r="I39" s="6" t="n">
        <v>1</v>
      </c>
      <c r="J39" s="6" t="n">
        <v>1</v>
      </c>
      <c r="K39" s="6" t="n"/>
      <c r="P39">
        <f>MAX(P40)</f>
        <v/>
      </c>
      <c r="S39">
        <f>S40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(((E39/150000)+(F39/70)+(S39/900)+((P39/7500)*J39))*600/4+(((E39/150000)*(F39/70))+(((P39/7500)*J39)*(S39/900)))*600/2+((E39/150000)*(F39/70)*((P39/7500)*J39)*(S39/900))*600)*(H39/1.0)/3</f>
        <v/>
      </c>
      <c r="X39" s="6" t="n">
        <v>1200</v>
      </c>
      <c r="Y39">
        <f>IFERROR(W39-X39,"")</f>
        <v/>
      </c>
      <c r="Z39">
        <f>IFERROR(ABS(Y39)/MAX(X39,1),"")</f>
        <v/>
      </c>
      <c r="AA39">
        <f>IFERROR(ROUND(((3*X39-(((E39/150000)+(F39/70)+(S39/900))*600/4+((E39/150000)*(F39/70))*600/2)*(H39/1.0))/(600/4+((S39/900))*600/2+((E39/150000)*(F39/70)*(S39/900))*600)*(H39/1.0)*7500)/J39,-1),"")</f>
        <v/>
      </c>
    </row>
    <row r="40">
      <c r="B40" s="7" t="inlineStr">
        <is>
          <t xml:space="preserve">  ↳ AlliedTankDestroyerCannon</t>
        </is>
      </c>
      <c r="C40" s="7" t="inlineStr">
        <is>
          <t>Armament</t>
        </is>
      </c>
      <c r="L40" s="6" t="n">
        <v>24000</v>
      </c>
      <c r="M40" s="6" t="n">
        <v>60</v>
      </c>
      <c r="N40" s="6" t="n">
        <v>1</v>
      </c>
      <c r="O40" s="6" t="n"/>
      <c r="P40" s="6" t="n">
        <v>6819</v>
      </c>
      <c r="Q40" s="6" t="n">
        <v>0.875</v>
      </c>
      <c r="R40">
        <f>M40+IF(N40&gt;1,N(O40)*(N40-1),0)</f>
        <v/>
      </c>
      <c r="S40">
        <f>IFERROR(L40*MAX(N40,1)/R40*IF(ISBLANK(K39),1,K39),0)</f>
        <v/>
      </c>
      <c r="AB40" s="7" t="inlineStr">
        <is>
          <t>^Warhead_CannonHE_Medium, ^Warhead_CannonAP_Light</t>
        </is>
      </c>
    </row>
    <row r="41">
      <c r="A41" t="inlineStr">
        <is>
          <t>redalert</t>
        </is>
      </c>
      <c r="B41" t="inlineStr">
        <is>
          <t>ra1_allies_alliedtigerheavytank</t>
        </is>
      </c>
      <c r="C41" t="inlineStr">
        <is>
          <t>Allied Tiger Heavy Tank</t>
        </is>
      </c>
      <c r="D41" s="6" t="inlineStr">
        <is>
          <t>MainBattleTank</t>
        </is>
      </c>
      <c r="E41" s="6" t="n">
        <v>160000</v>
      </c>
      <c r="F41" s="6" t="n">
        <v>75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K41" s="6" t="n"/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(((E41/240000)+(F41/95)+(S41/600)+((P41/5500)*J41))*800/4+(((E41/240000)*(F41/95))+(((P41/5500)*J41)*(S41/600)))*800/2+((E41/240000)*(F41/95)*((P41/5500)*J41)*(S41/600))*800)*(H41/1.0)/3</f>
        <v/>
      </c>
      <c r="X41" s="6" t="n">
        <v>1300</v>
      </c>
      <c r="Y41">
        <f>IFERROR(W41-X41,"")</f>
        <v/>
      </c>
      <c r="Z41">
        <f>IFERROR(ABS(Y41)/MAX(X41,1),"")</f>
        <v/>
      </c>
      <c r="AA41">
        <f>IFERROR(ROUND(((3*X41-(((E41/240000)+(F41/95)+(S41/600))*800/4+((E41/240000)*(F41/95))*800/2)*(H41/1.0))/(800/4+((S41/600))*800/2+((E41/240000)*(F41/95)*(S41/600))*800)*(H41/1.0)*5500)/J41,-1),"")</f>
        <v/>
      </c>
    </row>
    <row r="42">
      <c r="B42" s="7" t="inlineStr">
        <is>
          <t xml:space="preserve">  ↳ TigerCannon</t>
        </is>
      </c>
      <c r="C42" s="7" t="inlineStr">
        <is>
          <t>Armament</t>
        </is>
      </c>
      <c r="L42" s="6" t="n">
        <v>16000</v>
      </c>
      <c r="M42" s="6" t="n">
        <v>60</v>
      </c>
      <c r="N42" s="6" t="n">
        <v>1</v>
      </c>
      <c r="O42" s="6" t="n"/>
      <c r="P42" s="6" t="n">
        <v>5915</v>
      </c>
      <c r="Q42" s="6" t="n">
        <v>1.125</v>
      </c>
      <c r="R42">
        <f>M42+IF(N42&gt;1,N(O42)*(N42-1),0)</f>
        <v/>
      </c>
      <c r="S42">
        <f>IFERROR(L42*MAX(N42,1)/R42*IF(ISBLANK(K41),1,K41),0)</f>
        <v/>
      </c>
      <c r="AB42" s="7" t="inlineStr">
        <is>
          <t>^Warhead_CannonHE_Heavy, ^Warhead_CannonHE_Medium</t>
        </is>
      </c>
    </row>
    <row r="43">
      <c r="A43" t="inlineStr">
        <is>
          <t>redalert</t>
        </is>
      </c>
      <c r="B43" t="inlineStr">
        <is>
          <t>ra1_allies_chronotank</t>
        </is>
      </c>
      <c r="C43" t="inlineStr">
        <is>
          <t>Chrono Tank</t>
        </is>
      </c>
      <c r="D43" s="6" t="inlineStr">
        <is>
          <t>EpicVehicle</t>
        </is>
      </c>
      <c r="E43" s="6" t="n">
        <v>75000</v>
      </c>
      <c r="F43" s="6" t="n">
        <v>100</v>
      </c>
      <c r="G43" t="inlineStr">
        <is>
          <t>Superheavy</t>
        </is>
      </c>
      <c r="H43" s="6" t="n">
        <v>0.75</v>
      </c>
      <c r="I43" s="6" t="n">
        <v>0.4</v>
      </c>
      <c r="J43" s="6" t="n">
        <v>2</v>
      </c>
      <c r="K43" s="6" t="n"/>
      <c r="P43">
        <f>MAX(P44,P45,P46,P47)</f>
        <v/>
      </c>
      <c r="S43">
        <f>S44+S45+S46+S47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(((E43/4000000)+(F43/60)+(S43/20000)+((P43/8500)*J43))*10000/4+(((E43/4000000)*(F43/60))+(((P43/8500)*J43)*(S43/20000)))*10000/2+((E43/4000000)*(F43/60)*((P43/8500)*J43)*(S43/20000))*10000)*(H43/0.75)/3</f>
        <v/>
      </c>
      <c r="X43" s="6" t="n">
        <v>2000</v>
      </c>
      <c r="Y43">
        <f>IFERROR(W43-X43,"")</f>
        <v/>
      </c>
      <c r="Z43">
        <f>IFERROR(ABS(Y43)/MAX(X43,1),"")</f>
        <v/>
      </c>
      <c r="AA43">
        <f>IFERROR(ROUND(((3*X43-(((E43/4000000)+(F43/60)+(S43/20000))*10000/4+((E43/4000000)*(F43/60))*10000/2)*(H43/0.75))/(10000/4+((S43/20000))*10000/2+((E43/4000000)*(F43/60)*(S43/20000))*10000)*(H43/0.75)*8500)/J43,-1),"")</f>
        <v/>
      </c>
    </row>
    <row r="44">
      <c r="B44" s="7" t="inlineStr">
        <is>
          <t xml:space="preserve">  ↳ ChronoTusk</t>
        </is>
      </c>
      <c r="C44" s="7" t="inlineStr">
        <is>
          <t>Armament@PRIMARY</t>
        </is>
      </c>
      <c r="L44" s="6" t="n">
        <v>20000</v>
      </c>
      <c r="M44" s="6" t="n">
        <v>54</v>
      </c>
      <c r="N44" s="6" t="n">
        <v>4</v>
      </c>
      <c r="O44" s="6" t="n">
        <v>3</v>
      </c>
      <c r="P44" s="6" t="n">
        <v>6102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^Grenade, ^FlakWeapon, ^Chaingun, ^HeavyMissile, ^MediumMissile</t>
        </is>
      </c>
    </row>
    <row r="45">
      <c r="B45" s="7" t="inlineStr">
        <is>
          <t xml:space="preserve">  ↳ ChronoTusk</t>
        </is>
      </c>
      <c r="C45" s="7" t="inlineStr">
        <is>
          <t>Armament@SECONDARY</t>
        </is>
      </c>
      <c r="L45" s="6" t="n">
        <v>20000</v>
      </c>
      <c r="M45" s="6" t="n">
        <v>54</v>
      </c>
      <c r="N45" s="6" t="n">
        <v>4</v>
      </c>
      <c r="O45" s="6" t="n">
        <v>3</v>
      </c>
      <c r="P45" s="6" t="n">
        <v>6102</v>
      </c>
      <c r="Q45" s="6" t="n">
        <v>1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^Grenade, ^FlakWeapon, ^Chaingun, ^HeavyMissile, ^MediumMissile</t>
        </is>
      </c>
    </row>
    <row r="46">
      <c r="B46" s="7" t="inlineStr">
        <is>
          <t xml:space="preserve">  ↳ ChronoTuskCryo</t>
        </is>
      </c>
      <c r="C46" s="7" t="inlineStr">
        <is>
          <t>Armament@Upgrade</t>
        </is>
      </c>
      <c r="L46" s="6" t="n">
        <v>20000</v>
      </c>
      <c r="M46" s="6" t="n">
        <v>54</v>
      </c>
      <c r="N46" s="6" t="n">
        <v>4</v>
      </c>
      <c r="O46" s="6" t="n">
        <v>3</v>
      </c>
      <c r="P46" s="6" t="n">
        <v>6102</v>
      </c>
      <c r="Q46" s="6" t="n">
        <v>1</v>
      </c>
      <c r="R46">
        <f>M46+IF(N46&gt;1,N(O46)*(N46-1),0)</f>
        <v/>
      </c>
      <c r="S46">
        <f>IFERROR(L46*MAX(N46,1)/R46*IF(ISBLANK(K43),1,K43),0)</f>
        <v/>
      </c>
      <c r="AB46" s="7" t="inlineStr">
        <is>
          <t>ChronoTusk, ^CryoMissileProjectile</t>
        </is>
      </c>
    </row>
    <row r="47">
      <c r="B47" s="7" t="inlineStr">
        <is>
          <t xml:space="preserve">  ↳ ChronoTuskCryo</t>
        </is>
      </c>
      <c r="C47" s="7" t="inlineStr">
        <is>
          <t>Armament@UpgradeSECONDARY</t>
        </is>
      </c>
      <c r="L47" s="6" t="n">
        <v>20000</v>
      </c>
      <c r="M47" s="6" t="n">
        <v>54</v>
      </c>
      <c r="N47" s="6" t="n">
        <v>4</v>
      </c>
      <c r="O47" s="6" t="n">
        <v>3</v>
      </c>
      <c r="P47" s="6" t="n">
        <v>6102</v>
      </c>
      <c r="Q47" s="6" t="n">
        <v>1</v>
      </c>
      <c r="R47">
        <f>M47+IF(N47&gt;1,N(O47)*(N47-1),0)</f>
        <v/>
      </c>
      <c r="S47">
        <f>IFERROR(L47*MAX(N47,1)/R47*IF(ISBLANK(K43),1,K43),0)</f>
        <v/>
      </c>
      <c r="AB47" s="7" t="inlineStr">
        <is>
          <t>ChronoTusk, ^CryoMissileProjectile</t>
        </is>
      </c>
    </row>
    <row r="48">
      <c r="A48" t="inlineStr">
        <is>
          <t>redalert</t>
        </is>
      </c>
      <c r="B48" t="inlineStr">
        <is>
          <t>ra1_allies_minelayer</t>
        </is>
      </c>
      <c r="C48" t="inlineStr">
        <is>
          <t>Minelayer</t>
        </is>
      </c>
      <c r="D48" s="6" t="inlineStr">
        <is>
          <t>Vehicle</t>
        </is>
      </c>
      <c r="E48" s="6" t="n">
        <v>30000</v>
      </c>
      <c r="F48" s="6" t="n">
        <v>128</v>
      </c>
      <c r="G48" t="inlineStr">
        <is>
          <t>Heavy</t>
        </is>
      </c>
      <c r="H48" s="6" t="n">
        <v>0.8048999999999999</v>
      </c>
      <c r="I48" s="6" t="n">
        <v>1</v>
      </c>
      <c r="J48" s="6" t="n">
        <v>1</v>
      </c>
      <c r="K48" s="6" t="n"/>
      <c r="X48" s="6" t="n">
        <v>800</v>
      </c>
    </row>
    <row r="49">
      <c r="A49" t="inlineStr">
        <is>
          <t>redalert</t>
        </is>
      </c>
      <c r="B49" t="inlineStr">
        <is>
          <t>ra1_allies_mobilegapgenerator</t>
        </is>
      </c>
      <c r="C49" t="inlineStr">
        <is>
          <t>Mobile Gap Generator</t>
        </is>
      </c>
      <c r="D49" s="6" t="inlineStr">
        <is>
          <t>Vehicle</t>
        </is>
      </c>
      <c r="E49" s="6" t="n">
        <v>25000</v>
      </c>
      <c r="F49" s="6" t="n">
        <v>75</v>
      </c>
      <c r="G49" t="inlineStr">
        <is>
          <t>Light</t>
        </is>
      </c>
      <c r="H49" s="6" t="n">
        <v>0.4925</v>
      </c>
      <c r="I49" s="6" t="n">
        <v>1</v>
      </c>
      <c r="J49" s="6" t="n">
        <v>1</v>
      </c>
      <c r="K49" s="6" t="n"/>
      <c r="X49" s="6" t="n">
        <v>5000</v>
      </c>
    </row>
    <row r="50">
      <c r="B50" s="7" t="inlineStr">
        <is>
          <t xml:space="preserve">  ↳ dummytargeting</t>
        </is>
      </c>
      <c r="C50" s="7" t="inlineStr">
        <is>
          <t>Armament</t>
        </is>
      </c>
      <c r="L50" s="6" t="n"/>
      <c r="M50" s="6" t="n"/>
      <c r="N50" s="6" t="n">
        <v>1</v>
      </c>
      <c r="O50" s="6" t="n"/>
      <c r="P50" s="6" t="n">
        <v>10000</v>
      </c>
      <c r="Q50" s="6" t="n">
        <v>1</v>
      </c>
      <c r="R50">
        <f>M50+IF(N50&gt;1,N(O50)*(N50-1),0)</f>
        <v/>
      </c>
      <c r="S50">
        <f>IFERROR(L50*MAX(N50,1)/R50*IF(ISBLANK(K49),1,K49),0)</f>
        <v/>
      </c>
      <c r="AB50" s="7" t="inlineStr"/>
    </row>
    <row r="51">
      <c r="A51" t="inlineStr">
        <is>
          <t>redalert</t>
        </is>
      </c>
      <c r="B51" t="inlineStr">
        <is>
          <t>ra1_allies_mobileradarjammer</t>
        </is>
      </c>
      <c r="C51" t="inlineStr">
        <is>
          <t>Mobile Radar Jammer</t>
        </is>
      </c>
      <c r="D51" s="6" t="inlineStr">
        <is>
          <t>Vehicle</t>
        </is>
      </c>
      <c r="E51" s="6" t="n">
        <v>25000</v>
      </c>
      <c r="F51" s="6" t="n">
        <v>100</v>
      </c>
      <c r="G51" t="inlineStr">
        <is>
          <t>Light</t>
        </is>
      </c>
      <c r="H51" s="6" t="n">
        <v>0.4925</v>
      </c>
      <c r="I51" s="6" t="n">
        <v>1</v>
      </c>
      <c r="J51" s="6" t="n">
        <v>1</v>
      </c>
      <c r="K51" s="6" t="n"/>
      <c r="X51" s="6" t="n">
        <v>5000</v>
      </c>
    </row>
    <row r="52">
      <c r="B52" s="7" t="inlineStr">
        <is>
          <t xml:space="preserve">  ↳ RadarJammer</t>
        </is>
      </c>
      <c r="C52" s="7" t="inlineStr">
        <is>
          <t>Armament</t>
        </is>
      </c>
      <c r="L52" s="6" t="n"/>
      <c r="M52" s="6" t="n">
        <v>150</v>
      </c>
      <c r="N52" s="6" t="n">
        <v>1</v>
      </c>
      <c r="O52" s="6" t="n"/>
      <c r="P52" s="6" t="n">
        <v>10000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/>
    </row>
    <row r="53">
      <c r="A53" t="inlineStr">
        <is>
          <t>redalert</t>
        </is>
      </c>
      <c r="B53" t="inlineStr">
        <is>
          <t>ra1_allies_phasetransport</t>
        </is>
      </c>
      <c r="C53" t="inlineStr">
        <is>
          <t>Phase Transport</t>
        </is>
      </c>
      <c r="D53" s="6" t="inlineStr">
        <is>
          <t>SupportVehicle</t>
        </is>
      </c>
      <c r="E53" s="6" t="n">
        <v>30000</v>
      </c>
      <c r="F53" s="6" t="n">
        <v>125</v>
      </c>
      <c r="G53" t="inlineStr">
        <is>
          <t>Light</t>
        </is>
      </c>
      <c r="H53" s="6" t="n">
        <v>0.75</v>
      </c>
      <c r="I53" s="6" t="n">
        <v>1.25</v>
      </c>
      <c r="J53" s="6" t="n">
        <v>1.25</v>
      </c>
      <c r="K53" s="6" t="n"/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1800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APTusk</t>
        </is>
      </c>
      <c r="C54" s="7" t="inlineStr">
        <is>
          <t>Armament</t>
        </is>
      </c>
      <c r="L54" s="6" t="n">
        <v>16000</v>
      </c>
      <c r="M54" s="6" t="n">
        <v>51</v>
      </c>
      <c r="N54" s="6" t="n">
        <v>4</v>
      </c>
      <c r="O54" s="6" t="n">
        <v>3</v>
      </c>
      <c r="P54" s="6" t="n">
        <v>5038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^TankDestroyerCannon, ^Grenade, ^FlakWeapon, ^MediumMissile</t>
        </is>
      </c>
    </row>
    <row r="55">
      <c r="B55" s="7" t="inlineStr">
        <is>
          <t xml:space="preserve">  ↳ APTuskCryo</t>
        </is>
      </c>
      <c r="C55" s="7" t="inlineStr">
        <is>
          <t>Armament@Upgrade</t>
        </is>
      </c>
      <c r="L55" s="6" t="n">
        <v>16000</v>
      </c>
      <c r="M55" s="6" t="n">
        <v>51</v>
      </c>
      <c r="N55" s="6" t="n">
        <v>4</v>
      </c>
      <c r="O55" s="6" t="n">
        <v>3</v>
      </c>
      <c r="P55" s="6" t="n">
        <v>5038</v>
      </c>
      <c r="Q55" s="6" t="n">
        <v>1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APTusk, ^CryoMissileProjectile</t>
        </is>
      </c>
    </row>
    <row r="56">
      <c r="A56" t="inlineStr">
        <is>
          <t>redalert</t>
        </is>
      </c>
      <c r="B56" t="inlineStr">
        <is>
          <t>ra1_allies_ranger</t>
        </is>
      </c>
      <c r="C56" t="inlineStr">
        <is>
          <t>Ranger</t>
        </is>
      </c>
      <c r="D56" s="6" t="inlineStr">
        <is>
          <t>ScoutVehicle</t>
        </is>
      </c>
      <c r="E56" s="6" t="n">
        <v>22500</v>
      </c>
      <c r="F56" s="6" t="n">
        <v>175</v>
      </c>
      <c r="G56" t="inlineStr">
        <is>
          <t>Scout</t>
        </is>
      </c>
      <c r="H56" s="6" t="n">
        <v>0.8919</v>
      </c>
      <c r="I56" s="6" t="n">
        <v>1</v>
      </c>
      <c r="J56" s="6" t="n">
        <v>1</v>
      </c>
      <c r="K56" s="6" t="n"/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(((E56/30000)+(F56/200)+(S56/450)+((P56/4500)*J56))*300/4+(((E56/30000)*(F56/200))+(((P56/4500)*J56)*(S56/450)))*300/2+((E56/30000)*(F56/200)*((P56/4500)*J56)*(S56/450))*300)*(H56/1.0)/3</f>
        <v/>
      </c>
      <c r="X56" s="6" t="n">
        <v>300</v>
      </c>
      <c r="Y56">
        <f>IFERROR(W56-X56,"")</f>
        <v/>
      </c>
      <c r="Z56">
        <f>IFERROR(ABS(Y56)/MAX(X56,1),"")</f>
        <v/>
      </c>
      <c r="AA56">
        <f>IFERROR(ROUND(((3*X56-(((E56/30000)+(F56/200)+(S56/450))*300/4+((E56/30000)*(F56/200))*300/2)*(H56/1.0))/(300/4+((S56/450))*300/2+((E56/30000)*(F56/200)*(S56/450))*300)*(H56/1.0)*4500)/J56,-1),"")</f>
        <v/>
      </c>
    </row>
    <row r="57">
      <c r="B57" s="7" t="inlineStr">
        <is>
          <t xml:space="preserve">  ↳ M60mg</t>
        </is>
      </c>
      <c r="C57" s="7" t="inlineStr">
        <is>
          <t>Armament</t>
        </is>
      </c>
      <c r="L57" s="6" t="n">
        <v>4000</v>
      </c>
      <c r="M57" s="6" t="n">
        <v>10</v>
      </c>
      <c r="N57" s="6" t="n">
        <v>4</v>
      </c>
      <c r="O57" s="6" t="n">
        <v>5</v>
      </c>
      <c r="P57" s="6" t="n">
        <v>4359</v>
      </c>
      <c r="Q57" s="6" t="n">
        <v>0.75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^Warhead_Bullet_Light</t>
        </is>
      </c>
    </row>
    <row r="58">
      <c r="A58" t="inlineStr">
        <is>
          <t>redalert</t>
        </is>
      </c>
      <c r="B58" t="inlineStr">
        <is>
          <t>ra1_allies_reconranger</t>
        </is>
      </c>
      <c r="C58" t="inlineStr">
        <is>
          <t>Recon Ranger</t>
        </is>
      </c>
      <c r="D58" s="6" t="inlineStr">
        <is>
          <t>SupportVehicle</t>
        </is>
      </c>
      <c r="E58" s="6" t="n">
        <v>25000</v>
      </c>
      <c r="F58" s="6" t="n">
        <v>160</v>
      </c>
      <c r="G58" t="inlineStr">
        <is>
          <t>Light</t>
        </is>
      </c>
      <c r="H58" s="6" t="n">
        <v>1</v>
      </c>
      <c r="I58" s="6" t="n">
        <v>0.5</v>
      </c>
      <c r="J58" s="6" t="n">
        <v>1</v>
      </c>
      <c r="K58" s="6" t="n"/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(T58+U58+V58)/3</f>
        <v/>
      </c>
      <c r="X58" s="6" t="n">
        <v>500</v>
      </c>
      <c r="Y58">
        <f>IFERROR(W58-X58,"")</f>
        <v/>
      </c>
      <c r="Z58">
        <f>IFERROR(ABS(Y58)/MAX(X58,1),"")</f>
        <v/>
      </c>
      <c r="AA58">
        <f>IFERROR((X58-(((E58/100000+F58/100+S58/200)*200*I58*H58)+((E58*F58/25000)*I58*H58))/3)/(((J58/5)*200*I58*H58)+((J58*S58/2.5)*I58*H58)+((E58*F58*J58*S58*I58*H58)/12500000))/3*1000,"")</f>
        <v/>
      </c>
    </row>
    <row r="59">
      <c r="B59" s="7" t="inlineStr">
        <is>
          <t xml:space="preserve">  ↳ ReconRangerRecoillessGun</t>
        </is>
      </c>
      <c r="C59" s="7" t="inlineStr">
        <is>
          <t>Armament</t>
        </is>
      </c>
      <c r="L59" s="6" t="n">
        <v>32000</v>
      </c>
      <c r="M59" s="6" t="n">
        <v>64</v>
      </c>
      <c r="N59" s="6" t="n">
        <v>1</v>
      </c>
      <c r="O59" s="6" t="n"/>
      <c r="P59" s="6" t="n">
        <v>4925</v>
      </c>
      <c r="Q59" s="6" t="n">
        <v>1.25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^Warhead_MissileAP_Heavy</t>
        </is>
      </c>
    </row>
    <row r="60">
      <c r="B60" s="7" t="inlineStr">
        <is>
          <t xml:space="preserve">  ↳ CryoReconRangerRecoillessGun</t>
        </is>
      </c>
      <c r="C60" s="7" t="inlineStr">
        <is>
          <t>Armament@Upgrade</t>
        </is>
      </c>
      <c r="L60" s="6" t="n">
        <v>32000</v>
      </c>
      <c r="M60" s="6" t="n">
        <v>64</v>
      </c>
      <c r="N60" s="6" t="n">
        <v>1</v>
      </c>
      <c r="O60" s="6" t="n"/>
      <c r="P60" s="6" t="n">
        <v>4925</v>
      </c>
      <c r="Q60" s="6" t="n">
        <v>1.25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^Warhead_MissileAP_Heavy</t>
        </is>
      </c>
    </row>
    <row r="61">
      <c r="A61" t="inlineStr">
        <is>
          <t>redalert</t>
        </is>
      </c>
      <c r="B61" t="inlineStr">
        <is>
          <t>ra1_allies_sheridanassaulttank</t>
        </is>
      </c>
      <c r="C61" t="inlineStr">
        <is>
          <t>Sheridan Assault Tank</t>
        </is>
      </c>
      <c r="D61" s="6" t="inlineStr">
        <is>
          <t>LightTank</t>
        </is>
      </c>
      <c r="E61" s="6" t="n">
        <v>85000</v>
      </c>
      <c r="F61" s="6" t="n">
        <v>85</v>
      </c>
      <c r="G61" t="inlineStr">
        <is>
          <t>Medium</t>
        </is>
      </c>
      <c r="H61" s="6" t="n">
        <v>0.8919</v>
      </c>
      <c r="I61" s="6" t="n">
        <v>1</v>
      </c>
      <c r="J61" s="6" t="n">
        <v>1</v>
      </c>
      <c r="K61" s="6" t="n">
        <v>0.0025</v>
      </c>
      <c r="P61">
        <f>MAX(P62,P63,P64,P65)</f>
        <v/>
      </c>
      <c r="S61">
        <f>S62+S63+S64+S65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(((E61/100000)+(F61/125)+(S61/200)+((P61/5000)*J61))*400/4+(((E61/100000)*(F61/125))+(((P61/5000)*J61)*(S61/200)))*400/2+((E61/100000)*(F61/125)*((P61/5000)*J61)*(S61/200))*400)*(H61/1.0)/3</f>
        <v/>
      </c>
      <c r="X61" s="6" t="n">
        <v>600</v>
      </c>
      <c r="Y61">
        <f>IFERROR(W61-X61,"")</f>
        <v/>
      </c>
      <c r="Z61">
        <f>IFERROR(ABS(Y61)/MAX(X61,1),"")</f>
        <v/>
      </c>
      <c r="AA61">
        <f>IFERROR(ROUND(((3*X61-(((E61/100000)+(F61/125)+(S61/200))*400/4+((E61/100000)*(F61/125))*400/2)*(H61/1.0))/(400/4+((S61/200))*400/2+((E61/100000)*(F61/125)*(S61/200))*400)*(H61/1.0)*5000)/J61,-1),"")</f>
        <v/>
      </c>
    </row>
    <row r="62">
      <c r="B62" s="7" t="inlineStr">
        <is>
          <t xml:space="preserve">  ↳ SheridanCannon</t>
        </is>
      </c>
      <c r="C62" s="7" t="inlineStr">
        <is>
          <t>Armament</t>
        </is>
      </c>
      <c r="L62" s="6" t="n">
        <v>16000</v>
      </c>
      <c r="M62" s="6" t="n">
        <v>64</v>
      </c>
      <c r="N62" s="6" t="n">
        <v>1</v>
      </c>
      <c r="O62" s="6" t="n"/>
      <c r="P62" s="6" t="n">
        <v>5023</v>
      </c>
      <c r="Q62" s="6" t="n">
        <v>0.875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^Warhead_CannonAP_Light, ^Warhead_CannonHE_Medium</t>
        </is>
      </c>
    </row>
    <row r="63">
      <c r="B63" s="7" t="inlineStr">
        <is>
          <t xml:space="preserve">  ↳ SheridanMissiles</t>
        </is>
      </c>
      <c r="C63" s="7" t="inlineStr">
        <is>
          <t>Armament@Missile</t>
        </is>
      </c>
      <c r="L63" s="6" t="n">
        <v>16000</v>
      </c>
      <c r="M63" s="6" t="n">
        <v>64</v>
      </c>
      <c r="N63" s="6" t="n">
        <v>1</v>
      </c>
      <c r="O63" s="6" t="n"/>
      <c r="P63" s="6" t="n">
        <v>5023</v>
      </c>
      <c r="Q63" s="6" t="n">
        <v>0.875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^Warhead_MissileHE_Medium, ^Warhead_MissileHE_Light</t>
        </is>
      </c>
    </row>
    <row r="64">
      <c r="B64" s="7" t="inlineStr">
        <is>
          <t xml:space="preserve">  ↳ SheridanMissilesCryo</t>
        </is>
      </c>
      <c r="C64" s="7" t="inlineStr">
        <is>
          <t>Armament@Upgrade</t>
        </is>
      </c>
      <c r="L64" s="6" t="n">
        <v>16000</v>
      </c>
      <c r="M64" s="6" t="n">
        <v>64</v>
      </c>
      <c r="N64" s="6" t="n">
        <v>1</v>
      </c>
      <c r="O64" s="6" t="n"/>
      <c r="P64" s="6" t="n">
        <v>5023</v>
      </c>
      <c r="Q64" s="6" t="n">
        <v>0.875</v>
      </c>
      <c r="R64">
        <f>M64+IF(N64&gt;1,N(O64)*(N64-1),0)</f>
        <v/>
      </c>
      <c r="S64">
        <f>IFERROR(L64*MAX(N64,1)/R64*IF(ISBLANK(K61),1,K61),0)</f>
        <v/>
      </c>
      <c r="AB64" s="7" t="inlineStr">
        <is>
          <t>^Warhead_MissileHE_Medium, ^Warhead_MissileHE_Light</t>
        </is>
      </c>
    </row>
    <row r="65">
      <c r="B65" s="7" t="inlineStr">
        <is>
          <t xml:space="preserve">  ↳ SheridanVulcan</t>
        </is>
      </c>
      <c r="C65" s="7" t="inlineStr">
        <is>
          <t>Armament@MG</t>
        </is>
      </c>
      <c r="L65" s="6" t="n">
        <v>4000</v>
      </c>
      <c r="M65" s="6" t="n">
        <v>58</v>
      </c>
      <c r="N65" s="6" t="n">
        <v>4</v>
      </c>
      <c r="O65" s="6" t="n">
        <v>2</v>
      </c>
      <c r="P65" s="6" t="n">
        <v>5023</v>
      </c>
      <c r="Q65" s="6" t="n">
        <v>0.875</v>
      </c>
      <c r="R65">
        <f>M65+IF(N65&gt;1,N(O65)*(N65-1),0)</f>
        <v/>
      </c>
      <c r="S65">
        <f>IFERROR(L65*MAX(N65,1)/R65*IF(ISBLANK(K61),1,K61),0)</f>
        <v/>
      </c>
      <c r="AB65" s="7" t="inlineStr">
        <is>
          <t>^Warhead_Bullet_Light, ^Warhead_Bullet_Medium</t>
        </is>
      </c>
    </row>
    <row r="66">
      <c r="A66" s="4" t="inlineStr">
        <is>
          <t>AIRCRAFT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t="inlineStr">
        <is>
          <t>redalert</t>
        </is>
      </c>
      <c r="B67" t="inlineStr">
        <is>
          <t>ra1_allies_alliedchinooktransport</t>
        </is>
      </c>
      <c r="C67" t="inlineStr">
        <is>
          <t>Allied Chinook Transport</t>
        </is>
      </c>
      <c r="D67" s="6" t="inlineStr">
        <is>
          <t>UnarmedTransportHelicopter</t>
        </is>
      </c>
      <c r="E67" s="6" t="n">
        <v>125000</v>
      </c>
      <c r="F67" s="6" t="n">
        <v>125</v>
      </c>
      <c r="G67" t="inlineStr">
        <is>
          <t>Helicopter</t>
        </is>
      </c>
      <c r="H67" s="6" t="n">
        <v>0.7333</v>
      </c>
      <c r="I67" s="6" t="n">
        <v>1</v>
      </c>
      <c r="J67" s="6" t="n">
        <v>1</v>
      </c>
      <c r="K67" s="6" t="n"/>
      <c r="X67" s="6" t="n">
        <v>3600</v>
      </c>
    </row>
    <row r="68">
      <c r="A68" t="inlineStr">
        <is>
          <t>redalert</t>
        </is>
      </c>
      <c r="B68" t="inlineStr">
        <is>
          <t>ra1_allies_blackhawk</t>
        </is>
      </c>
      <c r="C68" t="inlineStr">
        <is>
          <t>Black Hawk</t>
        </is>
      </c>
      <c r="D68" s="6" t="inlineStr">
        <is>
          <t>Helicopter</t>
        </is>
      </c>
      <c r="E68" s="6" t="n">
        <v>50000</v>
      </c>
      <c r="F68" s="6" t="n">
        <v>130</v>
      </c>
      <c r="G68" t="inlineStr">
        <is>
          <t>Helicopter</t>
        </is>
      </c>
      <c r="H68" s="6" t="n">
        <v>1</v>
      </c>
      <c r="I68" s="6" t="n">
        <v>1</v>
      </c>
      <c r="J68" s="6" t="n">
        <v>1</v>
      </c>
      <c r="K68" s="6" t="n">
        <v>0.0025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1000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ChainGunMH60</t>
        </is>
      </c>
      <c r="C69" s="7" t="inlineStr">
        <is>
          <t>Armament@PRIMARY</t>
        </is>
      </c>
      <c r="L69" s="6" t="n">
        <v>8000</v>
      </c>
      <c r="M69" s="6" t="n">
        <v>6</v>
      </c>
      <c r="N69" s="6" t="n">
        <v>1</v>
      </c>
      <c r="O69" s="6" t="n"/>
      <c r="P69" s="6" t="n">
        <v>3375</v>
      </c>
      <c r="Q69" s="6" t="n">
        <v>1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^SmallArms, ^Grenade, ^FlakWeapon, ^Chaingun</t>
        </is>
      </c>
    </row>
    <row r="70">
      <c r="B70" s="7" t="inlineStr">
        <is>
          <t xml:space="preserve">  ↳ ChainGunMH60</t>
        </is>
      </c>
      <c r="C70" s="7" t="inlineStr">
        <is>
          <t>Armament@SECONDARY</t>
        </is>
      </c>
      <c r="L70" s="6" t="n">
        <v>8000</v>
      </c>
      <c r="M70" s="6" t="n">
        <v>6</v>
      </c>
      <c r="N70" s="6" t="n">
        <v>1</v>
      </c>
      <c r="O70" s="6" t="n"/>
      <c r="P70" s="6" t="n">
        <v>3375</v>
      </c>
      <c r="Q70" s="6" t="n">
        <v>1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^SmallArms, ^Grenade, ^FlakWeapon, ^Chaingun</t>
        </is>
      </c>
    </row>
    <row r="71">
      <c r="A71" t="inlineStr">
        <is>
          <t>redalert</t>
        </is>
      </c>
      <c r="B71" t="inlineStr">
        <is>
          <t>ra1_allies_longbow</t>
        </is>
      </c>
      <c r="C71" t="inlineStr">
        <is>
          <t>Longbow</t>
        </is>
      </c>
      <c r="D71" s="6" t="inlineStr">
        <is>
          <t>Helicopter</t>
        </is>
      </c>
      <c r="E71" s="6" t="n">
        <v>35000</v>
      </c>
      <c r="F71" s="6" t="n">
        <v>150</v>
      </c>
      <c r="G71" t="inlineStr">
        <is>
          <t>Helicopter</t>
        </is>
      </c>
      <c r="H71" s="6" t="n">
        <v>0.75</v>
      </c>
      <c r="I71" s="6" t="n">
        <v>1</v>
      </c>
      <c r="J71" s="6" t="n">
        <v>1</v>
      </c>
      <c r="K71" s="6" t="n"/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2000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Hellfire</t>
        </is>
      </c>
      <c r="C72" s="7" t="inlineStr">
        <is>
          <t>Armament</t>
        </is>
      </c>
      <c r="L72" s="6" t="n">
        <v>16000</v>
      </c>
      <c r="M72" s="6" t="n">
        <v>16</v>
      </c>
      <c r="N72" s="6" t="n">
        <v>1</v>
      </c>
      <c r="O72" s="6" t="n"/>
      <c r="P72" s="6" t="n">
        <v>6540</v>
      </c>
      <c r="Q72" s="6" t="n">
        <v>1.125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^Warhead_Concussion_Medium, ^Warhead_MissileHE_Heavy</t>
        </is>
      </c>
    </row>
    <row r="73">
      <c r="B73" s="7" t="inlineStr">
        <is>
          <t xml:space="preserve">  ↳ HellfireCryo</t>
        </is>
      </c>
      <c r="C73" s="7" t="inlineStr">
        <is>
          <t>Armament@Upgrade</t>
        </is>
      </c>
      <c r="L73" s="6" t="n">
        <v>16000</v>
      </c>
      <c r="M73" s="6" t="n">
        <v>16</v>
      </c>
      <c r="N73" s="6" t="n">
        <v>1</v>
      </c>
      <c r="O73" s="6" t="n"/>
      <c r="P73" s="6" t="n">
        <v>6540</v>
      </c>
      <c r="Q73" s="6" t="n">
        <v>1.125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^Warhead_Concussion_Medium, ^Warhead_MissileHE_Heavy</t>
        </is>
      </c>
    </row>
    <row r="74">
      <c r="A74" t="inlineStr">
        <is>
          <t>redalert</t>
        </is>
      </c>
      <c r="B74" t="inlineStr">
        <is>
          <t>ra1_allies_rapierjumpjet</t>
        </is>
      </c>
      <c r="C74" t="inlineStr">
        <is>
          <t>Rapier Jumpjet</t>
        </is>
      </c>
      <c r="D74" s="6" t="inlineStr">
        <is>
          <t>Bomber</t>
        </is>
      </c>
      <c r="E74" s="6" t="n">
        <v>77500</v>
      </c>
      <c r="F74" s="6" t="n">
        <v>210</v>
      </c>
      <c r="G74" t="inlineStr">
        <is>
          <t>Bomber</t>
        </is>
      </c>
      <c r="H74" s="6" t="n">
        <v>0.75</v>
      </c>
      <c r="I74" s="6" t="n">
        <v>1</v>
      </c>
      <c r="J74" s="6" t="n">
        <v>1</v>
      </c>
      <c r="K74" s="6" t="n">
        <v>0.005</v>
      </c>
      <c r="P74">
        <f>MAX(P75,P76,P77,P78)</f>
        <v/>
      </c>
      <c r="S74">
        <f>S75+S76+S77+S78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1300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RapierBombs</t>
        </is>
      </c>
      <c r="C75" s="7" t="inlineStr">
        <is>
          <t>Armament@PRIMARY</t>
        </is>
      </c>
      <c r="L75" s="6" t="n">
        <v>10000</v>
      </c>
      <c r="M75" s="6" t="n">
        <v>60</v>
      </c>
      <c r="N75" s="6" t="n">
        <v>4</v>
      </c>
      <c r="O75" s="6" t="n">
        <v>2</v>
      </c>
      <c r="P75" s="6" t="n">
        <v>2000</v>
      </c>
      <c r="Q75" s="6" t="n">
        <v>1.25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^Warhead_Demolition_Heavy</t>
        </is>
      </c>
    </row>
    <row r="76">
      <c r="B76" s="7" t="inlineStr">
        <is>
          <t xml:space="preserve">  ↳ RapierBombsCryo</t>
        </is>
      </c>
      <c r="C76" s="7" t="inlineStr">
        <is>
          <t>Armament@Upgrade</t>
        </is>
      </c>
      <c r="L76" s="6" t="n">
        <v>10000</v>
      </c>
      <c r="M76" s="6" t="n">
        <v>60</v>
      </c>
      <c r="N76" s="6" t="n">
        <v>4</v>
      </c>
      <c r="O76" s="6" t="n">
        <v>2</v>
      </c>
      <c r="P76" s="6" t="n">
        <v>2000</v>
      </c>
      <c r="Q76" s="6" t="n">
        <v>1.25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^Warhead_Demolition_Heavy</t>
        </is>
      </c>
    </row>
    <row r="77">
      <c r="B77" s="7" t="inlineStr">
        <is>
          <t xml:space="preserve">  ↳ Aphid_AA</t>
        </is>
      </c>
      <c r="C77" s="7" t="inlineStr">
        <is>
          <t>Armament@SECONDARY</t>
        </is>
      </c>
      <c r="L77" s="6" t="n">
        <v>16000</v>
      </c>
      <c r="M77" s="6" t="n">
        <v>62</v>
      </c>
      <c r="N77" s="6" t="n">
        <v>2</v>
      </c>
      <c r="O77" s="6" t="n">
        <v>4</v>
      </c>
      <c r="P77" s="6" t="n">
        <v>7000</v>
      </c>
      <c r="Q77" s="6" t="n">
        <v>1.125</v>
      </c>
      <c r="R77">
        <f>M77+IF(N77&gt;1,N(O77)*(N77-1),0)</f>
        <v/>
      </c>
      <c r="S77">
        <f>IFERROR(L77*MAX(N77,1)/R77*IF(ISBLANK(K74),1,K74),0)</f>
        <v/>
      </c>
      <c r="AB77" s="7" t="inlineStr">
        <is>
          <t>^Warhead_Concussion_Medium, ^Warhead_MissileHE_Heavy</t>
        </is>
      </c>
    </row>
    <row r="78">
      <c r="B78" s="7" t="inlineStr">
        <is>
          <t xml:space="preserve">  ↳ AphidCryo_AA</t>
        </is>
      </c>
      <c r="C78" s="7" t="inlineStr">
        <is>
          <t>Armament@SECONDARYUpgrade</t>
        </is>
      </c>
      <c r="L78" s="6" t="n">
        <v>16000</v>
      </c>
      <c r="M78" s="6" t="n">
        <v>62</v>
      </c>
      <c r="N78" s="6" t="n">
        <v>2</v>
      </c>
      <c r="O78" s="6" t="n">
        <v>4</v>
      </c>
      <c r="P78" s="6" t="n">
        <v>7000</v>
      </c>
      <c r="Q78" s="6" t="n">
        <v>1.125</v>
      </c>
      <c r="R78">
        <f>M78+IF(N78&gt;1,N(O78)*(N78-1),0)</f>
        <v/>
      </c>
      <c r="S78">
        <f>IFERROR(L78*MAX(N78,1)/R78*IF(ISBLANK(K74),1,K74),0)</f>
        <v/>
      </c>
      <c r="AB78" s="7" t="inlineStr">
        <is>
          <t>^Warhead_Concussion_Medium, ^Warhead_MissileHE_Heavy</t>
        </is>
      </c>
    </row>
    <row r="79">
      <c r="A79" s="4" t="inlineStr">
        <is>
          <t>DEFENSES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t="inlineStr">
        <is>
          <t>redalert</t>
        </is>
      </c>
      <c r="B80" t="inlineStr">
        <is>
          <t>ra1_allies_alliedaagun</t>
        </is>
      </c>
      <c r="C80" t="inlineStr">
        <is>
          <t>Allied AA Gun</t>
        </is>
      </c>
      <c r="D80" s="6" t="inlineStr">
        <is>
          <t>AntiAirDefense</t>
        </is>
      </c>
      <c r="E80" s="6" t="n">
        <v>62500</v>
      </c>
      <c r="F80" s="6" t="n">
        <v>100</v>
      </c>
      <c r="G80" t="inlineStr">
        <is>
          <t>Concrete</t>
        </is>
      </c>
      <c r="H80" s="6" t="n">
        <v>0.8462</v>
      </c>
      <c r="I80" s="6" t="n">
        <v>1</v>
      </c>
      <c r="J80" s="6" t="n">
        <v>1</v>
      </c>
      <c r="K80" s="6" t="n"/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500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zsu_23</t>
        </is>
      </c>
      <c r="C81" s="7" t="inlineStr">
        <is>
          <t>Armament</t>
        </is>
      </c>
      <c r="L81" s="6" t="n">
        <v>4000</v>
      </c>
      <c r="M81" s="6" t="n">
        <v>14</v>
      </c>
      <c r="N81" s="6" t="n">
        <v>2</v>
      </c>
      <c r="O81" s="6" t="n">
        <v>2</v>
      </c>
      <c r="P81" s="6" t="n">
        <v>11412</v>
      </c>
      <c r="Q81" s="6" t="n">
        <v>1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^Warhead_Flak_Medium</t>
        </is>
      </c>
    </row>
    <row r="82">
      <c r="A82" t="inlineStr">
        <is>
          <t>redalert</t>
        </is>
      </c>
      <c r="B82" t="inlineStr">
        <is>
          <t>ra1_allies_alliedgunturret</t>
        </is>
      </c>
      <c r="C82" t="inlineStr">
        <is>
          <t>Allied Gun Turret</t>
        </is>
      </c>
      <c r="D82" s="6" t="inlineStr">
        <is>
          <t>BasicDefense</t>
        </is>
      </c>
      <c r="E82" s="6" t="n">
        <v>100000</v>
      </c>
      <c r="F82" s="6" t="n">
        <v>100</v>
      </c>
      <c r="G82" t="inlineStr">
        <is>
          <t>Concrete</t>
        </is>
      </c>
      <c r="H82" s="6" t="n">
        <v>1</v>
      </c>
      <c r="I82" s="6" t="n">
        <v>0.35</v>
      </c>
      <c r="J82" s="6" t="n">
        <v>1</v>
      </c>
      <c r="K82" s="6" t="n"/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800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RATurretGun</t>
        </is>
      </c>
      <c r="C83" s="7" t="inlineStr">
        <is>
          <t>Armament</t>
        </is>
      </c>
      <c r="L83" s="6" t="n">
        <v>20000</v>
      </c>
      <c r="M83" s="6" t="n">
        <v>40</v>
      </c>
      <c r="N83" s="6" t="n">
        <v>1</v>
      </c>
      <c r="O83" s="6" t="n"/>
      <c r="P83" s="6" t="n">
        <v>7685</v>
      </c>
      <c r="Q83" s="6" t="n">
        <v>1.125</v>
      </c>
      <c r="R83">
        <f>M83+IF(N83&gt;1,N(O83)*(N83-1),0)</f>
        <v/>
      </c>
      <c r="S83">
        <f>IFERROR(L83*MAX(N83,1)/R83*IF(ISBLANK(K82),1,K82),0)</f>
        <v/>
      </c>
      <c r="AB83" s="7" t="inlineStr">
        <is>
          <t>^Warhead_Concussion_Medium, ^Warhead_CannonHE_Heavy</t>
        </is>
      </c>
    </row>
    <row r="84">
      <c r="A84" t="inlineStr">
        <is>
          <t>redalert</t>
        </is>
      </c>
      <c r="B84" t="inlineStr">
        <is>
          <t>ra1_allies_bastionartillerybunker</t>
        </is>
      </c>
      <c r="C84" t="inlineStr">
        <is>
          <t>Bastion Artillery Bunker</t>
        </is>
      </c>
      <c r="D84" s="6" t="inlineStr">
        <is>
          <t>AdvancedDefense</t>
        </is>
      </c>
      <c r="E84" s="6" t="n">
        <v>350000</v>
      </c>
      <c r="F84" s="6" t="n">
        <v>100</v>
      </c>
      <c r="G84" t="inlineStr">
        <is>
          <t>Steel</t>
        </is>
      </c>
      <c r="H84" s="6" t="n">
        <v>1</v>
      </c>
      <c r="I84" s="6" t="n">
        <v>1</v>
      </c>
      <c r="J84" s="6" t="n">
        <v>1</v>
      </c>
      <c r="K84" s="6" t="n"/>
      <c r="P84">
        <f>MAX(P85,P86)</f>
        <v/>
      </c>
      <c r="S84">
        <f>S85+S86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2000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155mmBastion</t>
        </is>
      </c>
      <c r="C85" s="7" t="inlineStr">
        <is>
          <t>Armament</t>
        </is>
      </c>
      <c r="L85" s="6" t="n">
        <v>30000</v>
      </c>
      <c r="M85" s="6" t="n">
        <v>80</v>
      </c>
      <c r="N85" s="6" t="n">
        <v>1</v>
      </c>
      <c r="O85" s="6" t="n"/>
      <c r="P85" s="6" t="n">
        <v>10185</v>
      </c>
      <c r="Q85" s="6" t="n">
        <v>1</v>
      </c>
      <c r="R85">
        <f>M85+IF(N85&gt;1,N(O85)*(N85-1),0)</f>
        <v/>
      </c>
      <c r="S85">
        <f>IFERROR(L85*MAX(N85,1)/R85*IF(ISBLANK(K84),1,K84),0)</f>
        <v/>
      </c>
      <c r="AB85" s="7" t="inlineStr">
        <is>
          <t>155mm</t>
        </is>
      </c>
    </row>
    <row r="86">
      <c r="B86" s="7" t="inlineStr">
        <is>
          <t xml:space="preserve">  ↳ 155mmBastionCryo</t>
        </is>
      </c>
      <c r="C86" s="7" t="inlineStr">
        <is>
          <t>Armament@Upgrade</t>
        </is>
      </c>
      <c r="L86" s="6" t="n">
        <v>30000</v>
      </c>
      <c r="M86" s="6" t="n">
        <v>80</v>
      </c>
      <c r="N86" s="6" t="n">
        <v>1</v>
      </c>
      <c r="O86" s="6" t="n"/>
      <c r="P86" s="6" t="n">
        <v>10185</v>
      </c>
      <c r="Q86" s="6" t="n">
        <v>1</v>
      </c>
      <c r="R86">
        <f>M86+IF(N86&gt;1,N(O86)*(N86-1),0)</f>
        <v/>
      </c>
      <c r="S86">
        <f>IFERROR(L86*MAX(N86,1)/R86*IF(ISBLANK(K84),1,K84),0)</f>
        <v/>
      </c>
      <c r="AB86" s="7" t="inlineStr">
        <is>
          <t>155mmCryo</t>
        </is>
      </c>
    </row>
    <row r="87">
      <c r="A87" t="inlineStr">
        <is>
          <t>redalert</t>
        </is>
      </c>
      <c r="B87" t="inlineStr">
        <is>
          <t>ra1_allies_camopillbox</t>
        </is>
      </c>
      <c r="C87" t="inlineStr">
        <is>
          <t>Camo Pillbox</t>
        </is>
      </c>
      <c r="D87" s="6" t="inlineStr">
        <is>
          <t>BasicDefense</t>
        </is>
      </c>
      <c r="E87" s="6" t="n">
        <v>122500</v>
      </c>
      <c r="F87" s="6" t="n">
        <v>100</v>
      </c>
      <c r="G87" t="inlineStr">
        <is>
          <t>Concrete</t>
        </is>
      </c>
      <c r="H87" s="6" t="n">
        <v>1</v>
      </c>
      <c r="I87" s="6" t="n">
        <v>0.35</v>
      </c>
      <c r="J87" s="6" t="n">
        <v>1.25</v>
      </c>
      <c r="K87" s="6" t="n"/>
      <c r="X87" s="6" t="n">
        <v>1300</v>
      </c>
    </row>
    <row r="88">
      <c r="A88" t="inlineStr">
        <is>
          <t>redalert</t>
        </is>
      </c>
      <c r="B88" t="inlineStr">
        <is>
          <t>ra1_allies_chronosphere</t>
        </is>
      </c>
      <c r="C88" t="inlineStr">
        <is>
          <t>Chronosphere</t>
        </is>
      </c>
      <c r="D88" s="6" t="inlineStr">
        <is>
          <t>Defense</t>
        </is>
      </c>
      <c r="E88" s="6" t="n">
        <v>1000000</v>
      </c>
      <c r="F88" s="6" t="n">
        <v>100</v>
      </c>
      <c r="G88" t="inlineStr">
        <is>
          <t>Concrete</t>
        </is>
      </c>
      <c r="H88" s="6" t="n">
        <v>0.5593</v>
      </c>
      <c r="I88" s="6" t="n">
        <v>1</v>
      </c>
      <c r="J88" s="6" t="n">
        <v>1</v>
      </c>
      <c r="K88" s="6" t="n"/>
      <c r="X88" s="6" t="n">
        <v>10000</v>
      </c>
    </row>
    <row r="89">
      <c r="A89" t="inlineStr">
        <is>
          <t>redalert</t>
        </is>
      </c>
      <c r="B89" t="inlineStr">
        <is>
          <t>ra1_allies_gapgenerator</t>
        </is>
      </c>
      <c r="C89" t="inlineStr">
        <is>
          <t>Gap Generator</t>
        </is>
      </c>
      <c r="D89" s="6" t="inlineStr">
        <is>
          <t>AdvancedDefense</t>
        </is>
      </c>
      <c r="E89" s="6" t="n">
        <v>50000</v>
      </c>
      <c r="F89" s="6" t="n">
        <v>100</v>
      </c>
      <c r="G89" t="inlineStr">
        <is>
          <t>Steel</t>
        </is>
      </c>
      <c r="H89" s="6" t="n">
        <v>0.5593</v>
      </c>
      <c r="I89" s="6" t="n">
        <v>1</v>
      </c>
      <c r="J89" s="6" t="n">
        <v>1</v>
      </c>
      <c r="K89" s="6" t="n"/>
      <c r="X89" s="6" t="n">
        <v>5000</v>
      </c>
    </row>
    <row r="90">
      <c r="A90" t="inlineStr">
        <is>
          <t>redalert</t>
        </is>
      </c>
      <c r="B90" t="inlineStr">
        <is>
          <t>ra1_allies_pillbox</t>
        </is>
      </c>
      <c r="C90" t="inlineStr">
        <is>
          <t>Pillbox</t>
        </is>
      </c>
      <c r="D90" s="6" t="inlineStr">
        <is>
          <t>BasicDefense</t>
        </is>
      </c>
      <c r="E90" s="6" t="n">
        <v>90000</v>
      </c>
      <c r="F90" s="6" t="n">
        <v>100</v>
      </c>
      <c r="G90" t="inlineStr">
        <is>
          <t>Concrete</t>
        </is>
      </c>
      <c r="H90" s="6" t="n">
        <v>1</v>
      </c>
      <c r="I90" s="6" t="n">
        <v>1</v>
      </c>
      <c r="J90" s="6" t="n">
        <v>1</v>
      </c>
      <c r="K90" s="6" t="n"/>
      <c r="X90" s="6" t="n">
        <v>400</v>
      </c>
    </row>
    <row r="91">
      <c r="A91" s="4" t="inlineStr">
        <is>
          <t>BUILDINGS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t="inlineStr">
        <is>
          <t>redalert</t>
        </is>
      </c>
      <c r="B92" t="inlineStr">
        <is>
          <t>ra1_allies_alliedbarracks</t>
        </is>
      </c>
      <c r="C92" t="inlineStr">
        <is>
          <t>Allied Barracks</t>
        </is>
      </c>
      <c r="D92" s="6" t="inlineStr">
        <is>
          <t>Building</t>
        </is>
      </c>
      <c r="E92" s="6" t="n">
        <v>200000</v>
      </c>
      <c r="F92" s="6" t="n"/>
      <c r="G92" t="inlineStr">
        <is>
          <t>Wood</t>
        </is>
      </c>
      <c r="H92" s="6" t="n">
        <v>1</v>
      </c>
      <c r="I92" s="6" t="n">
        <v>1</v>
      </c>
      <c r="J92" s="6" t="n">
        <v>1</v>
      </c>
      <c r="K92" s="6" t="n"/>
      <c r="X92" s="6" t="n">
        <v>1000</v>
      </c>
    </row>
    <row r="93">
      <c r="A93" t="inlineStr">
        <is>
          <t>redalert</t>
        </is>
      </c>
      <c r="B93" t="inlineStr">
        <is>
          <t>ra1_allies_alliedconstructionyard</t>
        </is>
      </c>
      <c r="C93" t="inlineStr">
        <is>
          <t>Allied Construction Yard</t>
        </is>
      </c>
      <c r="D93" s="6" t="inlineStr">
        <is>
          <t>Building</t>
        </is>
      </c>
      <c r="E93" s="6" t="n">
        <v>1000000</v>
      </c>
      <c r="F93" s="6" t="n"/>
      <c r="G93" t="inlineStr">
        <is>
          <t>Concrete</t>
        </is>
      </c>
      <c r="H93" s="6" t="n">
        <v>1</v>
      </c>
      <c r="I93" s="6" t="n">
        <v>1</v>
      </c>
      <c r="J93" s="6" t="n">
        <v>1</v>
      </c>
      <c r="K93" s="6" t="n"/>
      <c r="X93" s="6" t="n">
        <v>5000</v>
      </c>
    </row>
    <row r="94">
      <c r="A94" t="inlineStr">
        <is>
          <t>redalert</t>
        </is>
      </c>
      <c r="B94" t="inlineStr">
        <is>
          <t>ra1_allies_alliedhelipad</t>
        </is>
      </c>
      <c r="C94" t="inlineStr">
        <is>
          <t>Allied Helipad</t>
        </is>
      </c>
      <c r="D94" s="6" t="inlineStr">
        <is>
          <t>Building</t>
        </is>
      </c>
      <c r="E94" s="6" t="n">
        <v>300000</v>
      </c>
      <c r="F94" s="6" t="n"/>
      <c r="G94" t="inlineStr">
        <is>
          <t>Wood</t>
        </is>
      </c>
      <c r="H94" s="6" t="n">
        <v>0.8462</v>
      </c>
      <c r="I94" s="6" t="n">
        <v>1</v>
      </c>
      <c r="J94" s="6" t="n">
        <v>1</v>
      </c>
      <c r="K94" s="6" t="n"/>
      <c r="X94" s="6" t="n">
        <v>1500</v>
      </c>
    </row>
    <row r="95">
      <c r="A95" t="inlineStr">
        <is>
          <t>redalert</t>
        </is>
      </c>
      <c r="B95" t="inlineStr">
        <is>
          <t>ra1_allies_alliedorerefinery</t>
        </is>
      </c>
      <c r="C95" t="inlineStr">
        <is>
          <t>Allied Ore Refinery</t>
        </is>
      </c>
      <c r="D95" s="6" t="inlineStr">
        <is>
          <t>Building</t>
        </is>
      </c>
      <c r="E95" s="6" t="n">
        <v>300000</v>
      </c>
      <c r="F95" s="6" t="n"/>
      <c r="G95" t="inlineStr">
        <is>
          <t>Concrete</t>
        </is>
      </c>
      <c r="H95" s="6" t="n">
        <v>1</v>
      </c>
      <c r="I95" s="6" t="n">
        <v>1</v>
      </c>
      <c r="J95" s="6" t="n">
        <v>1</v>
      </c>
      <c r="K95" s="6" t="n"/>
      <c r="X95" s="6" t="n">
        <v>3000</v>
      </c>
    </row>
    <row r="96">
      <c r="A96" t="inlineStr">
        <is>
          <t>redalert</t>
        </is>
      </c>
      <c r="B96" t="inlineStr">
        <is>
          <t>ra1_allies_alliedradardome</t>
        </is>
      </c>
      <c r="C96" t="inlineStr">
        <is>
          <t>Allied Radar Dome</t>
        </is>
      </c>
      <c r="D96" s="6" t="inlineStr">
        <is>
          <t>Building</t>
        </is>
      </c>
      <c r="E96" s="6" t="n">
        <v>250000</v>
      </c>
      <c r="F96" s="6" t="n"/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K96" s="6" t="n"/>
      <c r="X96" s="6" t="n">
        <v>2500</v>
      </c>
    </row>
    <row r="97">
      <c r="A97" t="inlineStr">
        <is>
          <t>redalert</t>
        </is>
      </c>
      <c r="B97" t="inlineStr">
        <is>
          <t>ra1_allies_alliedservicedepot</t>
        </is>
      </c>
      <c r="C97" t="inlineStr">
        <is>
          <t>Allied Service Depot</t>
        </is>
      </c>
      <c r="D97" s="6" t="inlineStr">
        <is>
          <t>Building</t>
        </is>
      </c>
      <c r="E97" s="6" t="n">
        <v>250000</v>
      </c>
      <c r="F97" s="6" t="n"/>
      <c r="G97" t="inlineStr">
        <is>
          <t>Concrete</t>
        </is>
      </c>
      <c r="H97" s="6" t="n">
        <v>0.8919</v>
      </c>
      <c r="I97" s="6" t="n">
        <v>1</v>
      </c>
      <c r="J97" s="6" t="n">
        <v>1</v>
      </c>
      <c r="K97" s="6" t="n"/>
      <c r="X97" s="6" t="n">
        <v>1000</v>
      </c>
    </row>
    <row r="98">
      <c r="A98" t="inlineStr">
        <is>
          <t>redalert</t>
        </is>
      </c>
      <c r="B98" t="inlineStr">
        <is>
          <t>ra1_allies_alliedtechcenter</t>
        </is>
      </c>
      <c r="C98" t="inlineStr">
        <is>
          <t>Allied Tech Center</t>
        </is>
      </c>
      <c r="D98" s="6" t="inlineStr">
        <is>
          <t>Building</t>
        </is>
      </c>
      <c r="E98" s="6" t="n">
        <v>500000</v>
      </c>
      <c r="F98" s="6" t="n"/>
      <c r="G98" t="inlineStr">
        <is>
          <t>Concrete</t>
        </is>
      </c>
      <c r="H98" s="6" t="n">
        <v>0.8462</v>
      </c>
      <c r="I98" s="6" t="n">
        <v>1</v>
      </c>
      <c r="J98" s="6" t="n">
        <v>1</v>
      </c>
      <c r="K98" s="6" t="n"/>
      <c r="X98" s="6" t="n">
        <v>5000</v>
      </c>
    </row>
    <row r="99">
      <c r="A99" t="inlineStr">
        <is>
          <t>redalert</t>
        </is>
      </c>
      <c r="B99" t="inlineStr">
        <is>
          <t>ra1_allies_alliedwarfactory</t>
        </is>
      </c>
      <c r="C99" t="inlineStr">
        <is>
          <t>Allied War Factory</t>
        </is>
      </c>
      <c r="D99" s="6" t="inlineStr">
        <is>
          <t>Building</t>
        </is>
      </c>
      <c r="E99" s="6" t="n">
        <v>400000</v>
      </c>
      <c r="F99" s="6" t="n"/>
      <c r="G99" t="inlineStr">
        <is>
          <t>Concrete</t>
        </is>
      </c>
      <c r="H99" s="6" t="n">
        <v>1</v>
      </c>
      <c r="I99" s="6" t="n">
        <v>1</v>
      </c>
      <c r="J99" s="6" t="n">
        <v>1</v>
      </c>
      <c r="K99" s="6" t="n"/>
      <c r="X99" s="6" t="n">
        <v>2000</v>
      </c>
    </row>
    <row r="100">
      <c r="A100" t="inlineStr">
        <is>
          <t>redalert</t>
        </is>
      </c>
      <c r="B100" t="inlineStr">
        <is>
          <t>ra1_allies_reinforcementpad</t>
        </is>
      </c>
      <c r="C100" t="inlineStr">
        <is>
          <t>Reinforcement Pad</t>
        </is>
      </c>
      <c r="D100" s="6" t="inlineStr">
        <is>
          <t>Building</t>
        </is>
      </c>
      <c r="E100" s="6" t="n">
        <v>500000</v>
      </c>
      <c r="F100" s="6" t="n"/>
      <c r="G100" t="inlineStr">
        <is>
          <t>Concrete</t>
        </is>
      </c>
      <c r="H100" s="6" t="n">
        <v>0.5593</v>
      </c>
      <c r="I100" s="6" t="n">
        <v>1</v>
      </c>
      <c r="J100" s="6" t="n">
        <v>1</v>
      </c>
      <c r="K100" s="6" t="n"/>
      <c r="X100" s="6" t="n">
        <v>5000</v>
      </c>
    </row>
    <row r="101">
      <c r="A101" s="4" t="inlineStr">
        <is>
          <t>UPGRADES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t="inlineStr">
        <is>
          <t>redalert</t>
        </is>
      </c>
      <c r="B102" t="inlineStr">
        <is>
          <t>ra1_allies_upgrade_advancedradarsystems</t>
        </is>
      </c>
      <c r="C102" t="inlineStr">
        <is>
          <t>Advanced Radar Systems</t>
        </is>
      </c>
      <c r="D102" s="6" t="inlineStr">
        <is>
          <t>ResearchedUpgrade</t>
        </is>
      </c>
      <c r="E102" s="6" t="n"/>
      <c r="F102" s="6" t="n"/>
      <c r="H102" s="6" t="n">
        <v>0.8462</v>
      </c>
      <c r="I102" s="6" t="n">
        <v>1</v>
      </c>
      <c r="J102" s="6" t="n">
        <v>1</v>
      </c>
      <c r="K102" s="6" t="n"/>
      <c r="X102" s="6" t="n">
        <v>5000</v>
      </c>
    </row>
    <row r="103">
      <c r="A103" t="inlineStr">
        <is>
          <t>redalert</t>
        </is>
      </c>
      <c r="B103" t="inlineStr">
        <is>
          <t>ra1_allies_upgrade_airsuperioritydoctrine</t>
        </is>
      </c>
      <c r="C103" t="inlineStr">
        <is>
          <t>Air Superiority Doctrine</t>
        </is>
      </c>
      <c r="D103" s="6" t="inlineStr">
        <is>
          <t>ResearchedUpgrade</t>
        </is>
      </c>
      <c r="E103" s="6" t="n"/>
      <c r="F103" s="6" t="n"/>
      <c r="H103" s="6" t="n">
        <v>0.5593</v>
      </c>
      <c r="I103" s="6" t="n">
        <v>1</v>
      </c>
      <c r="J103" s="6" t="n">
        <v>1</v>
      </c>
      <c r="K103" s="6" t="n"/>
      <c r="X103" s="6" t="n">
        <v>7500</v>
      </c>
    </row>
    <row r="104">
      <c r="A104" t="inlineStr">
        <is>
          <t>redalert</t>
        </is>
      </c>
      <c r="B104" t="inlineStr">
        <is>
          <t>ra1_allies_upgrade_chronoarmor</t>
        </is>
      </c>
      <c r="C104" t="inlineStr">
        <is>
          <t>Chrono Armor</t>
        </is>
      </c>
      <c r="D104" s="6" t="inlineStr">
        <is>
          <t>ResearchedUpgrade</t>
        </is>
      </c>
      <c r="E104" s="6" t="n"/>
      <c r="F104" s="6" t="n"/>
      <c r="H104" s="6" t="n">
        <v>0.5593</v>
      </c>
      <c r="I104" s="6" t="n">
        <v>1</v>
      </c>
      <c r="J104" s="6" t="n">
        <v>1</v>
      </c>
      <c r="K104" s="6" t="n"/>
      <c r="X104" s="6" t="n">
        <v>7500</v>
      </c>
    </row>
    <row r="105">
      <c r="A105" t="inlineStr">
        <is>
          <t>redalert</t>
        </is>
      </c>
      <c r="B105" t="inlineStr">
        <is>
          <t>ra1_allies_upgrade_cryomissiles</t>
        </is>
      </c>
      <c r="C105" t="inlineStr">
        <is>
          <t>Cryo Missiles</t>
        </is>
      </c>
      <c r="D105" s="6" t="inlineStr">
        <is>
          <t>ResearchedUpgrade</t>
        </is>
      </c>
      <c r="E105" s="6" t="n"/>
      <c r="F105" s="6" t="n"/>
      <c r="H105" s="6" t="n">
        <v>0.5593</v>
      </c>
      <c r="I105" s="6" t="n">
        <v>1</v>
      </c>
      <c r="J105" s="6" t="n">
        <v>1</v>
      </c>
      <c r="K105" s="6" t="n"/>
      <c r="X105" s="6" t="n">
        <v>10000</v>
      </c>
    </row>
    <row r="106">
      <c r="A106" t="inlineStr">
        <is>
          <t>redalert</t>
        </is>
      </c>
      <c r="B106" t="inlineStr">
        <is>
          <t>ra1_allies_upgrade_gpssatellitesupport</t>
        </is>
      </c>
      <c r="C106" t="inlineStr">
        <is>
          <t>GPS Satellite Support</t>
        </is>
      </c>
      <c r="D106" s="6" t="inlineStr">
        <is>
          <t>Upgrade</t>
        </is>
      </c>
      <c r="E106" s="6" t="n"/>
      <c r="F106" s="6" t="n"/>
      <c r="H106" s="6" t="n">
        <v>0.5593</v>
      </c>
      <c r="I106" s="6" t="n">
        <v>1</v>
      </c>
      <c r="J106" s="6" t="n">
        <v>1</v>
      </c>
      <c r="K106" s="6" t="n"/>
      <c r="X106" s="6" t="n">
        <v>12500</v>
      </c>
    </row>
    <row r="107">
      <c r="A107" t="inlineStr">
        <is>
          <t>redalert</t>
        </is>
      </c>
      <c r="B107" t="inlineStr">
        <is>
          <t>ra1_allies_upgrade_infantryarmorplating</t>
        </is>
      </c>
      <c r="C107" t="inlineStr">
        <is>
          <t>Infantry Armor Plating</t>
        </is>
      </c>
      <c r="D107" s="6" t="inlineStr">
        <is>
          <t>ResearchedUpgrade</t>
        </is>
      </c>
      <c r="E107" s="6" t="n"/>
      <c r="F107" s="6" t="n"/>
      <c r="H107" s="6" t="n">
        <v>0.8462</v>
      </c>
      <c r="I107" s="6" t="n">
        <v>1</v>
      </c>
      <c r="J107" s="6" t="n">
        <v>1</v>
      </c>
      <c r="K107" s="6" t="n"/>
      <c r="X107" s="6" t="n">
        <v>5000</v>
      </c>
    </row>
    <row r="108">
      <c r="A108" t="inlineStr">
        <is>
          <t>redalert</t>
        </is>
      </c>
      <c r="B108" t="inlineStr">
        <is>
          <t>ra1_allies_upgrade_lasertargetingsystems</t>
        </is>
      </c>
      <c r="C108" t="inlineStr">
        <is>
          <t>Laser Targeting Systems</t>
        </is>
      </c>
      <c r="D108" s="6" t="inlineStr">
        <is>
          <t>ResearchedUpgrade</t>
        </is>
      </c>
      <c r="E108" s="6" t="n"/>
      <c r="F108" s="6" t="n"/>
      <c r="H108" s="6" t="n">
        <v>0.5593</v>
      </c>
      <c r="I108" s="6" t="n">
        <v>1</v>
      </c>
      <c r="J108" s="6" t="n">
        <v>1</v>
      </c>
      <c r="K108" s="6" t="n"/>
      <c r="X108" s="6" t="n">
        <v>7500</v>
      </c>
    </row>
    <row r="109">
      <c r="A109" t="inlineStr">
        <is>
          <t>redalert</t>
        </is>
      </c>
      <c r="B109" t="inlineStr">
        <is>
          <t>ra1_allies_upgrade_reinforcedstructures</t>
        </is>
      </c>
      <c r="C109" t="inlineStr">
        <is>
          <t>Reinforced Structures</t>
        </is>
      </c>
      <c r="D109" s="6" t="inlineStr">
        <is>
          <t>ResearchedUpgrade</t>
        </is>
      </c>
      <c r="E109" s="6" t="n"/>
      <c r="F109" s="6" t="n"/>
      <c r="H109" s="6" t="n">
        <v>0.8462</v>
      </c>
      <c r="I109" s="6" t="n">
        <v>1</v>
      </c>
      <c r="J109" s="6" t="n">
        <v>1</v>
      </c>
      <c r="K109" s="6" t="n"/>
      <c r="X109" s="6" t="n">
        <v>5000</v>
      </c>
    </row>
    <row r="110">
      <c r="A110" s="4" t="inlineStr">
        <is>
          <t>PROMOTIONS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t="inlineStr">
        <is>
          <t>redalert</t>
        </is>
      </c>
      <c r="B111" t="inlineStr">
        <is>
          <t>ra1_allies_promotion_bastion</t>
        </is>
      </c>
      <c r="C111" t="inlineStr">
        <is>
          <t>Unlock Bastion</t>
        </is>
      </c>
      <c r="D111" s="6" t="inlineStr">
        <is>
          <t>PromotionUpgrade</t>
        </is>
      </c>
      <c r="E111" s="6" t="n"/>
      <c r="F111" s="6" t="n"/>
      <c r="H111" s="6" t="n">
        <v>1</v>
      </c>
      <c r="I111" s="6" t="n">
        <v>1</v>
      </c>
      <c r="J111" s="6" t="n">
        <v>1</v>
      </c>
      <c r="K111" s="6" t="n"/>
      <c r="X111" s="6" t="n"/>
    </row>
    <row r="112">
      <c r="A112" t="inlineStr">
        <is>
          <t>redalert</t>
        </is>
      </c>
      <c r="B112" t="inlineStr">
        <is>
          <t>ra1_allies_promotion_camopillbox</t>
        </is>
      </c>
      <c r="C112" t="inlineStr">
        <is>
          <t>Unlock Camo Pillbox</t>
        </is>
      </c>
      <c r="D112" s="6" t="inlineStr">
        <is>
          <t>PromotionUpgrade</t>
        </is>
      </c>
      <c r="E112" s="6" t="n"/>
      <c r="F112" s="6" t="n"/>
      <c r="H112" s="6" t="n">
        <v>1</v>
      </c>
      <c r="I112" s="6" t="n">
        <v>1</v>
      </c>
      <c r="J112" s="6" t="n">
        <v>1</v>
      </c>
      <c r="K112" s="6" t="n"/>
      <c r="X112" s="6" t="n"/>
    </row>
    <row r="113">
      <c r="A113" t="inlineStr">
        <is>
          <t>redalert</t>
        </is>
      </c>
      <c r="B113" t="inlineStr">
        <is>
          <t>ra1_allies_promotion_chronotank</t>
        </is>
      </c>
      <c r="C113" t="inlineStr">
        <is>
          <t>Unlock Chrono Tank</t>
        </is>
      </c>
      <c r="D113" s="6" t="inlineStr">
        <is>
          <t>PromotionUpgrade</t>
        </is>
      </c>
      <c r="E113" s="6" t="n"/>
      <c r="F113" s="6" t="n"/>
      <c r="H113" s="6" t="n">
        <v>1</v>
      </c>
      <c r="I113" s="6" t="n">
        <v>1</v>
      </c>
      <c r="J113" s="6" t="n">
        <v>1</v>
      </c>
      <c r="K113" s="6" t="n"/>
      <c r="X113" s="6" t="n"/>
    </row>
    <row r="114">
      <c r="A114" t="inlineStr">
        <is>
          <t>redalert</t>
        </is>
      </c>
      <c r="B114" t="inlineStr">
        <is>
          <t>ra1_allies_promotion_gapgeneratorandradarjammer</t>
        </is>
      </c>
      <c r="C114" t="inlineStr">
        <is>
          <t>Unlock Gap Generator and Radar Jammer</t>
        </is>
      </c>
      <c r="D114" s="6" t="inlineStr">
        <is>
          <t>PromotionUpgrade</t>
        </is>
      </c>
      <c r="E114" s="6" t="n"/>
      <c r="F114" s="6" t="n"/>
      <c r="H114" s="6" t="n">
        <v>1</v>
      </c>
      <c r="I114" s="6" t="n">
        <v>1</v>
      </c>
      <c r="J114" s="6" t="n">
        <v>1</v>
      </c>
      <c r="K114" s="6" t="n"/>
      <c r="X114" s="6" t="n"/>
    </row>
    <row r="115">
      <c r="A115" t="inlineStr">
        <is>
          <t>redalert</t>
        </is>
      </c>
      <c r="B115" t="inlineStr">
        <is>
          <t>ra1_allies_promotion_machinegunner</t>
        </is>
      </c>
      <c r="C115" t="inlineStr">
        <is>
          <t>Unlock Machine Gunner</t>
        </is>
      </c>
      <c r="D115" s="6" t="inlineStr">
        <is>
          <t>PromotionUpgrade</t>
        </is>
      </c>
      <c r="E115" s="6" t="n"/>
      <c r="F115" s="6" t="n"/>
      <c r="H115" s="6" t="n">
        <v>1</v>
      </c>
      <c r="I115" s="6" t="n">
        <v>1</v>
      </c>
      <c r="J115" s="6" t="n">
        <v>1</v>
      </c>
      <c r="K115" s="6" t="n"/>
      <c r="X115" s="6" t="n"/>
    </row>
    <row r="116">
      <c r="A116" t="inlineStr">
        <is>
          <t>redalert</t>
        </is>
      </c>
      <c r="B116" t="inlineStr">
        <is>
          <t>ra1_allies_promotion_phasetransport</t>
        </is>
      </c>
      <c r="C116" t="inlineStr">
        <is>
          <t>Unlock Phase Transport</t>
        </is>
      </c>
      <c r="D116" s="6" t="inlineStr">
        <is>
          <t>PromotionUpgrade</t>
        </is>
      </c>
      <c r="E116" s="6" t="n"/>
      <c r="F116" s="6" t="n"/>
      <c r="H116" s="6" t="n">
        <v>1</v>
      </c>
      <c r="I116" s="6" t="n">
        <v>1</v>
      </c>
      <c r="J116" s="6" t="n">
        <v>1</v>
      </c>
      <c r="K116" s="6" t="n"/>
      <c r="X116" s="6" t="n"/>
    </row>
    <row r="117">
      <c r="A117" t="inlineStr">
        <is>
          <t>redalert</t>
        </is>
      </c>
      <c r="B117" t="inlineStr">
        <is>
          <t>ra1_allies_promotion_rapierjumpjet</t>
        </is>
      </c>
      <c r="C117" t="inlineStr">
        <is>
          <t>Unlock Rapier Jumpjet</t>
        </is>
      </c>
      <c r="D117" s="6" t="inlineStr">
        <is>
          <t>PromotionUpgrade</t>
        </is>
      </c>
      <c r="E117" s="6" t="n"/>
      <c r="F117" s="6" t="n"/>
      <c r="H117" s="6" t="n">
        <v>1</v>
      </c>
      <c r="I117" s="6" t="n">
        <v>1</v>
      </c>
      <c r="J117" s="6" t="n">
        <v>1</v>
      </c>
      <c r="K117" s="6" t="n"/>
      <c r="X117" s="6" t="n"/>
    </row>
    <row r="118">
      <c r="A118" t="inlineStr">
        <is>
          <t>redalert</t>
        </is>
      </c>
      <c r="B118" t="inlineStr">
        <is>
          <t>ra1_allies_promotion_reconranger</t>
        </is>
      </c>
      <c r="C118" t="inlineStr">
        <is>
          <t>Unlock Recon Ranger.</t>
        </is>
      </c>
      <c r="D118" s="6" t="inlineStr">
        <is>
          <t>PromotionUpgrade</t>
        </is>
      </c>
      <c r="E118" s="6" t="n"/>
      <c r="F118" s="6" t="n"/>
      <c r="H118" s="6" t="n">
        <v>1</v>
      </c>
      <c r="I118" s="6" t="n">
        <v>1</v>
      </c>
      <c r="J118" s="6" t="n">
        <v>1</v>
      </c>
      <c r="K118" s="6" t="n"/>
      <c r="X118" s="6" t="n"/>
    </row>
    <row r="119">
      <c r="A119" t="inlineStr">
        <is>
          <t>redalert</t>
        </is>
      </c>
      <c r="B119" t="inlineStr">
        <is>
          <t>ra1_allies_promotion_reinforcementpad</t>
        </is>
      </c>
      <c r="C119" t="inlineStr">
        <is>
          <t>Unlock Reinforcement Pad</t>
        </is>
      </c>
      <c r="D119" s="6" t="inlineStr">
        <is>
          <t>PromotionUpgrade</t>
        </is>
      </c>
      <c r="E119" s="6" t="n"/>
      <c r="F119" s="6" t="n"/>
      <c r="H119" s="6" t="n">
        <v>1</v>
      </c>
      <c r="I119" s="6" t="n">
        <v>1</v>
      </c>
      <c r="J119" s="6" t="n">
        <v>1</v>
      </c>
      <c r="K119" s="6" t="n"/>
      <c r="X119" s="6" t="n"/>
    </row>
    <row r="120">
      <c r="A120" t="inlineStr">
        <is>
          <t>redalert</t>
        </is>
      </c>
      <c r="B120" t="inlineStr">
        <is>
          <t>ra1_allies_promotion_sheridan</t>
        </is>
      </c>
      <c r="C120" t="inlineStr">
        <is>
          <t>Unlock Sheridan</t>
        </is>
      </c>
      <c r="D120" s="6" t="inlineStr">
        <is>
          <t>PromotionUpgrade</t>
        </is>
      </c>
      <c r="E120" s="6" t="n"/>
      <c r="F120" s="6" t="n"/>
      <c r="H120" s="6" t="n">
        <v>1</v>
      </c>
      <c r="I120" s="6" t="n">
        <v>1</v>
      </c>
      <c r="J120" s="6" t="n">
        <v>1</v>
      </c>
      <c r="K120" s="6" t="n"/>
      <c r="X120" s="6" t="n"/>
    </row>
    <row r="121">
      <c r="A121" t="inlineStr">
        <is>
          <t>redalert</t>
        </is>
      </c>
      <c r="B121" t="inlineStr">
        <is>
          <t>ra1_allies_promotion_tankdestroyer</t>
        </is>
      </c>
      <c r="C121" t="inlineStr">
        <is>
          <t>Unlock Tank Destroyer</t>
        </is>
      </c>
      <c r="D121" s="6" t="inlineStr">
        <is>
          <t>PromotionUpgrade</t>
        </is>
      </c>
      <c r="E121" s="6" t="n"/>
      <c r="F121" s="6" t="n"/>
      <c r="H121" s="6" t="n">
        <v>1</v>
      </c>
      <c r="I121" s="6" t="n">
        <v>1</v>
      </c>
      <c r="J121" s="6" t="n">
        <v>1</v>
      </c>
      <c r="K121" s="6" t="n"/>
      <c r="X121" s="6" t="n"/>
    </row>
    <row r="122">
      <c r="A122" t="inlineStr">
        <is>
          <t>redalert</t>
        </is>
      </c>
      <c r="B122" t="inlineStr">
        <is>
          <t>ra1_allies_promotion_tigerheavytank</t>
        </is>
      </c>
      <c r="C122" t="inlineStr">
        <is>
          <t>Unlock Tiger Heavy Tank</t>
        </is>
      </c>
      <c r="D122" s="6" t="inlineStr">
        <is>
          <t>PromotionUpgrade</t>
        </is>
      </c>
      <c r="E122" s="6" t="n"/>
      <c r="F122" s="6" t="n"/>
      <c r="H122" s="6" t="n">
        <v>1</v>
      </c>
      <c r="I122" s="6" t="n">
        <v>1</v>
      </c>
      <c r="J122" s="6" t="n">
        <v>1</v>
      </c>
      <c r="K122" s="6" t="n"/>
      <c r="X12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3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cabal_ascended</t>
        </is>
      </c>
      <c r="C3" t="inlineStr">
        <is>
          <t>Ascended</t>
        </is>
      </c>
      <c r="D3" s="6" t="inlineStr">
        <is>
          <t>AntiTankAntiAirInfantry</t>
        </is>
      </c>
      <c r="E3" s="6" t="n">
        <v>70000</v>
      </c>
      <c r="F3" s="6" t="n">
        <v>40</v>
      </c>
      <c r="G3" t="inlineStr">
        <is>
          <t>Flak</t>
        </is>
      </c>
      <c r="H3" s="6" t="n">
        <v>1</v>
      </c>
      <c r="I3" s="6" t="n">
        <v>0.5</v>
      </c>
      <c r="J3" s="6" t="n">
        <v>1.25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900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CabalAscendedRockets</t>
        </is>
      </c>
      <c r="C4" s="7" t="inlineStr">
        <is>
          <t>Armament@PRIMARY</t>
        </is>
      </c>
      <c r="L4" s="6" t="n">
        <v>36000</v>
      </c>
      <c r="M4" s="6" t="n">
        <v>60</v>
      </c>
      <c r="N4" s="6" t="n">
        <v>2</v>
      </c>
      <c r="O4" s="6" t="n">
        <v>8</v>
      </c>
      <c r="P4" s="6" t="n">
        <v>9000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^LightMissile, ^MediumMissile, ^HeavyMissile, ^TankDestroyerCannon, ^FlakWeapon, ^HeavyAAWeapon, ^CabalMissileMedium, ^CabalMissileEffect</t>
        </is>
      </c>
    </row>
    <row r="5">
      <c r="B5" s="7" t="inlineStr">
        <is>
          <t xml:space="preserve">  ↳ CabalAscendedRockets</t>
        </is>
      </c>
      <c r="C5" s="7" t="inlineStr">
        <is>
          <t>Armament@GARRISONED</t>
        </is>
      </c>
      <c r="L5" s="6" t="n">
        <v>36000</v>
      </c>
      <c r="M5" s="6" t="n">
        <v>60</v>
      </c>
      <c r="N5" s="6" t="n">
        <v>2</v>
      </c>
      <c r="O5" s="6" t="n">
        <v>8</v>
      </c>
      <c r="P5" s="6" t="n">
        <v>9000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^LightMissile, ^MediumMissile, ^HeavyMissile, ^TankDestroyerCannon, ^FlakWeapon, ^HeavyAAWeapon, ^CabalMissileMedium, ^CabalMissileEffect</t>
        </is>
      </c>
    </row>
    <row r="6">
      <c r="A6" t="inlineStr">
        <is>
          <t>tiberiansun</t>
        </is>
      </c>
      <c r="B6" t="inlineStr">
        <is>
          <t>cabal_cyborgcommando</t>
        </is>
      </c>
      <c r="C6" t="inlineStr">
        <is>
          <t>Cyborg Commando</t>
        </is>
      </c>
      <c r="D6" s="6" t="inlineStr">
        <is>
          <t>HeavyInfantry</t>
        </is>
      </c>
      <c r="E6" s="6" t="n">
        <v>250000</v>
      </c>
      <c r="F6" s="6" t="n">
        <v>40</v>
      </c>
      <c r="G6" t="inlineStr">
        <is>
          <t>Heroic</t>
        </is>
      </c>
      <c r="H6" s="6" t="n">
        <v>0.75</v>
      </c>
      <c r="I6" s="6" t="n">
        <v>1</v>
      </c>
      <c r="J6" s="6" t="n">
        <v>1</v>
      </c>
      <c r="K6" s="6" t="n"/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5000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CabalCommandoPlasma</t>
        </is>
      </c>
      <c r="C7" s="7" t="inlineStr">
        <is>
          <t>Armament@PRIMARY</t>
        </is>
      </c>
      <c r="L7" s="6" t="n">
        <v>150000</v>
      </c>
      <c r="M7" s="6" t="n">
        <v>90</v>
      </c>
      <c r="N7" s="6" t="n">
        <v>1</v>
      </c>
      <c r="O7" s="6" t="n"/>
      <c r="P7" s="6" t="n">
        <v>5219</v>
      </c>
      <c r="Q7" s="6" t="n">
        <v>1</v>
      </c>
      <c r="R7">
        <f>M7+IF(N7&gt;1,N(O7)*(N7-1),0)</f>
        <v/>
      </c>
      <c r="S7">
        <f>IFERROR(L7*MAX(N7,1)/R7*IF(ISBLANK(K6),1,K6),0)</f>
        <v/>
      </c>
      <c r="AB7" s="7" t="inlineStr">
        <is>
          <t>^HeavyCannon, ^MediumFlameWeapon, ^MediumChemicalWeapon</t>
        </is>
      </c>
    </row>
    <row r="8">
      <c r="B8" s="7" t="inlineStr">
        <is>
          <t xml:space="preserve">  ↳ CabalCommandoPlasmaNeutron</t>
        </is>
      </c>
      <c r="C8" s="7" t="inlineStr">
        <is>
          <t>Armament@Upgraded</t>
        </is>
      </c>
      <c r="L8" s="6" t="n">
        <v>300000</v>
      </c>
      <c r="M8" s="6" t="n">
        <v>90</v>
      </c>
      <c r="N8" s="6" t="n">
        <v>1</v>
      </c>
      <c r="O8" s="6" t="n"/>
      <c r="P8" s="6" t="n">
        <v>5219</v>
      </c>
      <c r="Q8" s="6" t="n">
        <v>1</v>
      </c>
      <c r="R8">
        <f>M8+IF(N8&gt;1,N(O8)*(N8-1),0)</f>
        <v/>
      </c>
      <c r="S8">
        <f>IFERROR(L8*MAX(N8,1)/R8*IF(ISBLANK(K6),1,K6),0)</f>
        <v/>
      </c>
      <c r="AB8" s="7" t="inlineStr">
        <is>
          <t>^HeavyCannon, ^MediumFlameWeapon, ^MediumChemicalWeapon, ^TeslaWeapon, ^MagicWeapon, ^RailgunWeapon</t>
        </is>
      </c>
    </row>
    <row r="9">
      <c r="B9" s="7" t="inlineStr">
        <is>
          <t xml:space="preserve">  ↳ CabalCommandoPlasma</t>
        </is>
      </c>
      <c r="C9" s="7" t="inlineStr">
        <is>
          <t>Armament@GARRISONED</t>
        </is>
      </c>
      <c r="L9" s="6" t="n">
        <v>150000</v>
      </c>
      <c r="M9" s="6" t="n">
        <v>90</v>
      </c>
      <c r="N9" s="6" t="n">
        <v>1</v>
      </c>
      <c r="O9" s="6" t="n"/>
      <c r="P9" s="6" t="n">
        <v>5219</v>
      </c>
      <c r="Q9" s="6" t="n">
        <v>1</v>
      </c>
      <c r="R9">
        <f>M9+IF(N9&gt;1,N(O9)*(N9-1),0)</f>
        <v/>
      </c>
      <c r="S9">
        <f>IFERROR(L9*MAX(N9,1)/R9*IF(ISBLANK(K6),1,K6),0)</f>
        <v/>
      </c>
      <c r="AB9" s="7" t="inlineStr">
        <is>
          <t>^HeavyCannon, ^MediumFlameWeapon, ^MediumChemicalWeapon</t>
        </is>
      </c>
    </row>
    <row r="10">
      <c r="B10" s="7" t="inlineStr">
        <is>
          <t xml:space="preserve">  ↳ CabalCommandoPlasmaNeutron</t>
        </is>
      </c>
      <c r="C10" s="7" t="inlineStr">
        <is>
          <t>Armament@GARRISONEDUpgraded</t>
        </is>
      </c>
      <c r="L10" s="6" t="n">
        <v>300000</v>
      </c>
      <c r="M10" s="6" t="n">
        <v>90</v>
      </c>
      <c r="N10" s="6" t="n">
        <v>1</v>
      </c>
      <c r="O10" s="6" t="n"/>
      <c r="P10" s="6" t="n">
        <v>5219</v>
      </c>
      <c r="Q10" s="6" t="n">
        <v>1</v>
      </c>
      <c r="R10">
        <f>M10+IF(N10&gt;1,N(O10)*(N10-1),0)</f>
        <v/>
      </c>
      <c r="S10">
        <f>IFERROR(L10*MAX(N10,1)/R10*IF(ISBLANK(K6),1,K6),0)</f>
        <v/>
      </c>
      <c r="AB10" s="7" t="inlineStr">
        <is>
          <t>^HeavyCannon, ^MediumFlameWeapon, ^MediumChemicalWeapon, ^TeslaWeapon, ^MagicWeapon, ^RailgunWeapon</t>
        </is>
      </c>
    </row>
    <row r="11">
      <c r="A11" t="inlineStr">
        <is>
          <t>tiberiansun</t>
        </is>
      </c>
      <c r="B11" t="inlineStr">
        <is>
          <t>cabal_cyborgcommandov2</t>
        </is>
      </c>
      <c r="C11" t="inlineStr">
        <is>
          <t>Cyborg Commando V2</t>
        </is>
      </c>
      <c r="D11" s="6" t="inlineStr">
        <is>
          <t>HeavyInfantry</t>
        </is>
      </c>
      <c r="E11" s="6" t="n">
        <v>400000</v>
      </c>
      <c r="F11" s="6" t="n">
        <v>40</v>
      </c>
      <c r="G11" t="inlineStr">
        <is>
          <t>Heroic</t>
        </is>
      </c>
      <c r="H11" s="6" t="n">
        <v>0.5</v>
      </c>
      <c r="I11" s="6" t="n">
        <v>1</v>
      </c>
      <c r="J11" s="6" t="n">
        <v>1</v>
      </c>
      <c r="K11" s="6" t="n"/>
      <c r="P11">
        <f>MAX(P12,P13)</f>
        <v/>
      </c>
      <c r="S11">
        <f>S12+S13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10000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CabalCommandoPlasmaMk2</t>
        </is>
      </c>
      <c r="C12" s="7" t="inlineStr">
        <is>
          <t>Armament@PRIMARY</t>
        </is>
      </c>
      <c r="L12" s="6" t="n">
        <v>150000</v>
      </c>
      <c r="M12" s="6" t="n">
        <v>90</v>
      </c>
      <c r="N12" s="6" t="n">
        <v>1</v>
      </c>
      <c r="O12" s="6" t="n"/>
      <c r="P12" s="6" t="n">
        <v>6264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>
        <is>
          <t>^HeavyCannon, ^MediumFlameWeapon, ^MediumChemicalWeapon</t>
        </is>
      </c>
    </row>
    <row r="13">
      <c r="B13" s="7" t="inlineStr">
        <is>
          <t xml:space="preserve">  ↳ CabalCommandoPlasmaMk2Neutron</t>
        </is>
      </c>
      <c r="C13" s="7" t="inlineStr">
        <is>
          <t>Armament@Upgraded</t>
        </is>
      </c>
      <c r="L13" s="6" t="n">
        <v>300000</v>
      </c>
      <c r="M13" s="6" t="n">
        <v>90</v>
      </c>
      <c r="N13" s="6" t="n">
        <v>1</v>
      </c>
      <c r="O13" s="6" t="n"/>
      <c r="P13" s="6" t="n">
        <v>6264</v>
      </c>
      <c r="Q13" s="6" t="n">
        <v>1</v>
      </c>
      <c r="R13">
        <f>M13+IF(N13&gt;1,N(O13)*(N13-1),0)</f>
        <v/>
      </c>
      <c r="S13">
        <f>IFERROR(L13*MAX(N13,1)/R13*IF(ISBLANK(K11),1,K11),0)</f>
        <v/>
      </c>
      <c r="AB13" s="7" t="inlineStr">
        <is>
          <t>^HeavyCannon, ^MediumFlameWeapon, ^MediumChemicalWeapon, ^TeslaWeapon, ^MagicWeapon, ^RailgunWeapon</t>
        </is>
      </c>
    </row>
    <row r="14">
      <c r="B14" s="7" t="inlineStr">
        <is>
          <t xml:space="preserve">  ↳ CabalCommandoPlasmaMk2</t>
        </is>
      </c>
      <c r="C14" s="7" t="inlineStr">
        <is>
          <t>Armament@GARRISONED</t>
        </is>
      </c>
      <c r="L14" s="6" t="n">
        <v>150000</v>
      </c>
      <c r="M14" s="6" t="n">
        <v>90</v>
      </c>
      <c r="N14" s="6" t="n">
        <v>1</v>
      </c>
      <c r="O14" s="6" t="n"/>
      <c r="P14" s="6" t="n">
        <v>6264</v>
      </c>
      <c r="Q14" s="6" t="n">
        <v>1</v>
      </c>
      <c r="R14">
        <f>M14+IF(N14&gt;1,N(O14)*(N14-1),0)</f>
        <v/>
      </c>
      <c r="S14">
        <f>IFERROR(L14*MAX(N14,1)/R14*IF(ISBLANK(K11),1,K11),0)</f>
        <v/>
      </c>
      <c r="AB14" s="7" t="inlineStr">
        <is>
          <t>^HeavyCannon, ^MediumFlameWeapon, ^MediumChemicalWeapon</t>
        </is>
      </c>
    </row>
    <row r="15">
      <c r="B15" s="7" t="inlineStr">
        <is>
          <t xml:space="preserve">  ↳ CabalCommandoPlasmaMk2Neutron</t>
        </is>
      </c>
      <c r="C15" s="7" t="inlineStr">
        <is>
          <t>Armament@GARRISONEDUpgraded</t>
        </is>
      </c>
      <c r="L15" s="6" t="n">
        <v>300000</v>
      </c>
      <c r="M15" s="6" t="n">
        <v>90</v>
      </c>
      <c r="N15" s="6" t="n">
        <v>1</v>
      </c>
      <c r="O15" s="6" t="n"/>
      <c r="P15" s="6" t="n">
        <v>6264</v>
      </c>
      <c r="Q15" s="6" t="n">
        <v>1</v>
      </c>
      <c r="R15">
        <f>M15+IF(N15&gt;1,N(O15)*(N15-1),0)</f>
        <v/>
      </c>
      <c r="S15">
        <f>IFERROR(L15*MAX(N15,1)/R15*IF(ISBLANK(K11),1,K11),0)</f>
        <v/>
      </c>
      <c r="AB15" s="7" t="inlineStr">
        <is>
          <t>^HeavyCannon, ^MediumFlameWeapon, ^MediumChemicalWeapon, ^TeslaWeapon, ^MagicWeapon, ^RailgunWeapon</t>
        </is>
      </c>
    </row>
    <row r="16">
      <c r="A16" t="inlineStr">
        <is>
          <t>tiberiansun</t>
        </is>
      </c>
      <c r="B16" t="inlineStr">
        <is>
          <t>cabal_cyborginfantry</t>
        </is>
      </c>
      <c r="C16" t="inlineStr">
        <is>
          <t>Cyborg Infantry</t>
        </is>
      </c>
      <c r="D16" s="6" t="inlineStr">
        <is>
          <t>HeavyInfantry</t>
        </is>
      </c>
      <c r="E16" s="6" t="n">
        <v>45000</v>
      </c>
      <c r="F16" s="6" t="n">
        <v>40</v>
      </c>
      <c r="G16" t="inlineStr">
        <is>
          <t>Plate</t>
        </is>
      </c>
      <c r="H16" s="6" t="n">
        <v>1</v>
      </c>
      <c r="I16" s="6" t="n">
        <v>0.8</v>
      </c>
      <c r="J16" s="6" t="n">
        <v>1</v>
      </c>
      <c r="K16" s="6" t="n"/>
      <c r="P16">
        <f>MAX(P17)</f>
        <v/>
      </c>
      <c r="S16">
        <f>S17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500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CabalCyborgChaingun</t>
        </is>
      </c>
      <c r="C17" s="7" t="inlineStr">
        <is>
          <t>Armament@PRIMARY</t>
        </is>
      </c>
      <c r="L17" s="6" t="n">
        <v>20000</v>
      </c>
      <c r="M17" s="6" t="n">
        <v>60</v>
      </c>
      <c r="N17" s="6" t="n">
        <v>1</v>
      </c>
      <c r="O17" s="6" t="n"/>
      <c r="P17" s="6" t="n">
        <v>5800</v>
      </c>
      <c r="Q17" s="6" t="n">
        <v>0.875</v>
      </c>
      <c r="R17">
        <f>M17+IF(N17&gt;1,N(O17)*(N17-1),0)</f>
        <v/>
      </c>
      <c r="S17">
        <f>IFERROR(L17*MAX(N17,1)/R17*IF(ISBLANK(K16),1,K16),0)</f>
        <v/>
      </c>
      <c r="AB17" s="7" t="inlineStr">
        <is>
          <t>^Warhead_Bullet_Light, ^Warhead_Bullet_Medium</t>
        </is>
      </c>
    </row>
    <row r="18">
      <c r="B18" s="7" t="inlineStr">
        <is>
          <t xml:space="preserve">  ↳ CabalCyborgChaingun</t>
        </is>
      </c>
      <c r="C18" s="7" t="inlineStr">
        <is>
          <t>Armament@GARRISONED</t>
        </is>
      </c>
      <c r="L18" s="6" t="n">
        <v>20000</v>
      </c>
      <c r="M18" s="6" t="n">
        <v>60</v>
      </c>
      <c r="N18" s="6" t="n">
        <v>1</v>
      </c>
      <c r="O18" s="6" t="n"/>
      <c r="P18" s="6" t="n">
        <v>5800</v>
      </c>
      <c r="Q18" s="6" t="n">
        <v>0.875</v>
      </c>
      <c r="R18">
        <f>M18+IF(N18&gt;1,N(O18)*(N18-1),0)</f>
        <v/>
      </c>
      <c r="S18">
        <f>IFERROR(L18*MAX(N18,1)/R18*IF(ISBLANK(K16),1,K16),0)</f>
        <v/>
      </c>
      <c r="AB18" s="7" t="inlineStr">
        <is>
          <t>^Warhead_Bullet_Light, ^Warhead_Bullet_Medium</t>
        </is>
      </c>
    </row>
    <row r="19">
      <c r="A19" t="inlineStr">
        <is>
          <t>tiberiansun</t>
        </is>
      </c>
      <c r="B19" t="inlineStr">
        <is>
          <t>cabal_devout</t>
        </is>
      </c>
      <c r="C19" t="inlineStr">
        <is>
          <t>Devout</t>
        </is>
      </c>
      <c r="D19" s="6" t="inlineStr">
        <is>
          <t>HeavyInfantry</t>
        </is>
      </c>
      <c r="E19" s="6" t="n">
        <v>80000</v>
      </c>
      <c r="F19" s="6" t="n">
        <v>40</v>
      </c>
      <c r="G19" t="inlineStr">
        <is>
          <t>Plate</t>
        </is>
      </c>
      <c r="H19" s="6" t="n">
        <v>1</v>
      </c>
      <c r="I19" s="6" t="n">
        <v>0.8</v>
      </c>
      <c r="J19" s="6" t="n">
        <v>1.25</v>
      </c>
      <c r="K19" s="6" t="n"/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1400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TSDevoutChainguns</t>
        </is>
      </c>
      <c r="C20" s="7" t="inlineStr">
        <is>
          <t>Armament@PRIMARY</t>
        </is>
      </c>
      <c r="L20" s="6" t="n">
        <v>24000</v>
      </c>
      <c r="M20" s="6" t="n">
        <v>45</v>
      </c>
      <c r="N20" s="6" t="n">
        <v>2</v>
      </c>
      <c r="O20" s="6" t="n">
        <v>3</v>
      </c>
      <c r="P20" s="6" t="n">
        <v>6200</v>
      </c>
      <c r="Q20" s="6" t="n">
        <v>0.875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^Warhead_Bullet_Light, ^Warhead_Bullet_Medium</t>
        </is>
      </c>
    </row>
    <row r="21">
      <c r="B21" s="7" t="inlineStr">
        <is>
          <t xml:space="preserve">  ↳ TSDevoutChainguns</t>
        </is>
      </c>
      <c r="C21" s="7" t="inlineStr">
        <is>
          <t>Armament@GARRISONED</t>
        </is>
      </c>
      <c r="L21" s="6" t="n">
        <v>24000</v>
      </c>
      <c r="M21" s="6" t="n">
        <v>45</v>
      </c>
      <c r="N21" s="6" t="n">
        <v>2</v>
      </c>
      <c r="O21" s="6" t="n">
        <v>3</v>
      </c>
      <c r="P21" s="6" t="n">
        <v>6200</v>
      </c>
      <c r="Q21" s="6" t="n">
        <v>0.875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^Warhead_Bullet_Light, ^Warhead_Bullet_Medium</t>
        </is>
      </c>
    </row>
    <row r="22">
      <c r="A22" t="inlineStr">
        <is>
          <t>tiberiansun</t>
        </is>
      </c>
      <c r="B22" t="inlineStr">
        <is>
          <t>cabal_dissolver</t>
        </is>
      </c>
      <c r="C22" t="inlineStr">
        <is>
          <t>Dissolver</t>
        </is>
      </c>
      <c r="D22" s="6" t="inlineStr">
        <is>
          <t>HeavyInfantry</t>
        </is>
      </c>
      <c r="E22" s="6" t="n">
        <v>50000</v>
      </c>
      <c r="F22" s="6" t="n">
        <v>40</v>
      </c>
      <c r="G22" t="inlineStr">
        <is>
          <t>Flak</t>
        </is>
      </c>
      <c r="H22" s="6" t="n">
        <v>1</v>
      </c>
      <c r="I22" s="6" t="n">
        <v>0.8</v>
      </c>
      <c r="J22" s="6" t="n">
        <v>1</v>
      </c>
      <c r="K22" s="6" t="n"/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725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CabalDissolverSpray</t>
        </is>
      </c>
      <c r="C23" s="7" t="inlineStr">
        <is>
          <t>Armament</t>
        </is>
      </c>
      <c r="L23" s="6" t="n">
        <v>4000</v>
      </c>
      <c r="M23" s="6" t="n">
        <v>4</v>
      </c>
      <c r="N23" s="6" t="n">
        <v>1</v>
      </c>
      <c r="O23" s="6" t="n"/>
      <c r="P23" s="6" t="n">
        <v>5142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^LightChemicalWeapon, ^TankDestroyerCannon</t>
        </is>
      </c>
    </row>
    <row r="24">
      <c r="A24" t="inlineStr">
        <is>
          <t>tiberiansun</t>
        </is>
      </c>
      <c r="B24" t="inlineStr">
        <is>
          <t>cabal_eliminator800</t>
        </is>
      </c>
      <c r="C24" t="inlineStr">
        <is>
          <t>Eliminator 800</t>
        </is>
      </c>
      <c r="D24" s="6" t="inlineStr">
        <is>
          <t>HeavyInfantry</t>
        </is>
      </c>
      <c r="E24" s="6" t="n">
        <v>85000</v>
      </c>
      <c r="F24" s="6" t="n">
        <v>39</v>
      </c>
      <c r="G24" t="inlineStr">
        <is>
          <t>Flak</t>
        </is>
      </c>
      <c r="H24" s="6" t="n">
        <v>1</v>
      </c>
      <c r="I24" s="6" t="n">
        <v>0.8</v>
      </c>
      <c r="J24" s="6" t="n">
        <v>1</v>
      </c>
      <c r="K24" s="6" t="n">
        <v>0.0105</v>
      </c>
      <c r="P24">
        <f>MAX(P25)</f>
        <v/>
      </c>
      <c r="S24">
        <f>S25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(((E24/15000)+(F24/50)+(S24/240)+((P24/6000)*J24))*200/4+(((E24/15000)*(F24/50))+(((P24/6000)*J24)*(S24/240)))*200/2+((E24/15000)*(F24/50)*((P24/6000)*J24)*(S24/240))*200)*(H24/1.0)/3</f>
        <v/>
      </c>
      <c r="X24" s="6" t="n">
        <v>1450</v>
      </c>
      <c r="Y24">
        <f>IFERROR(W24-X24,"")</f>
        <v/>
      </c>
      <c r="Z24">
        <f>IFERROR(ABS(Y24)/MAX(X24,1),"")</f>
        <v/>
      </c>
      <c r="AA24">
        <f>IFERROR(ROUND(((3*X24-(((E24/15000)+(F24/50)+(S24/240))*200/4+((E24/15000)*(F24/50))*200/2)*(H24/1.0))/(200/4+((S24/240))*200/2+((E24/15000)*(F24/50)*(S24/240))*200)*(H24/1.0)*6000)/J24,-1),"")</f>
        <v/>
      </c>
    </row>
    <row r="25">
      <c r="B25" s="7" t="inlineStr">
        <is>
          <t xml:space="preserve">  ↳ CabalEliminatorGatling</t>
        </is>
      </c>
      <c r="C25" s="7" t="inlineStr">
        <is>
          <t>Armament@PRIMARY</t>
        </is>
      </c>
      <c r="L25" s="6" t="n">
        <v>4000</v>
      </c>
      <c r="M25" s="6" t="n">
        <v>5</v>
      </c>
      <c r="N25" s="6" t="n">
        <v>1</v>
      </c>
      <c r="O25" s="6" t="n"/>
      <c r="P25" s="6" t="n">
        <v>5857</v>
      </c>
      <c r="Q25" s="6" t="n">
        <v>1</v>
      </c>
      <c r="R25">
        <f>M25+IF(N25&gt;1,N(O25)*(N25-1),0)</f>
        <v/>
      </c>
      <c r="S25">
        <f>IFERROR(L25*MAX(N25,1)/R25*IF(ISBLANK(K24),1,K24),0)</f>
        <v/>
      </c>
      <c r="AB25" s="7" t="inlineStr">
        <is>
          <t>^Warhead_Bullet_Medium</t>
        </is>
      </c>
    </row>
    <row r="26">
      <c r="B26" s="7" t="inlineStr">
        <is>
          <t xml:space="preserve">  ↳ CabalEliminatorGatling</t>
        </is>
      </c>
      <c r="C26" s="7" t="inlineStr">
        <is>
          <t>Armament@GARRISONED</t>
        </is>
      </c>
      <c r="L26" s="6" t="n">
        <v>4000</v>
      </c>
      <c r="M26" s="6" t="n">
        <v>5</v>
      </c>
      <c r="N26" s="6" t="n">
        <v>1</v>
      </c>
      <c r="O26" s="6" t="n"/>
      <c r="P26" s="6" t="n">
        <v>5857</v>
      </c>
      <c r="Q26" s="6" t="n">
        <v>1</v>
      </c>
      <c r="R26">
        <f>M26+IF(N26&gt;1,N(O26)*(N26-1),0)</f>
        <v/>
      </c>
      <c r="S26">
        <f>IFERROR(L26*MAX(N26,1)/R26*IF(ISBLANK(K24),1,K24),0)</f>
        <v/>
      </c>
      <c r="AB26" s="7" t="inlineStr">
        <is>
          <t>^Warhead_Bullet_Medium</t>
        </is>
      </c>
    </row>
    <row r="27">
      <c r="A27" t="inlineStr">
        <is>
          <t>tiberiansun</t>
        </is>
      </c>
      <c r="B27" t="inlineStr">
        <is>
          <t>cabal_engineer</t>
        </is>
      </c>
      <c r="C27" t="inlineStr">
        <is>
          <t>CABAL Engineer</t>
        </is>
      </c>
      <c r="D27" s="6" t="inlineStr">
        <is>
          <t>Mechanic</t>
        </is>
      </c>
      <c r="E27" s="6" t="n">
        <v>20000</v>
      </c>
      <c r="F27" s="6" t="n">
        <v>40</v>
      </c>
      <c r="G27" t="inlineStr">
        <is>
          <t>None</t>
        </is>
      </c>
      <c r="H27" s="6" t="n">
        <v>1</v>
      </c>
      <c r="I27" s="6" t="n">
        <v>1</v>
      </c>
      <c r="J27" s="6" t="n">
        <v>1</v>
      </c>
      <c r="K27" s="6" t="n"/>
      <c r="P27">
        <f>MAX(P29)</f>
        <v/>
      </c>
      <c r="S27">
        <f>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(((E27/5000)+(F27/50)+(S27/0)+((P27/0)*J27))*500/4+(((E27/5000)*(F27/50))+(((P27/0)*J27)*(S27/0)))*500/2+((E27/5000)*(F27/50)*((P27/0)*J27)*(S27/0))*500)*(H27/1.0)/3</f>
        <v/>
      </c>
      <c r="X27" s="6" t="n">
        <v>800</v>
      </c>
      <c r="Y27">
        <f>IFERROR(W27-X27,"")</f>
        <v/>
      </c>
      <c r="Z27">
        <f>IFERROR(ABS(Y27)/MAX(X27,1),"")</f>
        <v/>
      </c>
      <c r="AA27">
        <f>IFERROR(ROUND(((3*X27-(((E27/5000)+(F27/50)+(S27/0))*500/4+((E27/5000)*(F27/50))*500/2)*(H27/1.0))/(500/4+((S27/0))*500/2+((E27/5000)*(F27/50)*(S27/0))*500)*(H27/1.0)*0)/J27,-1),"")</f>
        <v/>
      </c>
    </row>
    <row r="28">
      <c r="B28" s="7" t="inlineStr">
        <is>
          <t xml:space="preserve">  ↳ dummytargeting</t>
        </is>
      </c>
      <c r="C28" s="7" t="inlineStr">
        <is>
          <t>Armament@Dummy</t>
        </is>
      </c>
      <c r="L28" s="6" t="n"/>
      <c r="M28" s="6" t="n"/>
      <c r="N28" s="6" t="n">
        <v>1</v>
      </c>
      <c r="O28" s="6" t="n"/>
      <c r="P28" s="6" t="n">
        <v>10000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/>
    </row>
    <row r="29">
      <c r="B29" s="7" t="inlineStr">
        <is>
          <t xml:space="preserve">  ↳ CabalEngineerRepairBeam</t>
        </is>
      </c>
      <c r="C29" s="7" t="inlineStr">
        <is>
          <t>Armament@REPAIRBEAM</t>
        </is>
      </c>
      <c r="L29" s="6" t="n">
        <v>-2600</v>
      </c>
      <c r="M29" s="6" t="n">
        <v>31</v>
      </c>
      <c r="N29" s="6" t="n">
        <v>10</v>
      </c>
      <c r="O29" s="6" t="n">
        <v>1</v>
      </c>
      <c r="P29" s="6" t="n">
        <v>6128</v>
      </c>
      <c r="Q29" s="6" t="n">
        <v>1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^RepairWeapon</t>
        </is>
      </c>
    </row>
    <row r="30">
      <c r="A30" t="inlineStr">
        <is>
          <t>tiberiansun</t>
        </is>
      </c>
      <c r="B30" t="inlineStr">
        <is>
          <t>cabal_enlighted</t>
        </is>
      </c>
      <c r="C30" t="inlineStr">
        <is>
          <t>Enlighted</t>
        </is>
      </c>
      <c r="D30" s="6" t="inlineStr">
        <is>
          <t>HeavyInfantry</t>
        </is>
      </c>
      <c r="E30" s="6" t="n">
        <v>80000</v>
      </c>
      <c r="F30" s="6" t="n">
        <v>40</v>
      </c>
      <c r="G30" t="inlineStr">
        <is>
          <t>Flak</t>
        </is>
      </c>
      <c r="H30" s="6" t="n">
        <v>1</v>
      </c>
      <c r="I30" s="6" t="n">
        <v>1</v>
      </c>
      <c r="J30" s="6" t="n">
        <v>1</v>
      </c>
      <c r="K30" s="6" t="n"/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1600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TSCABALEnlightedLaser</t>
        </is>
      </c>
      <c r="C31" s="7" t="inlineStr">
        <is>
          <t>Armament@PRIMARY</t>
        </is>
      </c>
      <c r="L31" s="6" t="n">
        <v>280000</v>
      </c>
      <c r="M31" s="6" t="n">
        <v>25</v>
      </c>
      <c r="N31" s="6" t="n">
        <v>1</v>
      </c>
      <c r="O31" s="6" t="n"/>
      <c r="P31" s="6" t="n">
        <v>5120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^TankDestroyerCannon, ^LaserWeapon, ^MediumFlameWeapon, ^MediumChemicalWeapon, ^TSLaserEffect</t>
        </is>
      </c>
    </row>
    <row r="32">
      <c r="B32" s="7" t="inlineStr">
        <is>
          <t xml:space="preserve">  ↳ SuicideBomberTargeting</t>
        </is>
      </c>
      <c r="C32" s="7" t="inlineStr">
        <is>
          <t>Armament@Suicide</t>
        </is>
      </c>
      <c r="L32" s="6" t="n"/>
      <c r="M32" s="6" t="n"/>
      <c r="N32" s="6" t="n">
        <v>1</v>
      </c>
      <c r="O32" s="6" t="n"/>
      <c r="P32" s="6" t="n">
        <v>1536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DemoTruckTargeting</t>
        </is>
      </c>
    </row>
    <row r="33">
      <c r="B33" s="7" t="inlineStr">
        <is>
          <t xml:space="preserve">  ↳ TSCABALEnlightedLaser</t>
        </is>
      </c>
      <c r="C33" s="7" t="inlineStr">
        <is>
          <t>Armament@GARRISONED</t>
        </is>
      </c>
      <c r="L33" s="6" t="n">
        <v>280000</v>
      </c>
      <c r="M33" s="6" t="n">
        <v>25</v>
      </c>
      <c r="N33" s="6" t="n">
        <v>1</v>
      </c>
      <c r="O33" s="6" t="n"/>
      <c r="P33" s="6" t="n">
        <v>5120</v>
      </c>
      <c r="Q33" s="6" t="n">
        <v>1</v>
      </c>
      <c r="R33">
        <f>M33+IF(N33&gt;1,N(O33)*(N33-1),0)</f>
        <v/>
      </c>
      <c r="S33">
        <f>IFERROR(L33*MAX(N33,1)/R33*IF(ISBLANK(K30),1,K30),0)</f>
        <v/>
      </c>
      <c r="AB33" s="7" t="inlineStr">
        <is>
          <t>^TankDestroyerCannon, ^LaserWeapon, ^MediumFlameWeapon, ^MediumChemicalWeapon, ^TSLaserEffect</t>
        </is>
      </c>
    </row>
    <row r="34">
      <c r="A34" t="inlineStr">
        <is>
          <t>tiberiansun</t>
        </is>
      </c>
      <c r="B34" t="inlineStr">
        <is>
          <t>cabal_hackercyborg</t>
        </is>
      </c>
      <c r="C34" t="inlineStr">
        <is>
          <t>Hacker Cyborg</t>
        </is>
      </c>
      <c r="D34" s="6" t="inlineStr">
        <is>
          <t>HeavyInfantry</t>
        </is>
      </c>
      <c r="E34" s="6" t="n">
        <v>30000</v>
      </c>
      <c r="F34" s="6" t="n">
        <v>80</v>
      </c>
      <c r="G34" t="inlineStr">
        <is>
          <t>None</t>
        </is>
      </c>
      <c r="H34" s="6" t="n">
        <v>1</v>
      </c>
      <c r="I34" s="6" t="n">
        <v>1</v>
      </c>
      <c r="J34" s="6" t="n">
        <v>1</v>
      </c>
      <c r="K34" s="6" t="n"/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(((E34/5000)+(F34/50)+(S34/0)+((P34/0)*J34))*500/4+(((E34/5000)*(F34/50))+(((P34/0)*J34)*(S34/0)))*500/2+((E34/5000)*(F34/50)*((P34/0)*J34)*(S34/0))*500)*(H34/1.0)/3</f>
        <v/>
      </c>
      <c r="X34" s="6" t="n">
        <v>1250</v>
      </c>
      <c r="Y34">
        <f>IFERROR(W34-X34,"")</f>
        <v/>
      </c>
      <c r="Z34">
        <f>IFERROR(ABS(Y34)/MAX(X34,1),"")</f>
        <v/>
      </c>
      <c r="AA34">
        <f>IFERROR(ROUND(((3*X34-(((E34/5000)+(F34/50)+(S34/0))*500/4+((E34/5000)*(F34/50))*500/2)*(H34/1.0))/(500/4+((S34/0))*500/2+((E34/5000)*(F34/50)*(S34/0))*500)*(H34/1.0)*0)/J34,-1),"")</f>
        <v/>
      </c>
    </row>
    <row r="35">
      <c r="B35" s="7" t="inlineStr">
        <is>
          <t xml:space="preserve">  ↳ TSCABALCharge_EMP</t>
        </is>
      </c>
      <c r="C35" s="7" t="inlineStr">
        <is>
          <t>Armament@Anim</t>
        </is>
      </c>
      <c r="L35" s="6" t="n">
        <v>1</v>
      </c>
      <c r="M35" s="6" t="n">
        <v>6</v>
      </c>
      <c r="N35" s="6" t="n">
        <v>1</v>
      </c>
      <c r="O35" s="6" t="n"/>
      <c r="P35" s="6" t="n">
        <v>8000</v>
      </c>
      <c r="Q35" s="6" t="n">
        <v>1</v>
      </c>
      <c r="R35">
        <f>M35+IF(N35&gt;1,N(O35)*(N35-1),0)</f>
        <v/>
      </c>
      <c r="S35">
        <f>IFERROR(L35*MAX(N35,1)/R35*IF(ISBLANK(K34),1,K34),0)</f>
        <v/>
      </c>
      <c r="AB35" s="7" t="inlineStr"/>
    </row>
    <row r="36">
      <c r="B36" s="7" t="inlineStr">
        <is>
          <t xml:space="preserve">  ↳ TSCABALDisable_EMP</t>
        </is>
      </c>
      <c r="C36" s="7" t="inlineStr">
        <is>
          <t>Armament@End</t>
        </is>
      </c>
      <c r="L36" s="6" t="n">
        <v>2000</v>
      </c>
      <c r="M36" s="6" t="n">
        <v>8</v>
      </c>
      <c r="N36" s="6" t="n">
        <v>1</v>
      </c>
      <c r="O36" s="6" t="n"/>
      <c r="P36" s="6" t="n">
        <v>8000</v>
      </c>
      <c r="Q36" s="6" t="n">
        <v>1</v>
      </c>
      <c r="R36">
        <f>M36+IF(N36&gt;1,N(O36)*(N36-1),0)</f>
        <v/>
      </c>
      <c r="S36">
        <f>IFERROR(L36*MAX(N36,1)/R36*IF(ISBLANK(K34),1,K34),0)</f>
        <v/>
      </c>
      <c r="AB36" s="7" t="inlineStr">
        <is>
          <t>^Warhead_Tesla_Super</t>
        </is>
      </c>
    </row>
    <row r="37">
      <c r="B37" s="7" t="inlineStr">
        <is>
          <t xml:space="preserve">  ↳ TSRobotHackingControl</t>
        </is>
      </c>
      <c r="C37" s="7" t="inlineStr">
        <is>
          <t>Armament@GARRISONED</t>
        </is>
      </c>
      <c r="L37" s="6" t="n">
        <v>0</v>
      </c>
      <c r="M37" s="6" t="n">
        <v>50</v>
      </c>
      <c r="N37" s="6" t="n">
        <v>1</v>
      </c>
      <c r="O37" s="6" t="n"/>
      <c r="P37" s="6" t="n">
        <v>8000</v>
      </c>
      <c r="Q37" s="6" t="n">
        <v>1</v>
      </c>
      <c r="R37">
        <f>M37+IF(N37&gt;1,N(O37)*(N37-1),0)</f>
        <v/>
      </c>
      <c r="S37">
        <f>IFERROR(L37*MAX(N37,1)/R37*IF(ISBLANK(K34),1,K34),0)</f>
        <v/>
      </c>
      <c r="AB37" s="7" t="inlineStr"/>
    </row>
    <row r="38">
      <c r="A38" t="inlineStr">
        <is>
          <t>tiberiansun</t>
        </is>
      </c>
      <c r="B38" t="inlineStr">
        <is>
          <t>cabal_rocketcyborg</t>
        </is>
      </c>
      <c r="C38" t="inlineStr">
        <is>
          <t>Rocket Cyborg</t>
        </is>
      </c>
      <c r="D38" s="6" t="inlineStr">
        <is>
          <t>AntiTankAntiAirInfantry</t>
        </is>
      </c>
      <c r="E38" s="6" t="n">
        <v>45000</v>
      </c>
      <c r="F38" s="6" t="n">
        <v>40</v>
      </c>
      <c r="G38" t="inlineStr">
        <is>
          <t>Flak</t>
        </is>
      </c>
      <c r="H38" s="6" t="n">
        <v>1</v>
      </c>
      <c r="I38" s="6" t="n">
        <v>0.5</v>
      </c>
      <c r="J38" s="6" t="n">
        <v>1.25</v>
      </c>
      <c r="K38" s="6" t="n"/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650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CabalRocketCyborgRockets</t>
        </is>
      </c>
      <c r="C39" s="7" t="inlineStr">
        <is>
          <t>Armament@PRIMARY</t>
        </is>
      </c>
      <c r="L39" s="6" t="n">
        <v>12000</v>
      </c>
      <c r="M39" s="6" t="n">
        <v>52</v>
      </c>
      <c r="N39" s="6" t="n">
        <v>3</v>
      </c>
      <c r="O39" s="6" t="n">
        <v>8</v>
      </c>
      <c r="P39" s="6" t="n">
        <v>8753</v>
      </c>
      <c r="Q39" s="6" t="n">
        <v>0.875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^Warhead_MissileHE_Light, ^Warhead_MissileHE_Medium</t>
        </is>
      </c>
    </row>
    <row r="40">
      <c r="B40" s="7" t="inlineStr">
        <is>
          <t xml:space="preserve">  ↳ CabalRocketCyborgRocketsUpgraded</t>
        </is>
      </c>
      <c r="C40" s="7" t="inlineStr">
        <is>
          <t>Armament@Upgraded</t>
        </is>
      </c>
      <c r="L40" s="6" t="n">
        <v>12000</v>
      </c>
      <c r="M40" s="6" t="n">
        <v>52</v>
      </c>
      <c r="N40" s="6" t="n">
        <v>4</v>
      </c>
      <c r="O40" s="6" t="n">
        <v>8</v>
      </c>
      <c r="P40" s="6" t="n">
        <v>8753</v>
      </c>
      <c r="Q40" s="6" t="n">
        <v>0.875</v>
      </c>
      <c r="R40">
        <f>M40+IF(N40&gt;1,N(O40)*(N40-1),0)</f>
        <v/>
      </c>
      <c r="S40">
        <f>IFERROR(L40*MAX(N40,1)/R40*IF(ISBLANK(K38),1,K38),0)</f>
        <v/>
      </c>
      <c r="AB40" s="7" t="inlineStr">
        <is>
          <t>^Warhead_MissileHE_Light, ^Warhead_MissileHE_Medium</t>
        </is>
      </c>
    </row>
    <row r="41">
      <c r="B41" s="7" t="inlineStr">
        <is>
          <t xml:space="preserve">  ↳ CabalRocketCyborgRockets</t>
        </is>
      </c>
      <c r="C41" s="7" t="inlineStr">
        <is>
          <t>Armament@GARRISONED</t>
        </is>
      </c>
      <c r="L41" s="6" t="n">
        <v>12000</v>
      </c>
      <c r="M41" s="6" t="n">
        <v>52</v>
      </c>
      <c r="N41" s="6" t="n">
        <v>3</v>
      </c>
      <c r="O41" s="6" t="n">
        <v>8</v>
      </c>
      <c r="P41" s="6" t="n">
        <v>8753</v>
      </c>
      <c r="Q41" s="6" t="n">
        <v>0.875</v>
      </c>
      <c r="R41">
        <f>M41+IF(N41&gt;1,N(O41)*(N41-1),0)</f>
        <v/>
      </c>
      <c r="S41">
        <f>IFERROR(L41*MAX(N41,1)/R41*IF(ISBLANK(K38),1,K38),0)</f>
        <v/>
      </c>
      <c r="AB41" s="7" t="inlineStr">
        <is>
          <t>^Warhead_MissileHE_Light, ^Warhead_MissileHE_Medium</t>
        </is>
      </c>
    </row>
    <row r="42">
      <c r="A42" s="4" t="inlineStr">
        <is>
          <t>VEHICLES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>
      <c r="A43" t="inlineStr">
        <is>
          <t>tiberiansun</t>
        </is>
      </c>
      <c r="B43" t="inlineStr">
        <is>
          <t>cabal_artilleryspider</t>
        </is>
      </c>
      <c r="C43" t="inlineStr">
        <is>
          <t>Artillery Spider</t>
        </is>
      </c>
      <c r="D43" s="6" t="inlineStr">
        <is>
          <t>Artillery</t>
        </is>
      </c>
      <c r="E43" s="6" t="n">
        <v>50000</v>
      </c>
      <c r="F43" s="6" t="n">
        <v>70</v>
      </c>
      <c r="G43" t="inlineStr">
        <is>
          <t>Light</t>
        </is>
      </c>
      <c r="H43" s="6" t="n">
        <v>1</v>
      </c>
      <c r="I43" s="6" t="n">
        <v>0.5</v>
      </c>
      <c r="J43" s="6" t="n">
        <v>1.25</v>
      </c>
      <c r="K43" s="6" t="n"/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(((E43/60000)+(F43/75)+(S43/500)+((P43/15000)*J43))*500/4+(((E43/60000)*(F43/75))+(((P43/15000)*J43)*(S43/500)))*500/2+((E43/60000)*(F43/75)*((P43/15000)*J43)*(S43/500))*500)*(H43/1.0)/3</f>
        <v/>
      </c>
      <c r="X43" s="6" t="n">
        <v>1250</v>
      </c>
      <c r="Y43">
        <f>IFERROR(W43-X43,"")</f>
        <v/>
      </c>
      <c r="Z43">
        <f>IFERROR(ABS(Y43)/MAX(X43,1),"")</f>
        <v/>
      </c>
      <c r="AA43">
        <f>IFERROR(ROUND(((3*X43-(((E43/60000)+(F43/75)+(S43/500))*500/4+((E43/60000)*(F43/75))*500/2)*(H43/1.0))/(500/4+((S43/500))*500/2+((E43/60000)*(F43/75)*(S43/500))*500)*(H43/1.0)*15000)/J43,-1),"")</f>
        <v/>
      </c>
    </row>
    <row r="44">
      <c r="B44" s="7" t="inlineStr">
        <is>
          <t xml:space="preserve">  ↳ CabalArtilleryWalkerShell</t>
        </is>
      </c>
      <c r="C44" s="7" t="inlineStr">
        <is>
          <t>Armament@PRIMARY</t>
        </is>
      </c>
      <c r="L44" s="6" t="n">
        <v>168000</v>
      </c>
      <c r="M44" s="6" t="n">
        <v>64</v>
      </c>
      <c r="N44" s="6" t="n">
        <v>1</v>
      </c>
      <c r="O44" s="6" t="n"/>
      <c r="P44" s="6" t="n">
        <v>11580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^Grenade, ^ShrapnelWeapon, ^MediumCannon, ^HeavyCannon</t>
        </is>
      </c>
    </row>
    <row r="45">
      <c r="B45" s="7" t="inlineStr">
        <is>
          <t xml:space="preserve">  ↳ CabalArtilleryWalkerShellUpgraded</t>
        </is>
      </c>
      <c r="C45" s="7" t="inlineStr">
        <is>
          <t>Armament@Upgraded</t>
        </is>
      </c>
      <c r="L45" s="6" t="n">
        <v>336000</v>
      </c>
      <c r="M45" s="6" t="n">
        <v>64</v>
      </c>
      <c r="N45" s="6" t="n">
        <v>1</v>
      </c>
      <c r="O45" s="6" t="n"/>
      <c r="P45" s="6" t="n">
        <v>11580</v>
      </c>
      <c r="Q45" s="6" t="n">
        <v>1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^Grenade, ^ShrapnelWeapon, ^MediumCannon, ^HeavyCannon, ^MediumChemicalWeapon, ^TeslaChargedWeapon, ^MagicWeapon, ^RailgunWeapon</t>
        </is>
      </c>
    </row>
    <row r="46">
      <c r="A46" t="inlineStr">
        <is>
          <t>tiberiansun</t>
        </is>
      </c>
      <c r="B46" t="inlineStr">
        <is>
          <t>cabal_avatar</t>
        </is>
      </c>
      <c r="C46" t="inlineStr">
        <is>
          <t>Avatar</t>
        </is>
      </c>
      <c r="D46" s="6" t="inlineStr">
        <is>
          <t>HighTechTank</t>
        </is>
      </c>
      <c r="E46" s="6" t="n">
        <v>1000000</v>
      </c>
      <c r="F46" s="6" t="n">
        <v>25</v>
      </c>
      <c r="G46" t="inlineStr">
        <is>
          <t>Superheavy</t>
        </is>
      </c>
      <c r="H46" s="6" t="n">
        <v>0.75</v>
      </c>
      <c r="I46" s="6" t="n">
        <v>1</v>
      </c>
      <c r="J46" s="6" t="n">
        <v>1</v>
      </c>
      <c r="K46" s="6" t="n"/>
      <c r="P46">
        <f>MAX(P47,P48)</f>
        <v/>
      </c>
      <c r="S46">
        <f>S47+S48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(((E46/700000)+(F46/65)+(S46/2000)+((P46/6500)*J46))*2000/4+(((E46/700000)*(F46/65))+(((P46/6500)*J46)*(S46/2000)))*2000/2+((E46/700000)*(F46/65)*((P46/6500)*J46)*(S46/2000))*2000)*(H46/0.75)/3</f>
        <v/>
      </c>
      <c r="X46" s="6" t="n">
        <v>7500</v>
      </c>
      <c r="Y46">
        <f>IFERROR(W46-X46,"")</f>
        <v/>
      </c>
      <c r="Z46">
        <f>IFERROR(ABS(Y46)/MAX(X46,1),"")</f>
        <v/>
      </c>
      <c r="AA46">
        <f>IFERROR(ROUND(((3*X46-(((E46/700000)+(F46/65)+(S46/2000))*2000/4+((E46/700000)*(F46/65))*2000/2)*(H46/0.75))/(2000/4+((S46/2000))*2000/2+((E46/700000)*(F46/65)*(S46/2000))*2000)*(H46/0.75)*6500)/J46,-1),"")</f>
        <v/>
      </c>
    </row>
    <row r="47">
      <c r="B47" s="7" t="inlineStr">
        <is>
          <t xml:space="preserve">  ↳ CabalAvatarLaser</t>
        </is>
      </c>
      <c r="C47" s="7" t="inlineStr">
        <is>
          <t>Armament@PRIMARY</t>
        </is>
      </c>
      <c r="L47" s="6" t="n">
        <v>80000</v>
      </c>
      <c r="M47" s="6" t="n">
        <v>70</v>
      </c>
      <c r="N47" s="6" t="n">
        <v>1</v>
      </c>
      <c r="O47" s="6" t="n"/>
      <c r="P47" s="6" t="n">
        <v>6332</v>
      </c>
      <c r="Q47" s="6" t="n">
        <v>1.25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^Warhead_Laser_Heavy</t>
        </is>
      </c>
    </row>
    <row r="48">
      <c r="B48" s="7" t="inlineStr">
        <is>
          <t xml:space="preserve">  ↳ CabalAvatarLaser</t>
        </is>
      </c>
      <c r="C48" s="7" t="inlineStr">
        <is>
          <t>Armament@RIGHT</t>
        </is>
      </c>
      <c r="L48" s="6" t="n">
        <v>80000</v>
      </c>
      <c r="M48" s="6" t="n">
        <v>70</v>
      </c>
      <c r="N48" s="6" t="n">
        <v>1</v>
      </c>
      <c r="O48" s="6" t="n"/>
      <c r="P48" s="6" t="n">
        <v>6332</v>
      </c>
      <c r="Q48" s="6" t="n">
        <v>1.25</v>
      </c>
      <c r="R48">
        <f>M48+IF(N48&gt;1,N(O48)*(N48-1),0)</f>
        <v/>
      </c>
      <c r="S48">
        <f>IFERROR(L48*MAX(N48,1)/R48*IF(ISBLANK(K46),1,K46),0)</f>
        <v/>
      </c>
      <c r="AB48" s="7" t="inlineStr">
        <is>
          <t>^Warhead_Laser_Heavy</t>
        </is>
      </c>
    </row>
    <row r="49">
      <c r="A49" t="inlineStr">
        <is>
          <t>tiberiansun</t>
        </is>
      </c>
      <c r="B49" t="inlineStr">
        <is>
          <t>cabal_beholder</t>
        </is>
      </c>
      <c r="C49" t="inlineStr">
        <is>
          <t>Beholder</t>
        </is>
      </c>
      <c r="D49" s="6" t="inlineStr">
        <is>
          <t>LineBreaker</t>
        </is>
      </c>
      <c r="E49" s="6" t="n">
        <v>125000</v>
      </c>
      <c r="F49" s="6" t="n">
        <v>125</v>
      </c>
      <c r="G49" t="inlineStr">
        <is>
          <t>Superheavy</t>
        </is>
      </c>
      <c r="H49" s="6" t="n">
        <v>0.75</v>
      </c>
      <c r="I49" s="6" t="n">
        <v>0.8</v>
      </c>
      <c r="J49" s="6" t="n">
        <v>1.25</v>
      </c>
      <c r="K49" s="6" t="n"/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(((E49/750000)+(F49/80)+(S49/1600)+((P49/2500)*J49))*1600/4+(((E49/750000)*(F49/80))+(((P49/2500)*J49)*(S49/1600)))*1600/2+((E49/750000)*(F49/80)*((P49/2500)*J49)*(S49/1600))*1600)*(H49/1.0)/3</f>
        <v/>
      </c>
      <c r="X49" s="6" t="n">
        <v>2500</v>
      </c>
      <c r="Y49">
        <f>IFERROR(W49-X49,"")</f>
        <v/>
      </c>
      <c r="Z49">
        <f>IFERROR(ABS(Y49)/MAX(X49,1),"")</f>
        <v/>
      </c>
      <c r="AA49">
        <f>IFERROR(ROUND(((3*X49-(((E49/750000)+(F49/80)+(S49/1600))*1600/4+((E49/750000)*(F49/80))*1600/2)*(H49/1.0))/(1600/4+((S49/1600))*1600/2+((E49/750000)*(F49/80)*(S49/1600))*1600)*(H49/1.0)*2500)/J49,-1),"")</f>
        <v/>
      </c>
    </row>
    <row r="50">
      <c r="B50" s="7" t="inlineStr">
        <is>
          <t xml:space="preserve">  ↳ CabalBeholderLaser</t>
        </is>
      </c>
      <c r="C50" s="7" t="inlineStr">
        <is>
          <t>Armament@PRIMARY</t>
        </is>
      </c>
      <c r="L50" s="6" t="n">
        <v>40000</v>
      </c>
      <c r="M50" s="6" t="n">
        <v>50</v>
      </c>
      <c r="N50" s="6" t="n">
        <v>2</v>
      </c>
      <c r="O50" s="6" t="n">
        <v>5</v>
      </c>
      <c r="P50" s="6" t="n">
        <v>2500</v>
      </c>
      <c r="Q50" s="6" t="n">
        <v>1</v>
      </c>
      <c r="R50">
        <f>M50+IF(N50&gt;1,N(O50)*(N50-1),0)</f>
        <v/>
      </c>
      <c r="S50">
        <f>IFERROR(L50*MAX(N50,1)/R50*IF(ISBLANK(K49),1,K49),0)</f>
        <v/>
      </c>
      <c r="AB50" s="7" t="inlineStr">
        <is>
          <t>^HeavyCannon, ^TeslaWeapon, ^RailgunWeapon, ^LaserWeapon</t>
        </is>
      </c>
    </row>
    <row r="51">
      <c r="A51" t="inlineStr">
        <is>
          <t>tiberiansun</t>
        </is>
      </c>
      <c r="B51" t="inlineStr">
        <is>
          <t>cabal_berserker</t>
        </is>
      </c>
      <c r="C51" t="inlineStr">
        <is>
          <t>Berserker</t>
        </is>
      </c>
      <c r="D51" s="6" t="inlineStr">
        <is>
          <t>HeroInfantry</t>
        </is>
      </c>
      <c r="E51" s="6" t="n">
        <v>800000</v>
      </c>
      <c r="F51" s="6" t="n">
        <v>60</v>
      </c>
      <c r="G51" t="inlineStr">
        <is>
          <t>Heavy</t>
        </is>
      </c>
      <c r="H51" s="6" t="n">
        <v>0.5</v>
      </c>
      <c r="I51" s="6" t="n">
        <v>1</v>
      </c>
      <c r="J51" s="6" t="n">
        <v>1</v>
      </c>
      <c r="K51" s="6" t="n"/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10000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CabalBerserkerBlades</t>
        </is>
      </c>
      <c r="C52" s="7" t="inlineStr">
        <is>
          <t>Armament@PRIMARY</t>
        </is>
      </c>
      <c r="L52" s="6" t="n">
        <v>74000</v>
      </c>
      <c r="M52" s="6" t="n">
        <v>30</v>
      </c>
      <c r="N52" s="6" t="n">
        <v>3</v>
      </c>
      <c r="O52" s="6" t="n">
        <v>5</v>
      </c>
      <c r="P52" s="6" t="n">
        <v>2048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^Warhead_Melee_Medium</t>
        </is>
      </c>
    </row>
    <row r="53">
      <c r="A53" t="inlineStr">
        <is>
          <t>tiberiansun</t>
        </is>
      </c>
      <c r="B53" t="inlineStr">
        <is>
          <t>cabal_constructionyard</t>
        </is>
      </c>
      <c r="C53" t="inlineStr">
        <is>
          <t>Construction Yard (CABAL)</t>
        </is>
      </c>
      <c r="D53" s="6" t="inlineStr">
        <is>
          <t>SupportVehicle</t>
        </is>
      </c>
      <c r="E53" s="6" t="n">
        <v>1000000</v>
      </c>
      <c r="F53" s="6" t="n"/>
      <c r="G53" t="inlineStr">
        <is>
          <t>Wood</t>
        </is>
      </c>
      <c r="H53" s="6" t="n">
        <v>1</v>
      </c>
      <c r="I53" s="6" t="n">
        <v>1</v>
      </c>
      <c r="J53" s="6" t="n">
        <v>1</v>
      </c>
      <c r="K53" s="6" t="n"/>
      <c r="X53" s="6" t="n">
        <v>2500</v>
      </c>
    </row>
    <row r="54">
      <c r="A54" t="inlineStr">
        <is>
          <t>tiberiansun</t>
        </is>
      </c>
      <c r="B54" t="inlineStr">
        <is>
          <t>cabal_coredefender</t>
        </is>
      </c>
      <c r="C54" t="inlineStr">
        <is>
          <t>Core Defender</t>
        </is>
      </c>
      <c r="D54" s="6" t="inlineStr">
        <is>
          <t>EpicVehicle</t>
        </is>
      </c>
      <c r="E54" s="6" t="n">
        <v>2000000</v>
      </c>
      <c r="F54" s="6" t="n">
        <v>50</v>
      </c>
      <c r="G54" t="inlineStr">
        <is>
          <t>Superheavy</t>
        </is>
      </c>
      <c r="H54" s="6" t="n">
        <v>1</v>
      </c>
      <c r="I54" s="6" t="n">
        <v>0.3</v>
      </c>
      <c r="J54" s="6" t="n">
        <v>1</v>
      </c>
      <c r="K54" s="6" t="n"/>
      <c r="P54">
        <f>MAX(P55,P56)</f>
        <v/>
      </c>
      <c r="S54">
        <f>S55+S56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(((E54/4000000)+(F54/60)+(S54/20000)+((P54/8500)*J54))*10000/4+(((E54/4000000)*(F54/60))+(((P54/8500)*J54)*(S54/20000)))*10000/2+((E54/4000000)*(F54/60)*((P54/8500)*J54)*(S54/20000))*10000)*(H54/0.75)/3</f>
        <v/>
      </c>
      <c r="X54" s="6" t="n">
        <v>15000</v>
      </c>
      <c r="Y54">
        <f>IFERROR(W54-X54,"")</f>
        <v/>
      </c>
      <c r="Z54">
        <f>IFERROR(ABS(Y54)/MAX(X54,1),"")</f>
        <v/>
      </c>
      <c r="AA54">
        <f>IFERROR(ROUND(((3*X54-(((E54/4000000)+(F54/60)+(S54/20000))*10000/4+((E54/4000000)*(F54/60))*10000/2)*(H54/0.75))/(10000/4+((S54/20000))*10000/2+((E54/4000000)*(F54/60)*(S54/20000))*10000)*(H54/0.75)*8500)/J54,-1),"")</f>
        <v/>
      </c>
    </row>
    <row r="55">
      <c r="B55" s="7" t="inlineStr">
        <is>
          <t xml:space="preserve">  ↳ CabalCoreDefenderLaser</t>
        </is>
      </c>
      <c r="C55" s="7" t="inlineStr">
        <is>
          <t>Armament</t>
        </is>
      </c>
      <c r="L55" s="6" t="n">
        <v>160000</v>
      </c>
      <c r="M55" s="6" t="n">
        <v>70</v>
      </c>
      <c r="N55" s="6" t="n">
        <v>1</v>
      </c>
      <c r="O55" s="6" t="n"/>
      <c r="P55" s="6" t="n">
        <v>6332</v>
      </c>
      <c r="Q55" s="6" t="n">
        <v>1.25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^Warhead_Laser_Heavy</t>
        </is>
      </c>
    </row>
    <row r="56">
      <c r="B56" s="7" t="inlineStr">
        <is>
          <t xml:space="preserve">  ↳ CabalCoreDefenderLaser</t>
        </is>
      </c>
      <c r="C56" s="7" t="inlineStr">
        <is>
          <t>Armament@RIGHT</t>
        </is>
      </c>
      <c r="L56" s="6" t="n">
        <v>160000</v>
      </c>
      <c r="M56" s="6" t="n">
        <v>70</v>
      </c>
      <c r="N56" s="6" t="n">
        <v>1</v>
      </c>
      <c r="O56" s="6" t="n"/>
      <c r="P56" s="6" t="n">
        <v>6332</v>
      </c>
      <c r="Q56" s="6" t="n">
        <v>1.25</v>
      </c>
      <c r="R56">
        <f>M56+IF(N56&gt;1,N(O56)*(N56-1),0)</f>
        <v/>
      </c>
      <c r="S56">
        <f>IFERROR(L56*MAX(N56,1)/R56*IF(ISBLANK(K54),1,K54),0)</f>
        <v/>
      </c>
      <c r="AB56" s="7" t="inlineStr">
        <is>
          <t>^Warhead_Laser_Heavy</t>
        </is>
      </c>
    </row>
    <row r="57">
      <c r="A57" t="inlineStr">
        <is>
          <t>tiberiansun</t>
        </is>
      </c>
      <c r="B57" t="inlineStr">
        <is>
          <t>cabal_cyborgreaper</t>
        </is>
      </c>
      <c r="C57" t="inlineStr">
        <is>
          <t>Cyborg Reaper</t>
        </is>
      </c>
      <c r="D57" s="6" t="inlineStr">
        <is>
          <t>SupportVehicle</t>
        </is>
      </c>
      <c r="E57" s="6" t="n">
        <v>70000</v>
      </c>
      <c r="F57" s="6" t="n">
        <v>65</v>
      </c>
      <c r="G57" t="inlineStr">
        <is>
          <t>Medium</t>
        </is>
      </c>
      <c r="H57" s="6" t="n">
        <v>1</v>
      </c>
      <c r="I57" s="6" t="n">
        <v>1.25</v>
      </c>
      <c r="J57" s="6" t="n">
        <v>1</v>
      </c>
      <c r="K57" s="6" t="n"/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1100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CabalReaperMissiles</t>
        </is>
      </c>
      <c r="C58" s="7" t="inlineStr">
        <is>
          <t>Armament</t>
        </is>
      </c>
      <c r="L58" s="6" t="n">
        <v>32000</v>
      </c>
      <c r="M58" s="6" t="n">
        <v>24</v>
      </c>
      <c r="N58" s="6" t="n">
        <v>2</v>
      </c>
      <c r="O58" s="6" t="n">
        <v>12</v>
      </c>
      <c r="P58" s="6" t="n">
        <v>5785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^Warhead_MissileHE_Light, ^Warhead_MissileHE_Medium, ^Warhead_Demolition_Light, ^Warhead_Concussion_Medium</t>
        </is>
      </c>
    </row>
    <row r="59">
      <c r="B59" s="7" t="inlineStr">
        <is>
          <t xml:space="preserve">  ↳ CabalReaperMissiles_AA</t>
        </is>
      </c>
      <c r="C59" s="7" t="inlineStr">
        <is>
          <t>Armament@SECONDARY</t>
        </is>
      </c>
      <c r="L59" s="6" t="n">
        <v>32000</v>
      </c>
      <c r="M59" s="6" t="n">
        <v>24</v>
      </c>
      <c r="N59" s="6" t="n">
        <v>2</v>
      </c>
      <c r="O59" s="6" t="n">
        <v>12</v>
      </c>
      <c r="P59" s="6" t="n">
        <v>8680</v>
      </c>
      <c r="Q59" s="6" t="n">
        <v>1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^Warhead_MissileHE_Light, ^Warhead_MissileHE_Medium, ^Warhead_Demolition_Light, ^Warhead_Concussion_Medium</t>
        </is>
      </c>
    </row>
    <row r="60">
      <c r="B60" s="7" t="inlineStr">
        <is>
          <t xml:space="preserve">  ↳ CabalReaperTrapGround</t>
        </is>
      </c>
      <c r="C60" s="7" t="inlineStr">
        <is>
          <t>Armament@TRAPGROUND</t>
        </is>
      </c>
      <c r="L60" s="6" t="n"/>
      <c r="M60" s="6" t="n">
        <v>250</v>
      </c>
      <c r="N60" s="6" t="n">
        <v>1</v>
      </c>
      <c r="O60" s="6" t="n"/>
      <c r="P60" s="6" t="n">
        <v>5785</v>
      </c>
      <c r="Q60" s="6" t="n">
        <v>1</v>
      </c>
      <c r="R60">
        <f>M60+IF(N60&gt;1,N(O60)*(N60-1),0)</f>
        <v/>
      </c>
      <c r="S60">
        <f>IFERROR(L60*MAX(N60,1)/R60*IF(ISBLANK(K57),1,K57),0)</f>
        <v/>
      </c>
      <c r="AB60" s="7" t="inlineStr"/>
    </row>
    <row r="61">
      <c r="B61" s="7" t="inlineStr">
        <is>
          <t xml:space="preserve">  ↳ CabalReaperTrapAir</t>
        </is>
      </c>
      <c r="C61" s="7" t="inlineStr">
        <is>
          <t>Armament@TRAPAIR</t>
        </is>
      </c>
      <c r="L61" s="6" t="n"/>
      <c r="M61" s="6" t="n">
        <v>250</v>
      </c>
      <c r="N61" s="6" t="n">
        <v>1</v>
      </c>
      <c r="O61" s="6" t="n"/>
      <c r="P61" s="6" t="n">
        <v>8680</v>
      </c>
      <c r="Q61" s="6" t="n">
        <v>1</v>
      </c>
      <c r="R61">
        <f>M61+IF(N61&gt;1,N(O61)*(N61-1),0)</f>
        <v/>
      </c>
      <c r="S61">
        <f>IFERROR(L61*MAX(N61,1)/R61*IF(ISBLANK(K57),1,K57),0)</f>
        <v/>
      </c>
      <c r="AB61" s="7" t="inlineStr"/>
    </row>
    <row r="62">
      <c r="A62" t="inlineStr">
        <is>
          <t>tiberiansun</t>
        </is>
      </c>
      <c r="B62" t="inlineStr">
        <is>
          <t>cabal_heavyreaper</t>
        </is>
      </c>
      <c r="C62" t="inlineStr">
        <is>
          <t>Heavy Reaper</t>
        </is>
      </c>
      <c r="D62" s="6" t="inlineStr">
        <is>
          <t>SupportVehicle</t>
        </is>
      </c>
      <c r="E62" s="6" t="n">
        <v>75000</v>
      </c>
      <c r="F62" s="6" t="n">
        <v>65</v>
      </c>
      <c r="G62" t="inlineStr">
        <is>
          <t>Medium</t>
        </is>
      </c>
      <c r="H62" s="6" t="n">
        <v>1</v>
      </c>
      <c r="I62" s="6" t="n">
        <v>1.25</v>
      </c>
      <c r="J62" s="6" t="n">
        <v>1.5</v>
      </c>
      <c r="K62" s="6" t="n"/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1650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CabalHeavyReaperMissiles</t>
        </is>
      </c>
      <c r="C63" s="7" t="inlineStr">
        <is>
          <t>Armament</t>
        </is>
      </c>
      <c r="L63" s="6" t="n">
        <v>48000</v>
      </c>
      <c r="M63" s="6" t="n">
        <v>30</v>
      </c>
      <c r="N63" s="6" t="n">
        <v>2</v>
      </c>
      <c r="O63" s="6" t="n">
        <v>12</v>
      </c>
      <c r="P63" s="6" t="n">
        <v>6085</v>
      </c>
      <c r="Q63" s="6" t="n">
        <v>1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^Warhead_MissileHE_Medium, ^Warhead_MissileHE_Heavy, ^Warhead_Demolition_Light, ^Warhead_Concussion_Medium</t>
        </is>
      </c>
    </row>
    <row r="64">
      <c r="B64" s="7" t="inlineStr">
        <is>
          <t xml:space="preserve">  ↳ CabalHeavyReaperMissiles_AA</t>
        </is>
      </c>
      <c r="C64" s="7" t="inlineStr">
        <is>
          <t>Armament@SECONDARY</t>
        </is>
      </c>
      <c r="L64" s="6" t="n">
        <v>48000</v>
      </c>
      <c r="M64" s="6" t="n">
        <v>30</v>
      </c>
      <c r="N64" s="6" t="n">
        <v>2</v>
      </c>
      <c r="O64" s="6" t="n">
        <v>12</v>
      </c>
      <c r="P64" s="6" t="n">
        <v>9130</v>
      </c>
      <c r="Q64" s="6" t="n">
        <v>1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^Warhead_MissileHE_Medium, ^Warhead_MissileHE_Heavy, ^Warhead_Demolition_Light, ^Warhead_Concussion_Medium</t>
        </is>
      </c>
    </row>
    <row r="65">
      <c r="B65" s="7" t="inlineStr">
        <is>
          <t xml:space="preserve">  ↳ CabalHeavyReaperTrap</t>
        </is>
      </c>
      <c r="C65" s="7" t="inlineStr">
        <is>
          <t>Armament@TRAP</t>
        </is>
      </c>
      <c r="L65" s="6" t="n"/>
      <c r="M65" s="6" t="n">
        <v>250</v>
      </c>
      <c r="N65" s="6" t="n">
        <v>1</v>
      </c>
      <c r="O65" s="6" t="n"/>
      <c r="P65" s="6" t="n">
        <v>6085</v>
      </c>
      <c r="Q65" s="6" t="n">
        <v>1</v>
      </c>
      <c r="R65">
        <f>M65+IF(N65&gt;1,N(O65)*(N65-1),0)</f>
        <v/>
      </c>
      <c r="S65">
        <f>IFERROR(L65*MAX(N65,1)/R65*IF(ISBLANK(K62),1,K62),0)</f>
        <v/>
      </c>
      <c r="AB65" s="7" t="inlineStr"/>
    </row>
    <row r="66">
      <c r="A66" t="inlineStr">
        <is>
          <t>tiberiansun</t>
        </is>
      </c>
      <c r="B66" t="inlineStr">
        <is>
          <t>cabal_laserspider</t>
        </is>
      </c>
      <c r="C66" t="inlineStr">
        <is>
          <t>Laser Spider</t>
        </is>
      </c>
      <c r="D66" s="6" t="inlineStr">
        <is>
          <t>FireSupport</t>
        </is>
      </c>
      <c r="E66" s="6" t="n">
        <v>40000</v>
      </c>
      <c r="F66" s="6" t="n">
        <v>70</v>
      </c>
      <c r="G66" t="inlineStr">
        <is>
          <t>Light</t>
        </is>
      </c>
      <c r="H66" s="6" t="n">
        <v>1</v>
      </c>
      <c r="I66" s="6" t="n">
        <v>1</v>
      </c>
      <c r="J66" s="6" t="n">
        <v>1</v>
      </c>
      <c r="K66" s="6" t="n"/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(((E66/120000)+(F66/90)+(S66/2100)+((P66/10000)*J66))*1400/4+(((E66/120000)*(F66/90))+(((P66/10000)*J66)*(S66/2100)))*1400/2+((E66/120000)*(F66/90)*((P66/10000)*J66)*(S66/2100))*1400)*(H66/0.6735)/3</f>
        <v/>
      </c>
      <c r="X66" s="6" t="n">
        <v>1200</v>
      </c>
      <c r="Y66">
        <f>IFERROR(W66-X66,"")</f>
        <v/>
      </c>
      <c r="Z66">
        <f>IFERROR(ABS(Y66)/MAX(X66,1),"")</f>
        <v/>
      </c>
      <c r="AA66">
        <f>IFERROR(ROUND(((3*X66-(((E66/120000)+(F66/90)+(S66/2100))*1400/4+((E66/120000)*(F66/90))*1400/2)*(H66/0.6735))/(1400/4+((S66/2100))*1400/2+((E66/120000)*(F66/90)*(S66/2100))*1400)*(H66/0.6735)*10000)/J66,-1),"")</f>
        <v/>
      </c>
    </row>
    <row r="67">
      <c r="B67" s="7" t="inlineStr">
        <is>
          <t xml:space="preserve">  ↳ CabalSpiderLaser</t>
        </is>
      </c>
      <c r="C67" s="7" t="inlineStr">
        <is>
          <t>Armament@PRIMARY</t>
        </is>
      </c>
      <c r="L67" s="6" t="n">
        <v>44000</v>
      </c>
      <c r="M67" s="6" t="n">
        <v>90</v>
      </c>
      <c r="N67" s="6" t="n">
        <v>1</v>
      </c>
      <c r="O67" s="6" t="n"/>
      <c r="P67" s="6" t="n">
        <v>6147</v>
      </c>
      <c r="Q67" s="6" t="n">
        <v>1.25</v>
      </c>
      <c r="R67">
        <f>M67+IF(N67&gt;1,N(O67)*(N67-1),0)</f>
        <v/>
      </c>
      <c r="S67">
        <f>IFERROR(L67*MAX(N67,1)/R67*IF(ISBLANK(K66),1,K66),0)</f>
        <v/>
      </c>
      <c r="AB67" s="7" t="inlineStr">
        <is>
          <t>^Warhead_Laser_Heavy</t>
        </is>
      </c>
    </row>
    <row r="68">
      <c r="A68" t="inlineStr">
        <is>
          <t>tiberiansun</t>
        </is>
      </c>
      <c r="B68" t="inlineStr">
        <is>
          <t>cabal_manticore</t>
        </is>
      </c>
      <c r="C68" t="inlineStr">
        <is>
          <t>Manticore</t>
        </is>
      </c>
      <c r="D68" s="6" t="inlineStr">
        <is>
          <t>SupportVehicle</t>
        </is>
      </c>
      <c r="E68" s="6" t="n">
        <v>100000</v>
      </c>
      <c r="F68" s="6" t="n">
        <v>65</v>
      </c>
      <c r="G68" t="inlineStr">
        <is>
          <t>Light</t>
        </is>
      </c>
      <c r="H68" s="6" t="n">
        <v>0.75</v>
      </c>
      <c r="I68" s="6" t="n">
        <v>1.25</v>
      </c>
      <c r="J68" s="6" t="n">
        <v>1</v>
      </c>
      <c r="K68" s="6" t="n"/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1400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CabalManticoreLaser</t>
        </is>
      </c>
      <c r="C69" s="7" t="inlineStr">
        <is>
          <t>Armament@PRIMARY</t>
        </is>
      </c>
      <c r="L69" s="6" t="n">
        <v>10000</v>
      </c>
      <c r="M69" s="6" t="n">
        <v>30</v>
      </c>
      <c r="N69" s="6" t="n">
        <v>2</v>
      </c>
      <c r="O69" s="6" t="n">
        <v>3</v>
      </c>
      <c r="P69" s="6" t="n">
        <v>5358</v>
      </c>
      <c r="Q69" s="6" t="n">
        <v>1.25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^Warhead_Laser_Heavy</t>
        </is>
      </c>
    </row>
    <row r="70">
      <c r="B70" s="7" t="inlineStr">
        <is>
          <t xml:space="preserve">  ↳ CabalManticoreMissilesAA</t>
        </is>
      </c>
      <c r="C70" s="7" t="inlineStr">
        <is>
          <t>Armament@SECONDARY</t>
        </is>
      </c>
      <c r="L70" s="6" t="n">
        <v>48000</v>
      </c>
      <c r="M70" s="6" t="n">
        <v>30</v>
      </c>
      <c r="N70" s="6" t="n">
        <v>2</v>
      </c>
      <c r="O70" s="6" t="n">
        <v>3</v>
      </c>
      <c r="P70" s="6" t="n">
        <v>5358</v>
      </c>
      <c r="Q70" s="6" t="n">
        <v>1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^Warhead_MissileHE_Light, ^Warhead_MissileHE_Medium, ^Warhead_Demolition_Light, ^Warhead_Concussion_Medium</t>
        </is>
      </c>
    </row>
    <row r="71">
      <c r="A71" t="inlineStr">
        <is>
          <t>tiberiansun</t>
        </is>
      </c>
      <c r="B71" t="inlineStr">
        <is>
          <t>cabal_mantis</t>
        </is>
      </c>
      <c r="C71" t="inlineStr">
        <is>
          <t>Mantis</t>
        </is>
      </c>
      <c r="D71" s="6" t="inlineStr">
        <is>
          <t>FireSupport</t>
        </is>
      </c>
      <c r="E71" s="6" t="n">
        <v>35000</v>
      </c>
      <c r="F71" s="6" t="n">
        <v>120</v>
      </c>
      <c r="G71" t="inlineStr">
        <is>
          <t>Light</t>
        </is>
      </c>
      <c r="H71" s="6" t="n">
        <v>1</v>
      </c>
      <c r="I71" s="6" t="n">
        <v>1</v>
      </c>
      <c r="J71" s="6" t="n">
        <v>1</v>
      </c>
      <c r="K71" s="6" t="n"/>
      <c r="P71">
        <f>MAX(P72)</f>
        <v/>
      </c>
      <c r="S71">
        <f>S72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(((E71/120000)+(F71/90)+(S71/2100)+((P71/10000)*J71))*1400/4+(((E71/120000)*(F71/90))+(((P71/10000)*J71)*(S71/2100)))*1400/2+((E71/120000)*(F71/90)*((P71/10000)*J71)*(S71/2100))*1400)*(H71/0.6735)/3</f>
        <v/>
      </c>
      <c r="X71" s="6" t="n">
        <v>500</v>
      </c>
      <c r="Y71">
        <f>IFERROR(W71-X71,"")</f>
        <v/>
      </c>
      <c r="Z71">
        <f>IFERROR(ABS(Y71)/MAX(X71,1),"")</f>
        <v/>
      </c>
      <c r="AA71">
        <f>IFERROR(ROUND(((3*X71-(((E71/120000)+(F71/90)+(S71/2100))*1400/4+((E71/120000)*(F71/90))*1400/2)*(H71/0.6735))/(1400/4+((S71/2100))*1400/2+((E71/120000)*(F71/90)*(S71/2100))*1400)*(H71/0.6735)*10000)/J71,-1),"")</f>
        <v/>
      </c>
    </row>
    <row r="72">
      <c r="B72" s="7" t="inlineStr">
        <is>
          <t xml:space="preserve">  ↳ CabalMantisGun</t>
        </is>
      </c>
      <c r="C72" s="7" t="inlineStr">
        <is>
          <t>Armament@PRIMARY</t>
        </is>
      </c>
      <c r="L72" s="6" t="n">
        <v>12000</v>
      </c>
      <c r="M72" s="6" t="n">
        <v>40</v>
      </c>
      <c r="N72" s="6" t="n">
        <v>1</v>
      </c>
      <c r="O72" s="6" t="n"/>
      <c r="P72" s="6" t="n">
        <v>7082</v>
      </c>
      <c r="Q72" s="6" t="n">
        <v>1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^Warhead_Bullet_Light, ^Warhead_Laser_Heavy</t>
        </is>
      </c>
    </row>
    <row r="73">
      <c r="A73" t="inlineStr">
        <is>
          <t>tiberiansun</t>
        </is>
      </c>
      <c r="B73" t="inlineStr">
        <is>
          <t>cabal_mobileconstructionvehicle</t>
        </is>
      </c>
      <c r="C73" t="inlineStr">
        <is>
          <t>CABAL Mobile Construction Vehicle</t>
        </is>
      </c>
      <c r="D73" s="6" t="inlineStr">
        <is>
          <t>SupportVehicle</t>
        </is>
      </c>
      <c r="E73" s="6" t="n">
        <v>300000</v>
      </c>
      <c r="F73" s="6" t="n">
        <v>75</v>
      </c>
      <c r="G73" t="inlineStr">
        <is>
          <t>Medium</t>
        </is>
      </c>
      <c r="H73" s="6" t="n">
        <v>1</v>
      </c>
      <c r="I73" s="6" t="n">
        <v>1</v>
      </c>
      <c r="J73" s="6" t="n">
        <v>1</v>
      </c>
      <c r="K73" s="6" t="n"/>
      <c r="X73" s="6" t="n">
        <v>5000</v>
      </c>
    </row>
    <row r="74">
      <c r="A74" t="inlineStr">
        <is>
          <t>tiberiansun</t>
        </is>
      </c>
      <c r="B74" t="inlineStr">
        <is>
          <t>cabal_ravager</t>
        </is>
      </c>
      <c r="C74" t="inlineStr">
        <is>
          <t>Ravager</t>
        </is>
      </c>
      <c r="D74" s="6" t="inlineStr">
        <is>
          <t>LightTank</t>
        </is>
      </c>
      <c r="E74" s="6" t="n">
        <v>70000</v>
      </c>
      <c r="F74" s="6" t="n">
        <v>130</v>
      </c>
      <c r="G74" t="inlineStr">
        <is>
          <t>Plate</t>
        </is>
      </c>
      <c r="H74" s="6" t="n">
        <v>1</v>
      </c>
      <c r="I74" s="6" t="n">
        <v>0.8</v>
      </c>
      <c r="J74" s="6" t="n">
        <v>1</v>
      </c>
      <c r="K74" s="6" t="n"/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(((E74/100000)+(F74/125)+(S74/200)+((P74/5000)*J74))*400/4+(((E74/100000)*(F74/125))+(((P74/5000)*J74)*(S74/200)))*400/2+((E74/100000)*(F74/125)*((P74/5000)*J74)*(S74/200))*400)*(H74/1.0)/3</f>
        <v/>
      </c>
      <c r="X74" s="6" t="n">
        <v>1500</v>
      </c>
      <c r="Y74">
        <f>IFERROR(W74-X74,"")</f>
        <v/>
      </c>
      <c r="Z74">
        <f>IFERROR(ABS(Y74)/MAX(X74,1),"")</f>
        <v/>
      </c>
      <c r="AA74">
        <f>IFERROR(ROUND(((3*X74-(((E74/100000)+(F74/125)+(S74/200))*400/4+((E74/100000)*(F74/125))*400/2)*(H74/1.0))/(400/4+((S74/200))*400/2+((E74/100000)*(F74/125)*(S74/200))*400)*(H74/1.0)*5000)/J74,-1),"")</f>
        <v/>
      </c>
    </row>
    <row r="75">
      <c r="B75" s="7" t="inlineStr">
        <is>
          <t xml:space="preserve">  ↳ CabalRavagerPlasma</t>
        </is>
      </c>
      <c r="C75" s="7" t="inlineStr">
        <is>
          <t>Armament@PRIMARY</t>
        </is>
      </c>
      <c r="L75" s="6" t="n">
        <v>32000</v>
      </c>
      <c r="M75" s="6" t="n">
        <v>30</v>
      </c>
      <c r="N75" s="6" t="n">
        <v>1</v>
      </c>
      <c r="O75" s="6" t="n"/>
      <c r="P75" s="6" t="n">
        <v>3000</v>
      </c>
      <c r="Q75" s="6" t="n">
        <v>1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^Warhead_Chemical_Medium</t>
        </is>
      </c>
    </row>
    <row r="76">
      <c r="B76" s="7" t="inlineStr">
        <is>
          <t xml:space="preserve">  ↳ CabalRavagerPlasmaNeutron</t>
        </is>
      </c>
      <c r="C76" s="7" t="inlineStr">
        <is>
          <t>Armament@Upgraded</t>
        </is>
      </c>
      <c r="L76" s="6" t="n">
        <v>32000</v>
      </c>
      <c r="M76" s="6" t="n">
        <v>30</v>
      </c>
      <c r="N76" s="6" t="n">
        <v>1</v>
      </c>
      <c r="O76" s="6" t="n"/>
      <c r="P76" s="6" t="n">
        <v>3000</v>
      </c>
      <c r="Q76" s="6" t="n">
        <v>1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^Warhead_Chemical_Medium</t>
        </is>
      </c>
    </row>
    <row r="77">
      <c r="A77" t="inlineStr">
        <is>
          <t>tiberiansun</t>
        </is>
      </c>
      <c r="B77" t="inlineStr">
        <is>
          <t>cabal_scarabapc</t>
        </is>
      </c>
      <c r="C77" t="inlineStr">
        <is>
          <t>Scarab APC</t>
        </is>
      </c>
      <c r="D77" s="6" t="inlineStr">
        <is>
          <t>SupportVehicle</t>
        </is>
      </c>
      <c r="E77" s="6" t="n">
        <v>30000</v>
      </c>
      <c r="F77" s="6" t="n">
        <v>75</v>
      </c>
      <c r="G77" t="inlineStr">
        <is>
          <t>Heavy</t>
        </is>
      </c>
      <c r="H77" s="6" t="n">
        <v>1</v>
      </c>
      <c r="I77" s="6" t="n">
        <v>1</v>
      </c>
      <c r="J77" s="6" t="n">
        <v>1</v>
      </c>
      <c r="K77" s="6" t="n"/>
      <c r="X77" s="6" t="n">
        <v>4775</v>
      </c>
    </row>
    <row r="78">
      <c r="A78" t="inlineStr">
        <is>
          <t>tiberiansun</t>
        </is>
      </c>
      <c r="B78" t="inlineStr">
        <is>
          <t>cabal_spidercnc4</t>
        </is>
      </c>
      <c r="C78" t="inlineStr">
        <is>
          <t>Spider CNC4</t>
        </is>
      </c>
      <c r="D78" s="6" t="inlineStr">
        <is>
          <t>FireSupport</t>
        </is>
      </c>
      <c r="E78" s="6" t="n">
        <v>40000</v>
      </c>
      <c r="F78" s="6" t="n">
        <v>70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K78" s="6" t="n"/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(((E78/120000)+(F78/90)+(S78/2100)+((P78/10000)*J78))*1400/4+(((E78/120000)*(F78/90))+(((P78/10000)*J78)*(S78/2100)))*1400/2+((E78/120000)*(F78/90)*((P78/10000)*J78)*(S78/2100))*1400)*(H78/0.6735)/3</f>
        <v/>
      </c>
      <c r="X78" s="6" t="n">
        <v>1500</v>
      </c>
      <c r="Y78">
        <f>IFERROR(W78-X78,"")</f>
        <v/>
      </c>
      <c r="Z78">
        <f>IFERROR(ABS(Y78)/MAX(X78,1),"")</f>
        <v/>
      </c>
      <c r="AA78">
        <f>IFERROR(ROUND(((3*X78-(((E78/120000)+(F78/90)+(S78/2100))*1400/4+((E78/120000)*(F78/90))*1400/2)*(H78/0.6735))/(1400/4+((S78/2100))*1400/2+((E78/120000)*(F78/90)*(S78/2100))*1400)*(H78/0.6735)*10000)/J78,-1),"")</f>
        <v/>
      </c>
    </row>
    <row r="79">
      <c r="B79" s="7" t="inlineStr">
        <is>
          <t xml:space="preserve">  ↳ CabalSpiderCnc4Laser</t>
        </is>
      </c>
      <c r="C79" s="7" t="inlineStr">
        <is>
          <t>Armament@PRIMARY</t>
        </is>
      </c>
      <c r="L79" s="6" t="n">
        <v>44000</v>
      </c>
      <c r="M79" s="6" t="n">
        <v>80</v>
      </c>
      <c r="N79" s="6" t="n">
        <v>1</v>
      </c>
      <c r="O79" s="6" t="n"/>
      <c r="P79" s="6" t="n">
        <v>7000</v>
      </c>
      <c r="Q79" s="6" t="n">
        <v>1.25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^Warhead_Laser_Heavy</t>
        </is>
      </c>
    </row>
    <row r="80">
      <c r="A80" t="inlineStr">
        <is>
          <t>tiberiansun</t>
        </is>
      </c>
      <c r="B80" t="inlineStr">
        <is>
          <t>cabal_tarantula</t>
        </is>
      </c>
      <c r="C80" t="inlineStr">
        <is>
          <t>Tarantula</t>
        </is>
      </c>
      <c r="D80" s="6" t="inlineStr">
        <is>
          <t>MainBattleTank</t>
        </is>
      </c>
      <c r="E80" s="6" t="n">
        <v>110000</v>
      </c>
      <c r="F80" s="6" t="n">
        <v>70</v>
      </c>
      <c r="G80" t="inlineStr">
        <is>
          <t>Heavy</t>
        </is>
      </c>
      <c r="H80" s="6" t="n">
        <v>1</v>
      </c>
      <c r="I80" s="6" t="n">
        <v>1</v>
      </c>
      <c r="J80" s="6" t="n">
        <v>1</v>
      </c>
      <c r="K80" s="6" t="n"/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(((E80/240000)+(F80/95)+(S80/600)+((P80/5500)*J80))*800/4+(((E80/240000)*(F80/95))+(((P80/5500)*J80)*(S80/600)))*800/2+((E80/240000)*(F80/95)*((P80/5500)*J80)*(S80/600))*800)*(H80/1.0)/3</f>
        <v/>
      </c>
      <c r="X80" s="6" t="n">
        <v>1000</v>
      </c>
      <c r="Y80">
        <f>IFERROR(W80-X80,"")</f>
        <v/>
      </c>
      <c r="Z80">
        <f>IFERROR(ABS(Y80)/MAX(X80,1),"")</f>
        <v/>
      </c>
      <c r="AA80">
        <f>IFERROR(ROUND(((3*X80-(((E80/240000)+(F80/95)+(S80/600))*800/4+((E80/240000)*(F80/95))*800/2)*(H80/1.0))/(800/4+((S80/600))*800/2+((E80/240000)*(F80/95)*(S80/600))*800)*(H80/1.0)*5500)/J80,-1),"")</f>
        <v/>
      </c>
    </row>
    <row r="81">
      <c r="B81" s="7" t="inlineStr">
        <is>
          <t xml:space="preserve">  ↳ CabalTarantulaCannon</t>
        </is>
      </c>
      <c r="C81" s="7" t="inlineStr">
        <is>
          <t>Armament@PRIMARY</t>
        </is>
      </c>
      <c r="L81" s="6" t="n">
        <v>16000</v>
      </c>
      <c r="M81" s="6" t="n">
        <v>48</v>
      </c>
      <c r="N81" s="6" t="n">
        <v>1</v>
      </c>
      <c r="O81" s="6" t="n"/>
      <c r="P81" s="6" t="n">
        <v>5278</v>
      </c>
      <c r="Q81" s="6" t="n">
        <v>1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^Warhead_CannonHE_Medium</t>
        </is>
      </c>
    </row>
    <row r="82">
      <c r="B82" s="7" t="inlineStr">
        <is>
          <t xml:space="preserve">  ↳ TS120mm_bluenuke</t>
        </is>
      </c>
      <c r="C82" s="7" t="inlineStr">
        <is>
          <t>Armament@Upgraded</t>
        </is>
      </c>
      <c r="L82" s="6" t="n">
        <v>24000</v>
      </c>
      <c r="M82" s="6" t="n">
        <v>44</v>
      </c>
      <c r="N82" s="6" t="n">
        <v>1</v>
      </c>
      <c r="O82" s="6" t="n"/>
      <c r="P82" s="6" t="n">
        <v>6201</v>
      </c>
      <c r="Q82" s="6" t="n">
        <v>1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^Warhead_CannonHE_Medium</t>
        </is>
      </c>
    </row>
    <row r="83">
      <c r="A83" t="inlineStr">
        <is>
          <t>tiberiansun</t>
        </is>
      </c>
      <c r="B83" t="inlineStr">
        <is>
          <t>cabal_tiberiumharvester</t>
        </is>
      </c>
      <c r="C83" t="inlineStr">
        <is>
          <t>Tiberium Harvester</t>
        </is>
      </c>
      <c r="D83" s="6" t="inlineStr">
        <is>
          <t>Harvester</t>
        </is>
      </c>
      <c r="E83" s="6" t="n">
        <v>150000</v>
      </c>
      <c r="F83" s="6" t="n">
        <v>60</v>
      </c>
      <c r="G83" t="inlineStr">
        <is>
          <t>Heavy</t>
        </is>
      </c>
      <c r="H83" s="6" t="n">
        <v>1</v>
      </c>
      <c r="I83" s="6" t="n">
        <v>1</v>
      </c>
      <c r="J83" s="6" t="n">
        <v>1</v>
      </c>
      <c r="K83" s="6" t="n"/>
      <c r="X83" s="6" t="n">
        <v>1000</v>
      </c>
    </row>
    <row r="84">
      <c r="A84" t="inlineStr">
        <is>
          <t>tiberiansun</t>
        </is>
      </c>
      <c r="B84" t="inlineStr">
        <is>
          <t>cabal_widow</t>
        </is>
      </c>
      <c r="C84" t="inlineStr">
        <is>
          <t>Widow</t>
        </is>
      </c>
      <c r="D84" s="6" t="inlineStr">
        <is>
          <t>MainBattleTank</t>
        </is>
      </c>
      <c r="E84" s="6" t="n">
        <v>120000</v>
      </c>
      <c r="F84" s="6" t="n">
        <v>60</v>
      </c>
      <c r="G84" t="inlineStr">
        <is>
          <t>Heavy</t>
        </is>
      </c>
      <c r="H84" s="6" t="n">
        <v>1</v>
      </c>
      <c r="I84" s="6" t="n">
        <v>1</v>
      </c>
      <c r="J84" s="6" t="n">
        <v>1</v>
      </c>
      <c r="K84" s="6" t="n"/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(((E84/240000)+(F84/95)+(S84/600)+((P84/5500)*J84))*800/4+(((E84/240000)*(F84/95))+(((P84/5500)*J84)*(S84/600)))*800/2+((E84/240000)*(F84/95)*((P84/5500)*J84)*(S84/600))*800)*(H84/1.0)/3</f>
        <v/>
      </c>
      <c r="X84" s="6" t="n">
        <v>3500</v>
      </c>
      <c r="Y84">
        <f>IFERROR(W84-X84,"")</f>
        <v/>
      </c>
      <c r="Z84">
        <f>IFERROR(ABS(Y84)/MAX(X84,1),"")</f>
        <v/>
      </c>
      <c r="AA84">
        <f>IFERROR(ROUND(((3*X84-(((E84/240000)+(F84/95)+(S84/600))*800/4+((E84/240000)*(F84/95))*800/2)*(H84/1.0))/(800/4+((S84/600))*800/2+((E84/240000)*(F84/95)*(S84/600))*800)*(H84/1.0)*5500)/J84,-1),"")</f>
        <v/>
      </c>
    </row>
    <row r="85">
      <c r="B85" s="7" t="inlineStr">
        <is>
          <t xml:space="preserve">  ↳ CabalLegionGun</t>
        </is>
      </c>
      <c r="C85" s="7" t="inlineStr">
        <is>
          <t>Armament@PRIMARY</t>
        </is>
      </c>
      <c r="L85" s="6" t="n">
        <v>120000</v>
      </c>
      <c r="M85" s="6" t="n">
        <v>40</v>
      </c>
      <c r="N85" s="6" t="n">
        <v>1</v>
      </c>
      <c r="O85" s="6" t="n"/>
      <c r="P85" s="6" t="n">
        <v>6813</v>
      </c>
      <c r="Q85" s="6" t="n">
        <v>1</v>
      </c>
      <c r="R85">
        <f>M85+IF(N85&gt;1,N(O85)*(N85-1),0)</f>
        <v/>
      </c>
      <c r="S85">
        <f>IFERROR(L85*MAX(N85,1)/R85*IF(ISBLANK(K84),1,K84),0)</f>
        <v/>
      </c>
      <c r="AB85" s="7" t="inlineStr">
        <is>
          <t>^Warhead_Bullet_Light, ^Warhead_Laser_Heavy</t>
        </is>
      </c>
    </row>
    <row r="86">
      <c r="A86" s="4" t="inlineStr">
        <is>
          <t>AIRCRAFT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t="inlineStr">
        <is>
          <t>tiberiansun</t>
        </is>
      </c>
      <c r="B87" t="inlineStr">
        <is>
          <t>cabal_cyborgassassin</t>
        </is>
      </c>
      <c r="C87" t="inlineStr">
        <is>
          <t>Cyborg Assassin</t>
        </is>
      </c>
      <c r="D87" s="6" t="inlineStr">
        <is>
          <t>FlyingInfantry</t>
        </is>
      </c>
      <c r="E87" s="6" t="n">
        <v>30000</v>
      </c>
      <c r="F87" s="6" t="n">
        <v>180</v>
      </c>
      <c r="G87" t="inlineStr">
        <is>
          <t>Scout</t>
        </is>
      </c>
      <c r="H87" s="6" t="n">
        <v>1</v>
      </c>
      <c r="I87" s="6" t="n">
        <v>1</v>
      </c>
      <c r="J87" s="6" t="n">
        <v>1</v>
      </c>
      <c r="K87" s="6" t="n"/>
      <c r="P87">
        <f>MAX(P88)</f>
        <v/>
      </c>
      <c r="S87">
        <f>S88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1000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CabalWaspLaserStriker</t>
        </is>
      </c>
      <c r="C88" s="7" t="inlineStr">
        <is>
          <t>Armament@PRIMARY</t>
        </is>
      </c>
      <c r="L88" s="6" t="n">
        <v>4000</v>
      </c>
      <c r="M88" s="6" t="n">
        <v>18</v>
      </c>
      <c r="N88" s="6" t="n">
        <v>2</v>
      </c>
      <c r="O88" s="6" t="n">
        <v>3</v>
      </c>
      <c r="P88" s="6" t="n">
        <v>6309</v>
      </c>
      <c r="Q88" s="6" t="n">
        <v>1.25</v>
      </c>
      <c r="R88">
        <f>M88+IF(N88&gt;1,N(O88)*(N88-1),0)</f>
        <v/>
      </c>
      <c r="S88">
        <f>IFERROR(L88*MAX(N88,1)/R88*IF(ISBLANK(K87),1,K87),0)</f>
        <v/>
      </c>
      <c r="AB88" s="7" t="inlineStr">
        <is>
          <t>^Warhead_Laser_Heavy</t>
        </is>
      </c>
    </row>
    <row r="89">
      <c r="A89" t="inlineStr">
        <is>
          <t>tiberiansun</t>
        </is>
      </c>
      <c r="B89" t="inlineStr">
        <is>
          <t>cabal_hunterdrone</t>
        </is>
      </c>
      <c r="C89" t="inlineStr">
        <is>
          <t>Hunter Drone</t>
        </is>
      </c>
      <c r="D89" s="6" t="inlineStr">
        <is>
          <t>Bomber</t>
        </is>
      </c>
      <c r="E89" s="6" t="n">
        <v>15000</v>
      </c>
      <c r="F89" s="6" t="n">
        <v>180</v>
      </c>
      <c r="G89" t="inlineStr">
        <is>
          <t>Bomber</t>
        </is>
      </c>
      <c r="H89" s="6" t="n">
        <v>1</v>
      </c>
      <c r="I89" s="6" t="n">
        <v>1</v>
      </c>
      <c r="J89" s="6" t="n">
        <v>1</v>
      </c>
      <c r="K89" s="6" t="n"/>
      <c r="P89">
        <f>MAX(P90)</f>
        <v/>
      </c>
      <c r="S89">
        <f>S90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50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CabalOverkillDroneLaser</t>
        </is>
      </c>
      <c r="C90" s="7" t="inlineStr">
        <is>
          <t>Armament@PRIMARY</t>
        </is>
      </c>
      <c r="L90" s="6" t="n">
        <v>8000</v>
      </c>
      <c r="M90" s="6" t="n">
        <v>30</v>
      </c>
      <c r="N90" s="6" t="n">
        <v>1</v>
      </c>
      <c r="O90" s="6" t="n"/>
      <c r="P90" s="6" t="n">
        <v>4096</v>
      </c>
      <c r="Q90" s="6" t="n">
        <v>1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^Warhead_Bullet_Light, ^Warhead_Laser_Heavy</t>
        </is>
      </c>
    </row>
    <row r="91">
      <c r="A91" t="inlineStr">
        <is>
          <t>tiberiansun</t>
        </is>
      </c>
      <c r="B91" t="inlineStr">
        <is>
          <t>cabal_hunterdronecarrier</t>
        </is>
      </c>
      <c r="C91" t="inlineStr">
        <is>
          <t>Hunter Drone Carrier</t>
        </is>
      </c>
      <c r="D91" s="6" t="inlineStr">
        <is>
          <t>Spaceship</t>
        </is>
      </c>
      <c r="E91" s="6" t="n">
        <v>300000</v>
      </c>
      <c r="F91" s="6" t="n">
        <v>50</v>
      </c>
      <c r="G91" t="inlineStr">
        <is>
          <t>Spaceship</t>
        </is>
      </c>
      <c r="H91" s="6" t="n">
        <v>1</v>
      </c>
      <c r="I91" s="6" t="n">
        <v>1</v>
      </c>
      <c r="J91" s="6" t="n">
        <v>1</v>
      </c>
      <c r="K91" s="6" t="n"/>
      <c r="P91">
        <f>MAX(P93,P94)</f>
        <v/>
      </c>
      <c r="S91">
        <f>S93+S94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4000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CabalOverkillDroneLauncher</t>
        </is>
      </c>
      <c r="C92" s="7" t="inlineStr">
        <is>
          <t>Armament@drones</t>
        </is>
      </c>
      <c r="L92" s="6" t="n"/>
      <c r="M92" s="6" t="n">
        <v>25</v>
      </c>
      <c r="N92" s="6" t="n">
        <v>1</v>
      </c>
      <c r="O92" s="6" t="n"/>
      <c r="P92" s="6" t="n">
        <v>6400</v>
      </c>
      <c r="Q92" s="6" t="n">
        <v>1</v>
      </c>
      <c r="R92">
        <f>M92+IF(N92&gt;1,N(O92)*(N92-1),0)</f>
        <v/>
      </c>
      <c r="S92">
        <f>IFERROR(L92*MAX(N92,1)/R92*IF(ISBLANK(K91),1,K91),0)</f>
        <v/>
      </c>
      <c r="AB92" s="7" t="inlineStr"/>
    </row>
    <row r="93">
      <c r="B93" s="7" t="inlineStr">
        <is>
          <t xml:space="preserve">  ↳ CabalOverkillCharge</t>
        </is>
      </c>
      <c r="C93" s="7" t="inlineStr">
        <is>
          <t>Armament@charge</t>
        </is>
      </c>
      <c r="L93" s="6" t="n">
        <v>24000</v>
      </c>
      <c r="M93" s="6" t="n">
        <v>125</v>
      </c>
      <c r="N93" s="6" t="n">
        <v>1</v>
      </c>
      <c r="O93" s="6" t="n"/>
      <c r="P93" s="6" t="n">
        <v>6400</v>
      </c>
      <c r="Q93" s="6" t="n">
        <v>1.25</v>
      </c>
      <c r="R93">
        <f>M93+IF(N93&gt;1,N(O93)*(N93-1),0)</f>
        <v/>
      </c>
      <c r="S93">
        <f>IFERROR(L93*MAX(N93,1)/R93*IF(ISBLANK(K91),1,K91),0)</f>
        <v/>
      </c>
      <c r="AB93" s="7" t="inlineStr">
        <is>
          <t>^Warhead_Tesla_Heavy</t>
        </is>
      </c>
    </row>
    <row r="94">
      <c r="B94" s="7" t="inlineStr">
        <is>
          <t xml:space="preserve">  ↳ CabalOverkillLaser</t>
        </is>
      </c>
      <c r="C94" s="7" t="inlineStr">
        <is>
          <t>Armament</t>
        </is>
      </c>
      <c r="L94" s="6" t="n">
        <v>2000</v>
      </c>
      <c r="M94" s="6" t="n">
        <v>50</v>
      </c>
      <c r="N94" s="6" t="n">
        <v>50</v>
      </c>
      <c r="O94" s="6" t="n">
        <v>1</v>
      </c>
      <c r="P94" s="6" t="n">
        <v>6400</v>
      </c>
      <c r="Q94" s="6" t="n">
        <v>1.25</v>
      </c>
      <c r="R94">
        <f>M94+IF(N94&gt;1,N(O94)*(N94-1),0)</f>
        <v/>
      </c>
      <c r="S94">
        <f>IFERROR(L94*MAX(N94,1)/R94*IF(ISBLANK(K91),1,K91),0)</f>
        <v/>
      </c>
      <c r="AB94" s="7" t="inlineStr">
        <is>
          <t>^Warhead_Laser_Heavy</t>
        </is>
      </c>
    </row>
    <row r="95">
      <c r="A95" t="inlineStr">
        <is>
          <t>tiberiansun</t>
        </is>
      </c>
      <c r="B95" t="inlineStr">
        <is>
          <t>cabal_hunterkillermk1</t>
        </is>
      </c>
      <c r="C95" t="inlineStr">
        <is>
          <t>Hunter Killer</t>
        </is>
      </c>
      <c r="D95" s="6" t="inlineStr">
        <is>
          <t>Helicopter</t>
        </is>
      </c>
      <c r="E95" s="6" t="n">
        <v>35000</v>
      </c>
      <c r="F95" s="6" t="n">
        <v>160</v>
      </c>
      <c r="G95" t="inlineStr">
        <is>
          <t>Helicopter</t>
        </is>
      </c>
      <c r="H95" s="6" t="n">
        <v>1</v>
      </c>
      <c r="I95" s="6" t="n">
        <v>1</v>
      </c>
      <c r="J95" s="6" t="n">
        <v>1</v>
      </c>
      <c r="K95" s="6" t="n"/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1500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CabalHunterKillerLasers</t>
        </is>
      </c>
      <c r="C96" s="7" t="inlineStr">
        <is>
          <t>Armament@PRIMARY</t>
        </is>
      </c>
      <c r="L96" s="6" t="n">
        <v>16000</v>
      </c>
      <c r="M96" s="6" t="n">
        <v>24</v>
      </c>
      <c r="N96" s="6" t="n">
        <v>1</v>
      </c>
      <c r="O96" s="6" t="n"/>
      <c r="P96" s="6" t="n">
        <v>5318</v>
      </c>
      <c r="Q96" s="6" t="n">
        <v>1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^LaserWeapon, ^MediumMissile</t>
        </is>
      </c>
    </row>
    <row r="97">
      <c r="B97" s="7" t="inlineStr">
        <is>
          <t xml:space="preserve">  ↳ TSHellfireTwin</t>
        </is>
      </c>
      <c r="C97" s="7" t="inlineStr">
        <is>
          <t>Armament@ROCKETS</t>
        </is>
      </c>
      <c r="L97" s="6" t="n">
        <v>24000</v>
      </c>
      <c r="M97" s="6" t="n">
        <v>32</v>
      </c>
      <c r="N97" s="6" t="n">
        <v>2</v>
      </c>
      <c r="O97" s="6" t="n">
        <v>8</v>
      </c>
      <c r="P97" s="6" t="n">
        <v>5740</v>
      </c>
      <c r="Q97" s="6" t="n">
        <v>1</v>
      </c>
      <c r="R97">
        <f>M97+IF(N97&gt;1,N(O97)*(N97-1),0)</f>
        <v/>
      </c>
      <c r="S97">
        <f>IFERROR(L97*MAX(N97,1)/R97*IF(ISBLANK(K95),1,K95),0)</f>
        <v/>
      </c>
      <c r="AB97" s="7" t="inlineStr">
        <is>
          <t>^HeavyCannon, ^TankDestroyerCannon, ^ShrapnelWeapon, ^Grenade, ^HeavyMissile, ^MediumMissile</t>
        </is>
      </c>
    </row>
    <row r="98">
      <c r="A98" t="inlineStr">
        <is>
          <t>tiberiansun</t>
        </is>
      </c>
      <c r="B98" t="inlineStr">
        <is>
          <t>cabal_hunterkillermk1_elite</t>
        </is>
      </c>
      <c r="C98" t="inlineStr">
        <is>
          <t>Super Hunter Killer</t>
        </is>
      </c>
      <c r="D98" s="6" t="inlineStr">
        <is>
          <t>Helicopter</t>
        </is>
      </c>
      <c r="E98" s="6" t="n">
        <v>40000</v>
      </c>
      <c r="F98" s="6" t="n">
        <v>170</v>
      </c>
      <c r="G98" t="inlineStr">
        <is>
          <t>Helicopter</t>
        </is>
      </c>
      <c r="H98" s="6" t="n">
        <v>1</v>
      </c>
      <c r="I98" s="6" t="n">
        <v>1</v>
      </c>
      <c r="J98" s="6" t="n">
        <v>1</v>
      </c>
      <c r="K98" s="6" t="n"/>
      <c r="P98">
        <f>MAX(P99,P100)</f>
        <v/>
      </c>
      <c r="S98">
        <f>S99+S100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3000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CabalHunterKillerLasers_elite</t>
        </is>
      </c>
      <c r="C99" s="7" t="inlineStr">
        <is>
          <t>Armament@PRIMARY</t>
        </is>
      </c>
      <c r="L99" s="6" t="n">
        <v>30000</v>
      </c>
      <c r="M99" s="6" t="n">
        <v>20</v>
      </c>
      <c r="N99" s="6" t="n">
        <v>1</v>
      </c>
      <c r="O99" s="6" t="n"/>
      <c r="P99" s="6" t="n">
        <v>6000</v>
      </c>
      <c r="Q99" s="6" t="n">
        <v>1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^LaserWeapon, ^RailgunWeapon, ^HeavyMissile</t>
        </is>
      </c>
    </row>
    <row r="100">
      <c r="B100" s="7" t="inlineStr">
        <is>
          <t xml:space="preserve">  ↳ TSHellfireTwin</t>
        </is>
      </c>
      <c r="C100" s="7" t="inlineStr">
        <is>
          <t>Armament@ROCKETS</t>
        </is>
      </c>
      <c r="L100" s="6" t="n">
        <v>24000</v>
      </c>
      <c r="M100" s="6" t="n">
        <v>32</v>
      </c>
      <c r="N100" s="6" t="n">
        <v>2</v>
      </c>
      <c r="O100" s="6" t="n">
        <v>8</v>
      </c>
      <c r="P100" s="6" t="n">
        <v>5740</v>
      </c>
      <c r="Q100" s="6" t="n">
        <v>1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^HeavyCannon, ^TankDestroyerCannon, ^ShrapnelWeapon, ^Grenade, ^HeavyMissile, ^MediumMissile</t>
        </is>
      </c>
    </row>
    <row r="101">
      <c r="A101" t="inlineStr">
        <is>
          <t>tiberiansun</t>
        </is>
      </c>
      <c r="B101" t="inlineStr">
        <is>
          <t>cabal_mothership</t>
        </is>
      </c>
      <c r="C101" t="inlineStr">
        <is>
          <t>Mothership</t>
        </is>
      </c>
      <c r="D101" s="6" t="inlineStr">
        <is>
          <t>Spaceship</t>
        </is>
      </c>
      <c r="E101" s="6" t="n">
        <v>500000</v>
      </c>
      <c r="F101" s="6" t="n">
        <v>50</v>
      </c>
      <c r="G101" t="inlineStr">
        <is>
          <t>Spaceship</t>
        </is>
      </c>
      <c r="H101" s="6" t="n">
        <v>1</v>
      </c>
      <c r="I101" s="6" t="n">
        <v>0.3</v>
      </c>
      <c r="J101" s="6" t="n">
        <v>1</v>
      </c>
      <c r="K101" s="6" t="n"/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(T101+U101+V101)/3</f>
        <v/>
      </c>
      <c r="X101" s="6" t="n">
        <v>10000</v>
      </c>
      <c r="Y101">
        <f>IFERROR(W101-X101,"")</f>
        <v/>
      </c>
      <c r="Z101">
        <f>IFERROR(ABS(Y101)/MAX(X101,1),"")</f>
        <v/>
      </c>
      <c r="AA101">
        <f>IFERROR((X101-(((E101/100000+F101/100+S101/200)*200*I101*H101)+((E101*F101/25000)*I101*H101))/3)/(((J101/5)*200*I101*H101)+((J101*S101/2.5)*I101*H101)+((E101*F101*J101*S101*I101*H101)/12500000))/3*1000,"")</f>
        <v/>
      </c>
    </row>
    <row r="102">
      <c r="B102" s="7" t="inlineStr">
        <is>
          <t xml:space="preserve">  ↳ CabalHunterKillerHeavyLaser</t>
        </is>
      </c>
      <c r="C102" s="7" t="inlineStr">
        <is>
          <t>Armament@PRIMARY</t>
        </is>
      </c>
      <c r="L102" s="6" t="n">
        <v>20000</v>
      </c>
      <c r="M102" s="6" t="n">
        <v>26</v>
      </c>
      <c r="N102" s="6" t="n">
        <v>1</v>
      </c>
      <c r="O102" s="6" t="n"/>
      <c r="P102" s="6" t="n">
        <v>6170</v>
      </c>
      <c r="Q102" s="6" t="n">
        <v>1.25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^Warhead_Laser_Heavy</t>
        </is>
      </c>
    </row>
    <row r="103">
      <c r="B103" s="7" t="inlineStr">
        <is>
          <t xml:space="preserve">  ↳ CabalMothershipRockets</t>
        </is>
      </c>
      <c r="C103" s="7" t="inlineStr">
        <is>
          <t>Armament@ROCKETS</t>
        </is>
      </c>
      <c r="L103" s="6" t="n">
        <v>60000</v>
      </c>
      <c r="M103" s="6" t="n">
        <v>34</v>
      </c>
      <c r="N103" s="6" t="n">
        <v>4</v>
      </c>
      <c r="O103" s="6" t="n">
        <v>2</v>
      </c>
      <c r="P103" s="6" t="n">
        <v>5846</v>
      </c>
      <c r="Q103" s="6" t="n">
        <v>1</v>
      </c>
      <c r="R103">
        <f>M103+IF(N103&gt;1,N(O103)*(N103-1),0)</f>
        <v/>
      </c>
      <c r="S103">
        <f>IFERROR(L103*MAX(N103,1)/R103*IF(ISBLANK(K101),1,K101),0)</f>
        <v/>
      </c>
      <c r="AB103" s="7" t="inlineStr">
        <is>
          <t>^TeslaWeapon, ^HeavyMissile, ^MediumFlameWeapon, ^MediumChemicalWeapon, ^Grenade, ^ArrowWeapon</t>
        </is>
      </c>
    </row>
    <row r="104">
      <c r="A104" t="inlineStr">
        <is>
          <t>tiberiansun</t>
        </is>
      </c>
      <c r="B104" t="inlineStr">
        <is>
          <t>cabal_orbdrone</t>
        </is>
      </c>
      <c r="C104" t="inlineStr">
        <is>
          <t>Orb Drone</t>
        </is>
      </c>
      <c r="D104" s="6" t="inlineStr">
        <is>
          <t>FlyingInfantry</t>
        </is>
      </c>
      <c r="E104" s="6" t="n">
        <v>25000</v>
      </c>
      <c r="F104" s="6" t="n">
        <v>140</v>
      </c>
      <c r="G104" t="inlineStr">
        <is>
          <t>Scout</t>
        </is>
      </c>
      <c r="H104" s="6" t="n">
        <v>1</v>
      </c>
      <c r="I104" s="6" t="n">
        <v>1</v>
      </c>
      <c r="J104" s="6" t="n">
        <v>1</v>
      </c>
      <c r="K104" s="6" t="n"/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600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CabalWaspLaser</t>
        </is>
      </c>
      <c r="C105" s="7" t="inlineStr">
        <is>
          <t>Armament@PRIMARY</t>
        </is>
      </c>
      <c r="L105" s="6" t="n">
        <v>4000</v>
      </c>
      <c r="M105" s="6" t="n">
        <v>20</v>
      </c>
      <c r="N105" s="6" t="n">
        <v>1</v>
      </c>
      <c r="O105" s="6" t="n"/>
      <c r="P105" s="6" t="n">
        <v>6420</v>
      </c>
      <c r="Q105" s="6" t="n">
        <v>1.25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^Warhead_Laser_Heavy</t>
        </is>
      </c>
    </row>
    <row r="106">
      <c r="A106" t="inlineStr">
        <is>
          <t>tiberiansun</t>
        </is>
      </c>
      <c r="B106" t="inlineStr">
        <is>
          <t>cabal_orbdrone_slave</t>
        </is>
      </c>
      <c r="C106" t="inlineStr">
        <is>
          <t>Orb Drone</t>
        </is>
      </c>
      <c r="D106" s="6" t="inlineStr">
        <is>
          <t>FlyingInfantry</t>
        </is>
      </c>
      <c r="E106" s="6" t="n">
        <v>25000</v>
      </c>
      <c r="F106" s="6" t="n">
        <v>140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K106" s="6" t="n"/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270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CabalWaspLaser</t>
        </is>
      </c>
      <c r="C107" s="7" t="inlineStr">
        <is>
          <t>Armament@PRIMARY</t>
        </is>
      </c>
      <c r="L107" s="6" t="n">
        <v>4000</v>
      </c>
      <c r="M107" s="6" t="n">
        <v>20</v>
      </c>
      <c r="N107" s="6" t="n">
        <v>1</v>
      </c>
      <c r="O107" s="6" t="n"/>
      <c r="P107" s="6" t="n">
        <v>6420</v>
      </c>
      <c r="Q107" s="6" t="n">
        <v>1.25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^Warhead_Laser_Heavy</t>
        </is>
      </c>
    </row>
    <row r="108">
      <c r="A108" t="inlineStr">
        <is>
          <t>tiberiansun</t>
        </is>
      </c>
      <c r="B108" t="inlineStr">
        <is>
          <t>cabal_overkillgunship</t>
        </is>
      </c>
      <c r="C108" t="inlineStr">
        <is>
          <t>Overkill Gunship</t>
        </is>
      </c>
      <c r="D108" s="6" t="inlineStr">
        <is>
          <t>Helicopter</t>
        </is>
      </c>
      <c r="E108" s="6" t="n">
        <v>45000</v>
      </c>
      <c r="F108" s="6" t="n">
        <v>150</v>
      </c>
      <c r="G108" t="inlineStr">
        <is>
          <t>Helicopter</t>
        </is>
      </c>
      <c r="H108" s="6" t="n">
        <v>0.782</v>
      </c>
      <c r="I108" s="6" t="n">
        <v>1</v>
      </c>
      <c r="J108" s="6" t="n">
        <v>1</v>
      </c>
      <c r="K108" s="6" t="n"/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1000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CabalOverkillGunshipLaser</t>
        </is>
      </c>
      <c r="C109" s="7" t="inlineStr">
        <is>
          <t>Armament@LEFT</t>
        </is>
      </c>
      <c r="L109" s="6" t="n">
        <v>12500</v>
      </c>
      <c r="M109" s="6" t="n">
        <v>40</v>
      </c>
      <c r="N109" s="6" t="n">
        <v>1</v>
      </c>
      <c r="O109" s="6" t="n"/>
      <c r="P109" s="6" t="n">
        <v>6000</v>
      </c>
      <c r="Q109" s="6" t="n">
        <v>1.25</v>
      </c>
      <c r="R109">
        <f>M109+IF(N109&gt;1,N(O109)*(N109-1),0)</f>
        <v/>
      </c>
      <c r="S109">
        <f>IFERROR(L109*MAX(N109,1)/R109*IF(ISBLANK(K108),1,K108),0)</f>
        <v/>
      </c>
      <c r="AB109" s="7" t="inlineStr">
        <is>
          <t>^Warhead_Laser_Heavy</t>
        </is>
      </c>
    </row>
    <row r="110">
      <c r="B110" s="7" t="inlineStr">
        <is>
          <t xml:space="preserve">  ↳ CabalOverkillGunshipLaser</t>
        </is>
      </c>
      <c r="C110" s="7" t="inlineStr">
        <is>
          <t>Armament@RIGHT</t>
        </is>
      </c>
      <c r="L110" s="6" t="n">
        <v>12500</v>
      </c>
      <c r="M110" s="6" t="n">
        <v>40</v>
      </c>
      <c r="N110" s="6" t="n">
        <v>1</v>
      </c>
      <c r="O110" s="6" t="n"/>
      <c r="P110" s="6" t="n">
        <v>6000</v>
      </c>
      <c r="Q110" s="6" t="n">
        <v>1.25</v>
      </c>
      <c r="R110">
        <f>M110+IF(N110&gt;1,N(O110)*(N110-1),0)</f>
        <v/>
      </c>
      <c r="S110">
        <f>IFERROR(L110*MAX(N110,1)/R110*IF(ISBLANK(K108),1,K108),0)</f>
        <v/>
      </c>
      <c r="AB110" s="7" t="inlineStr">
        <is>
          <t>^Warhead_Laser_Heavy</t>
        </is>
      </c>
    </row>
    <row r="111">
      <c r="A111" t="inlineStr">
        <is>
          <t>tiberiansun</t>
        </is>
      </c>
      <c r="B111" t="inlineStr">
        <is>
          <t>cabal_repairdrone</t>
        </is>
      </c>
      <c r="C111" t="inlineStr">
        <is>
          <t>Repair Drone</t>
        </is>
      </c>
      <c r="D111" s="6" t="inlineStr">
        <is>
          <t>Helicopter</t>
        </is>
      </c>
      <c r="E111" s="6" t="n">
        <v>25000</v>
      </c>
      <c r="F111" s="6" t="n">
        <v>140</v>
      </c>
      <c r="G111" t="inlineStr">
        <is>
          <t>Helicopter</t>
        </is>
      </c>
      <c r="H111" s="6" t="n">
        <v>1</v>
      </c>
      <c r="I111" s="6" t="n">
        <v>1</v>
      </c>
      <c r="J111" s="6" t="n">
        <v>1</v>
      </c>
      <c r="K111" s="6" t="n"/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1000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CabalEngineerRepairBeam</t>
        </is>
      </c>
      <c r="C112" s="7" t="inlineStr">
        <is>
          <t>Armament@PRIMARY</t>
        </is>
      </c>
      <c r="L112" s="6" t="n">
        <v>-2600</v>
      </c>
      <c r="M112" s="6" t="n">
        <v>31</v>
      </c>
      <c r="N112" s="6" t="n">
        <v>10</v>
      </c>
      <c r="O112" s="6" t="n">
        <v>1</v>
      </c>
      <c r="P112" s="6" t="n">
        <v>6128</v>
      </c>
      <c r="Q112" s="6" t="n">
        <v>1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^RepairWeapon</t>
        </is>
      </c>
    </row>
    <row r="113">
      <c r="A113" s="4" t="inlineStr">
        <is>
          <t>NAVAL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t="inlineStr">
        <is>
          <t>tiberiansun</t>
        </is>
      </c>
      <c r="B114" t="inlineStr">
        <is>
          <t>cabal_lazerboat</t>
        </is>
      </c>
      <c r="C114" t="inlineStr">
        <is>
          <t>Laser Hydroboat</t>
        </is>
      </c>
      <c r="D114" s="6" t="inlineStr">
        <is>
          <t>ScoutShip</t>
        </is>
      </c>
      <c r="E114" s="6" t="n">
        <v>60000</v>
      </c>
      <c r="F114" s="6" t="n">
        <v>110</v>
      </c>
      <c r="G114" t="inlineStr">
        <is>
          <t>Medium</t>
        </is>
      </c>
      <c r="H114" s="6" t="n">
        <v>1</v>
      </c>
      <c r="I114" s="6" t="n">
        <v>1</v>
      </c>
      <c r="J114" s="6" t="n">
        <v>1</v>
      </c>
      <c r="K114" s="6" t="n"/>
      <c r="P114">
        <f>MAX(P115,P116,P117)</f>
        <v/>
      </c>
      <c r="S114">
        <f>S115+S116+S117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1500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CabalLaserBoatLaser</t>
        </is>
      </c>
      <c r="C115" s="7" t="inlineStr">
        <is>
          <t>Armament@PRIMARY</t>
        </is>
      </c>
      <c r="L115" s="6" t="n">
        <v>40000</v>
      </c>
      <c r="M115" s="6" t="n">
        <v>90</v>
      </c>
      <c r="N115" s="6" t="n">
        <v>1</v>
      </c>
      <c r="O115" s="6" t="n"/>
      <c r="P115" s="6" t="n">
        <v>6147</v>
      </c>
      <c r="Q115" s="6" t="n">
        <v>1.25</v>
      </c>
      <c r="R115">
        <f>M115+IF(N115&gt;1,N(O115)*(N115-1),0)</f>
        <v/>
      </c>
      <c r="S115">
        <f>IFERROR(L115*MAX(N115,1)/R115*IF(ISBLANK(K114),1,K114),0)</f>
        <v/>
      </c>
      <c r="AB115" s="7" t="inlineStr">
        <is>
          <t>^Warhead_Laser_Heavy</t>
        </is>
      </c>
    </row>
    <row r="116">
      <c r="B116" s="7" t="inlineStr">
        <is>
          <t xml:space="preserve">  ↳ CabalLaserBoatLaserAA</t>
        </is>
      </c>
      <c r="C116" s="7" t="inlineStr">
        <is>
          <t>Armament@AA</t>
        </is>
      </c>
      <c r="L116" s="6" t="n">
        <v>36000</v>
      </c>
      <c r="M116" s="6" t="n">
        <v>90</v>
      </c>
      <c r="N116" s="6" t="n">
        <v>1</v>
      </c>
      <c r="O116" s="6" t="n"/>
      <c r="P116" s="6" t="n">
        <v>7000</v>
      </c>
      <c r="Q116" s="6" t="n">
        <v>1.25</v>
      </c>
      <c r="R116">
        <f>M116+IF(N116&gt;1,N(O116)*(N116-1),0)</f>
        <v/>
      </c>
      <c r="S116">
        <f>IFERROR(L116*MAX(N116,1)/R116*IF(ISBLANK(K114),1,K114),0)</f>
        <v/>
      </c>
      <c r="AB116" s="7" t="inlineStr">
        <is>
          <t>^Warhead_Laser_Heavy</t>
        </is>
      </c>
    </row>
    <row r="117">
      <c r="B117" s="7" t="inlineStr">
        <is>
          <t xml:space="preserve">  ↳ DepthCharge</t>
        </is>
      </c>
      <c r="C117" s="7" t="inlineStr">
        <is>
          <t>Armament@SECONDARY</t>
        </is>
      </c>
      <c r="L117" s="6" t="n">
        <v>60000</v>
      </c>
      <c r="M117" s="6" t="n">
        <v>60</v>
      </c>
      <c r="N117" s="6" t="n">
        <v>1</v>
      </c>
      <c r="O117" s="6" t="n"/>
      <c r="P117" s="6" t="n">
        <v>6000</v>
      </c>
      <c r="Q117" s="6" t="n">
        <v>0.75</v>
      </c>
      <c r="R117">
        <f>M117+IF(N117&gt;1,N(O117)*(N117-1),0)</f>
        <v/>
      </c>
      <c r="S117">
        <f>IFERROR(L117*MAX(N117,1)/R117*IF(ISBLANK(K114),1,K114),0)</f>
        <v/>
      </c>
      <c r="AB117" s="7" t="inlineStr">
        <is>
          <t>^Warhead_Demolition_Light</t>
        </is>
      </c>
    </row>
    <row r="118">
      <c r="A118" t="inlineStr">
        <is>
          <t>tiberiansun</t>
        </is>
      </c>
      <c r="B118" t="inlineStr">
        <is>
          <t>cabal_lcraft</t>
        </is>
      </c>
      <c r="C118" t="inlineStr">
        <is>
          <t>Landing Craft</t>
        </is>
      </c>
      <c r="D118" s="6" t="inlineStr">
        <is>
          <t>Ship</t>
        </is>
      </c>
      <c r="E118" s="6" t="n">
        <v>100000</v>
      </c>
      <c r="F118" s="6" t="n">
        <v>60</v>
      </c>
      <c r="G118" t="inlineStr">
        <is>
          <t>Heavy</t>
        </is>
      </c>
      <c r="H118" s="6" t="n">
        <v>1</v>
      </c>
      <c r="I118" s="6" t="n">
        <v>1</v>
      </c>
      <c r="J118" s="6" t="n">
        <v>1</v>
      </c>
      <c r="K118" s="6" t="n"/>
      <c r="X118" s="6" t="n">
        <v>1200</v>
      </c>
    </row>
    <row r="119">
      <c r="A119" t="inlineStr">
        <is>
          <t>tiberiansun</t>
        </is>
      </c>
      <c r="B119" t="inlineStr">
        <is>
          <t>cabal_plasmasub</t>
        </is>
      </c>
      <c r="C119" t="inlineStr">
        <is>
          <t>Plasma Submarine</t>
        </is>
      </c>
      <c r="D119" s="6" t="inlineStr">
        <is>
          <t>ArtilleryShip</t>
        </is>
      </c>
      <c r="E119" s="6" t="n">
        <v>200000</v>
      </c>
      <c r="F119" s="6" t="n">
        <v>60</v>
      </c>
      <c r="G119" t="inlineStr">
        <is>
          <t>Medium</t>
        </is>
      </c>
      <c r="H119" s="6" t="n">
        <v>1</v>
      </c>
      <c r="I119" s="6" t="n">
        <v>1</v>
      </c>
      <c r="J119" s="6" t="n">
        <v>1</v>
      </c>
      <c r="K119" s="6" t="n">
        <v>0.02</v>
      </c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2500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CabalSubmarinePlasma</t>
        </is>
      </c>
      <c r="C120" s="7" t="inlineStr">
        <is>
          <t>Armament</t>
        </is>
      </c>
      <c r="L120" s="6" t="n">
        <v>75000</v>
      </c>
      <c r="M120" s="6" t="n">
        <v>45</v>
      </c>
      <c r="N120" s="6" t="n">
        <v>1</v>
      </c>
      <c r="O120" s="6" t="n"/>
      <c r="P120" s="6" t="n">
        <v>12000</v>
      </c>
      <c r="Q120" s="6" t="n">
        <v>1</v>
      </c>
      <c r="R120">
        <f>M120+IF(N120&gt;1,N(O120)*(N120-1),0)</f>
        <v/>
      </c>
      <c r="S120">
        <f>IFERROR(L120*MAX(N120,1)/R120*IF(ISBLANK(K119),1,K119),0)</f>
        <v/>
      </c>
      <c r="AB120" s="7" t="inlineStr">
        <is>
          <t>^HeavyCannon, ^MediumFlameWeapon, ^MediumChemicalWeapon</t>
        </is>
      </c>
    </row>
    <row r="121">
      <c r="A121" t="inlineStr">
        <is>
          <t>tiberiansun</t>
        </is>
      </c>
      <c r="B121" t="inlineStr">
        <is>
          <t>cabal_radar_cruiser</t>
        </is>
      </c>
      <c r="C121" t="inlineStr">
        <is>
          <t>CABAL Hacker Cruiser</t>
        </is>
      </c>
      <c r="D121" s="6" t="inlineStr">
        <is>
          <t>ScoutShip</t>
        </is>
      </c>
      <c r="E121" s="6" t="n">
        <v>200000</v>
      </c>
      <c r="F121" s="6" t="n">
        <v>60</v>
      </c>
      <c r="G121" t="inlineStr">
        <is>
          <t>Medium</t>
        </is>
      </c>
      <c r="H121" s="6" t="n">
        <v>0.6322</v>
      </c>
      <c r="I121" s="6" t="n">
        <v>1</v>
      </c>
      <c r="J121" s="6" t="n">
        <v>1</v>
      </c>
      <c r="K121" s="6" t="n"/>
      <c r="P121">
        <f>MAX(P122,P123)</f>
        <v/>
      </c>
      <c r="S121">
        <f>S122+S123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TSCABALCharge_EMP</t>
        </is>
      </c>
      <c r="C122" s="7" t="inlineStr">
        <is>
          <t>Armament@Anim</t>
        </is>
      </c>
      <c r="L122" s="6" t="n">
        <v>1</v>
      </c>
      <c r="M122" s="6" t="n">
        <v>6</v>
      </c>
      <c r="N122" s="6" t="n">
        <v>1</v>
      </c>
      <c r="O122" s="6" t="n"/>
      <c r="P122" s="6" t="n">
        <v>8000</v>
      </c>
      <c r="Q122" s="6" t="n">
        <v>1</v>
      </c>
      <c r="R122">
        <f>M122+IF(N122&gt;1,N(O122)*(N122-1),0)</f>
        <v/>
      </c>
      <c r="S122">
        <f>IFERROR(L122*MAX(N122,1)/R122*IF(ISBLANK(K121),1,K121),0)</f>
        <v/>
      </c>
      <c r="AB122" s="7" t="inlineStr"/>
    </row>
    <row r="123">
      <c r="B123" s="7" t="inlineStr">
        <is>
          <t xml:space="preserve">  ↳ TSCABALDisable_EMP</t>
        </is>
      </c>
      <c r="C123" s="7" t="inlineStr">
        <is>
          <t>Armament@End</t>
        </is>
      </c>
      <c r="L123" s="6" t="n">
        <v>2000</v>
      </c>
      <c r="M123" s="6" t="n">
        <v>8</v>
      </c>
      <c r="N123" s="6" t="n">
        <v>1</v>
      </c>
      <c r="O123" s="6" t="n"/>
      <c r="P123" s="6" t="n">
        <v>8000</v>
      </c>
      <c r="Q123" s="6" t="n">
        <v>1</v>
      </c>
      <c r="R123">
        <f>M123+IF(N123&gt;1,N(O123)*(N123-1),0)</f>
        <v/>
      </c>
      <c r="S123">
        <f>IFERROR(L123*MAX(N123,1)/R123*IF(ISBLANK(K121),1,K121),0)</f>
        <v/>
      </c>
      <c r="AB123" s="7" t="inlineStr">
        <is>
          <t>^Warhead_Tesla_Super</t>
        </is>
      </c>
    </row>
    <row r="124">
      <c r="A124" s="4" t="inlineStr">
        <is>
          <t>DEFENSES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t="inlineStr">
        <is>
          <t>tiberiansun</t>
        </is>
      </c>
      <c r="B125" t="inlineStr">
        <is>
          <t>cabal_heavycabalobelisk</t>
        </is>
      </c>
      <c r="C125" t="inlineStr">
        <is>
          <t>Fortified Obelisk</t>
        </is>
      </c>
      <c r="D125" s="6" t="inlineStr">
        <is>
          <t>AdvancedDefense</t>
        </is>
      </c>
      <c r="E125" s="6" t="n">
        <v>300000</v>
      </c>
      <c r="F125" s="6" t="n">
        <v>100</v>
      </c>
      <c r="G125" t="inlineStr">
        <is>
          <t>Steel</t>
        </is>
      </c>
      <c r="H125" s="6" t="n">
        <v>0.8639</v>
      </c>
      <c r="I125" s="6" t="n">
        <v>1</v>
      </c>
      <c r="J125" s="6" t="n">
        <v>1</v>
      </c>
      <c r="K125" s="6" t="n"/>
      <c r="P125">
        <f>MAX(P126)</f>
        <v/>
      </c>
      <c r="S125">
        <f>S126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2400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TSCABALObeliskLaserFire</t>
        </is>
      </c>
      <c r="C126" s="7" t="inlineStr">
        <is>
          <t>Armament@PRIMARY</t>
        </is>
      </c>
      <c r="L126" s="6" t="n">
        <v>280000</v>
      </c>
      <c r="M126" s="6" t="n">
        <v>90</v>
      </c>
      <c r="N126" s="6" t="n">
        <v>1</v>
      </c>
      <c r="O126" s="6" t="n"/>
      <c r="P126" s="6" t="n">
        <v>12288</v>
      </c>
      <c r="Q126" s="6" t="n">
        <v>1</v>
      </c>
      <c r="R126">
        <f>M126+IF(N126&gt;1,N(O126)*(N126-1),0)</f>
        <v/>
      </c>
      <c r="S126">
        <f>IFERROR(L126*MAX(N126,1)/R126*IF(ISBLANK(K125),1,K125),0)</f>
        <v/>
      </c>
      <c r="AB126" s="7" t="inlineStr">
        <is>
          <t>^TankDestroyerCannon, ^LaserWeapon, ^MediumFlameWeapon, ^MediumChemicalWeapon, ^TSLaserEffect</t>
        </is>
      </c>
    </row>
    <row r="127">
      <c r="A127" t="inlineStr">
        <is>
          <t>tiberiansun</t>
        </is>
      </c>
      <c r="B127" t="inlineStr">
        <is>
          <t>cabal_missilesilo</t>
        </is>
      </c>
      <c r="C127" t="inlineStr">
        <is>
          <t>CABAL Missile Silo</t>
        </is>
      </c>
      <c r="D127" s="6" t="inlineStr">
        <is>
          <t>Defense</t>
        </is>
      </c>
      <c r="E127" s="6" t="n"/>
      <c r="F127" s="6" t="n">
        <v>100</v>
      </c>
      <c r="H127" s="6" t="n">
        <v>0.422</v>
      </c>
      <c r="I127" s="6" t="n">
        <v>1</v>
      </c>
      <c r="J127" s="6" t="n">
        <v>1</v>
      </c>
      <c r="K127" s="6" t="n"/>
      <c r="X127" s="6" t="n">
        <v>5000</v>
      </c>
    </row>
    <row r="128">
      <c r="A128" t="inlineStr">
        <is>
          <t>tiberiansun</t>
        </is>
      </c>
      <c r="B128" t="inlineStr">
        <is>
          <t>cabal_obeliskofdarkness</t>
        </is>
      </c>
      <c r="C128" t="inlineStr">
        <is>
          <t>Obelisk of Darkness</t>
        </is>
      </c>
      <c r="D128" s="6" t="inlineStr">
        <is>
          <t>AntiAirDefense</t>
        </is>
      </c>
      <c r="E128" s="6" t="n">
        <v>120000</v>
      </c>
      <c r="F128" s="6" t="n">
        <v>100</v>
      </c>
      <c r="G128" t="inlineStr">
        <is>
          <t>Heavy</t>
        </is>
      </c>
      <c r="H128" s="6" t="n">
        <v>1</v>
      </c>
      <c r="I128" s="6" t="n">
        <v>1</v>
      </c>
      <c r="J128" s="6" t="n">
        <v>1</v>
      </c>
      <c r="K128" s="6" t="n"/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1200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DarkObeliskLaser</t>
        </is>
      </c>
      <c r="C129" s="7" t="inlineStr">
        <is>
          <t>Armament</t>
        </is>
      </c>
      <c r="L129" s="6" t="n">
        <v>36000</v>
      </c>
      <c r="M129" s="6" t="n">
        <v>50</v>
      </c>
      <c r="N129" s="6" t="n">
        <v>1</v>
      </c>
      <c r="O129" s="6" t="n"/>
      <c r="P129" s="6" t="n">
        <v>12288</v>
      </c>
      <c r="Q129" s="6" t="n">
        <v>1.25</v>
      </c>
      <c r="R129">
        <f>M129+IF(N129&gt;1,N(O129)*(N129-1),0)</f>
        <v/>
      </c>
      <c r="S129">
        <f>IFERROR(L129*MAX(N129,1)/R129*IF(ISBLANK(K128),1,K128),0)</f>
        <v/>
      </c>
      <c r="AB129" s="7" t="inlineStr">
        <is>
          <t>^Warhead_Laser_Heavy</t>
        </is>
      </c>
    </row>
    <row r="130">
      <c r="A130" t="inlineStr">
        <is>
          <t>tiberiansun</t>
        </is>
      </c>
      <c r="B130" t="inlineStr">
        <is>
          <t>cabal_pillbox</t>
        </is>
      </c>
      <c r="C130" t="inlineStr">
        <is>
          <t>Pillbox</t>
        </is>
      </c>
      <c r="D130" s="6" t="inlineStr">
        <is>
          <t>BasicDefense</t>
        </is>
      </c>
      <c r="E130" s="6" t="n">
        <v>85000</v>
      </c>
      <c r="F130" s="6" t="n">
        <v>100</v>
      </c>
      <c r="G130" t="inlineStr">
        <is>
          <t>Concrete</t>
        </is>
      </c>
      <c r="H130" s="6" t="n">
        <v>1</v>
      </c>
      <c r="I130" s="6" t="n">
        <v>1</v>
      </c>
      <c r="J130" s="6" t="n">
        <v>1</v>
      </c>
      <c r="K130" s="6" t="n"/>
      <c r="X130" s="6" t="n">
        <v>800</v>
      </c>
    </row>
    <row r="131">
      <c r="A131" t="inlineStr">
        <is>
          <t>tiberiansun</t>
        </is>
      </c>
      <c r="B131" t="inlineStr">
        <is>
          <t>cabal_plasmaturret</t>
        </is>
      </c>
      <c r="C131" t="inlineStr">
        <is>
          <t>Plasma Turret</t>
        </is>
      </c>
      <c r="D131" s="6" t="inlineStr">
        <is>
          <t>BasicDefense</t>
        </is>
      </c>
      <c r="E131" s="6" t="n">
        <v>60000</v>
      </c>
      <c r="F131" s="6" t="n">
        <v>100</v>
      </c>
      <c r="G131" t="inlineStr">
        <is>
          <t>Concrete</t>
        </is>
      </c>
      <c r="H131" s="6" t="n">
        <v>1</v>
      </c>
      <c r="I131" s="6" t="n">
        <v>1</v>
      </c>
      <c r="J131" s="6" t="n">
        <v>1</v>
      </c>
      <c r="K131" s="6" t="n"/>
      <c r="P131">
        <f>MAX(P132)</f>
        <v/>
      </c>
      <c r="S131">
        <f>S132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(T131+U131+V131)/3</f>
        <v/>
      </c>
      <c r="X131" s="6" t="n">
        <v>800</v>
      </c>
      <c r="Y131">
        <f>IFERROR(W131-X131,"")</f>
        <v/>
      </c>
      <c r="Z131">
        <f>IFERROR(ABS(Y131)/MAX(X131,1),"")</f>
        <v/>
      </c>
      <c r="AA131">
        <f>IFERROR((X131-(((E131/100000+F131/100+S131/200)*200*I131*H131)+((E131*F131/25000)*I131*H131))/3)/(((J131/5)*200*I131*H131)+((J131*S131/2.5)*I131*H131)+((E131*F131*J131*S131*I131*H131)/12500000))/3*1000,"")</f>
        <v/>
      </c>
    </row>
    <row r="132">
      <c r="B132" s="7" t="inlineStr">
        <is>
          <t xml:space="preserve">  ↳ TSCABALPlasmaFire</t>
        </is>
      </c>
      <c r="C132" s="7" t="inlineStr">
        <is>
          <t>Armament@PRIMARY</t>
        </is>
      </c>
      <c r="L132" s="6" t="n">
        <v>20000</v>
      </c>
      <c r="M132" s="6" t="n">
        <v>25</v>
      </c>
      <c r="N132" s="6" t="n">
        <v>1</v>
      </c>
      <c r="O132" s="6" t="n"/>
      <c r="P132" s="6" t="n">
        <v>6487</v>
      </c>
      <c r="Q132" s="6" t="n">
        <v>1.125</v>
      </c>
      <c r="R132">
        <f>M132+IF(N132&gt;1,N(O132)*(N132-1),0)</f>
        <v/>
      </c>
      <c r="S132">
        <f>IFERROR(L132*MAX(N132,1)/R132*IF(ISBLANK(K131),1,K131),0)</f>
        <v/>
      </c>
      <c r="AB132" s="7" t="inlineStr">
        <is>
          <t>^Warhead_Bullet_Medium, ^Warhead_Laser_Heavy</t>
        </is>
      </c>
    </row>
    <row r="133">
      <c r="A133" t="inlineStr">
        <is>
          <t>tiberiansun</t>
        </is>
      </c>
      <c r="B133" t="inlineStr">
        <is>
          <t>cabal_silo</t>
        </is>
      </c>
      <c r="C133" t="inlineStr">
        <is>
          <t>Silo</t>
        </is>
      </c>
      <c r="D133" s="6" t="inlineStr">
        <is>
          <t>Defense</t>
        </is>
      </c>
      <c r="E133" s="6" t="n">
        <v>100000</v>
      </c>
      <c r="F133" s="6" t="n">
        <v>100</v>
      </c>
      <c r="G133" t="inlineStr">
        <is>
          <t>Wood</t>
        </is>
      </c>
      <c r="H133" s="6" t="n">
        <v>1</v>
      </c>
      <c r="I133" s="6" t="n">
        <v>1</v>
      </c>
      <c r="J133" s="6" t="n">
        <v>1</v>
      </c>
      <c r="K133" s="6" t="n"/>
      <c r="X133" s="6" t="n">
        <v>150</v>
      </c>
    </row>
    <row r="134">
      <c r="A134" t="inlineStr">
        <is>
          <t>tiberiansun</t>
        </is>
      </c>
      <c r="B134" t="inlineStr">
        <is>
          <t>cabal_stealthgenerator</t>
        </is>
      </c>
      <c r="C134" t="inlineStr">
        <is>
          <t>Stealth Generator</t>
        </is>
      </c>
      <c r="D134" s="6" t="inlineStr">
        <is>
          <t>Defense</t>
        </is>
      </c>
      <c r="E134" s="6" t="n">
        <v>100000</v>
      </c>
      <c r="F134" s="6" t="n">
        <v>100</v>
      </c>
      <c r="G134" t="inlineStr">
        <is>
          <t>Concrete</t>
        </is>
      </c>
      <c r="H134" s="6" t="n">
        <v>0.8639</v>
      </c>
      <c r="I134" s="6" t="n">
        <v>1</v>
      </c>
      <c r="J134" s="6" t="n">
        <v>1</v>
      </c>
      <c r="K134" s="6" t="n"/>
      <c r="X134" s="6" t="n">
        <v>2500</v>
      </c>
    </row>
    <row r="135">
      <c r="A135" s="4" t="inlineStr">
        <is>
          <t>BUILDINGS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t="inlineStr">
        <is>
          <t>tiberiansun</t>
        </is>
      </c>
      <c r="B136" t="inlineStr">
        <is>
          <t>cabal_core</t>
        </is>
      </c>
      <c r="C136" t="inlineStr">
        <is>
          <t>CABAL Core</t>
        </is>
      </c>
      <c r="D136" s="6" t="inlineStr">
        <is>
          <t>Building</t>
        </is>
      </c>
      <c r="E136" s="6" t="n">
        <v>1000000</v>
      </c>
      <c r="F136" s="6" t="n"/>
      <c r="G136" t="inlineStr">
        <is>
          <t>Wood</t>
        </is>
      </c>
      <c r="H136" s="6" t="n">
        <v>0.8639</v>
      </c>
      <c r="I136" s="6" t="n">
        <v>1</v>
      </c>
      <c r="J136" s="6" t="n">
        <v>1</v>
      </c>
      <c r="K136" s="6" t="n"/>
      <c r="X136" s="6" t="n">
        <v>10000</v>
      </c>
    </row>
    <row r="137">
      <c r="B137" s="7" t="inlineStr">
        <is>
          <t xml:space="preserve">  ↳ TSHSeekerLaunch</t>
        </is>
      </c>
      <c r="C137" s="7" t="inlineStr">
        <is>
          <t>Armament@HunterSeeker</t>
        </is>
      </c>
      <c r="L137" s="6" t="n"/>
      <c r="M137" s="6" t="n">
        <v>50</v>
      </c>
      <c r="N137" s="6" t="n">
        <v>1</v>
      </c>
      <c r="O137" s="6" t="n"/>
      <c r="P137" s="6" t="n">
        <v>10238976</v>
      </c>
      <c r="Q137" s="6" t="n">
        <v>1</v>
      </c>
      <c r="R137">
        <f>M137+IF(N137&gt;1,N(O137)*(N137-1),0)</f>
        <v/>
      </c>
      <c r="S137">
        <f>IFERROR(L137*MAX(N137,1)/R137*IF(ISBLANK(K136),1,K136),0)</f>
        <v/>
      </c>
      <c r="AB137" s="7" t="inlineStr"/>
    </row>
    <row r="138">
      <c r="A138" t="inlineStr">
        <is>
          <t>tiberiansun</t>
        </is>
      </c>
      <c r="B138" t="inlineStr">
        <is>
          <t>cabal_cyborgfactory</t>
        </is>
      </c>
      <c r="C138" t="inlineStr">
        <is>
          <t>Cyborg Factory</t>
        </is>
      </c>
      <c r="D138" s="6" t="inlineStr">
        <is>
          <t>Building</t>
        </is>
      </c>
      <c r="E138" s="6" t="n">
        <v>200000</v>
      </c>
      <c r="F138" s="6" t="n"/>
      <c r="G138" t="inlineStr">
        <is>
          <t>Wood</t>
        </is>
      </c>
      <c r="H138" s="6" t="n">
        <v>1</v>
      </c>
      <c r="I138" s="6" t="n">
        <v>1</v>
      </c>
      <c r="J138" s="6" t="n">
        <v>1</v>
      </c>
      <c r="K138" s="6" t="n"/>
      <c r="X138" s="6" t="n">
        <v>500</v>
      </c>
    </row>
    <row r="139">
      <c r="A139" t="inlineStr">
        <is>
          <t>tiberiansun</t>
        </is>
      </c>
      <c r="B139" t="inlineStr">
        <is>
          <t>cabal_helipad</t>
        </is>
      </c>
      <c r="C139" t="inlineStr">
        <is>
          <t>CABAL Helipad</t>
        </is>
      </c>
      <c r="D139" s="6" t="inlineStr">
        <is>
          <t>Building</t>
        </is>
      </c>
      <c r="E139" s="6" t="n">
        <v>300000</v>
      </c>
      <c r="F139" s="6" t="n"/>
      <c r="G139" t="inlineStr">
        <is>
          <t>Wood</t>
        </is>
      </c>
      <c r="H139" s="6" t="n">
        <v>1</v>
      </c>
      <c r="I139" s="6" t="n">
        <v>1</v>
      </c>
      <c r="J139" s="6" t="n">
        <v>1</v>
      </c>
      <c r="K139" s="6" t="n"/>
      <c r="X139" s="6" t="n">
        <v>1000</v>
      </c>
    </row>
    <row r="140">
      <c r="A140" t="inlineStr">
        <is>
          <t>tiberiansun</t>
        </is>
      </c>
      <c r="B140" t="inlineStr">
        <is>
          <t>cabal_mechfactory</t>
        </is>
      </c>
      <c r="C140" t="inlineStr">
        <is>
          <t>CABAL War Factory</t>
        </is>
      </c>
      <c r="D140" s="6" t="inlineStr">
        <is>
          <t>Building</t>
        </is>
      </c>
      <c r="E140" s="6" t="n">
        <v>400000</v>
      </c>
      <c r="F140" s="6" t="n"/>
      <c r="G140" t="inlineStr">
        <is>
          <t>Concrete</t>
        </is>
      </c>
      <c r="H140" s="6" t="n">
        <v>1</v>
      </c>
      <c r="I140" s="6" t="n">
        <v>1</v>
      </c>
      <c r="J140" s="6" t="n">
        <v>1</v>
      </c>
      <c r="K140" s="6" t="n"/>
      <c r="X140" s="6" t="n">
        <v>2000</v>
      </c>
    </row>
    <row r="141">
      <c r="A141" t="inlineStr">
        <is>
          <t>tiberiansun</t>
        </is>
      </c>
      <c r="B141" t="inlineStr">
        <is>
          <t>cabal_navalyard</t>
        </is>
      </c>
      <c r="C141" t="inlineStr">
        <is>
          <t>CABAL Naval Yard</t>
        </is>
      </c>
      <c r="D141" s="6" t="inlineStr">
        <is>
          <t>Building</t>
        </is>
      </c>
      <c r="E141" s="6" t="n">
        <v>600000</v>
      </c>
      <c r="F141" s="6" t="n"/>
      <c r="G141" t="inlineStr">
        <is>
          <t>Concrete</t>
        </is>
      </c>
      <c r="H141" s="6" t="n">
        <v>1</v>
      </c>
      <c r="I141" s="6" t="n">
        <v>1</v>
      </c>
      <c r="J141" s="6" t="n">
        <v>1</v>
      </c>
      <c r="K141" s="6" t="n"/>
      <c r="X141" s="6" t="n">
        <v>3000</v>
      </c>
    </row>
    <row r="142">
      <c r="A142" t="inlineStr">
        <is>
          <t>tiberiansun</t>
        </is>
      </c>
      <c r="B142" t="inlineStr">
        <is>
          <t>cabal_powerplant</t>
        </is>
      </c>
      <c r="C142" t="inlineStr">
        <is>
          <t>CABAL Power Plant</t>
        </is>
      </c>
      <c r="D142" s="6" t="inlineStr">
        <is>
          <t>Building</t>
        </is>
      </c>
      <c r="E142" s="6" t="n">
        <v>160000</v>
      </c>
      <c r="F142" s="6" t="n"/>
      <c r="G142" t="inlineStr">
        <is>
          <t>Wood</t>
        </is>
      </c>
      <c r="H142" s="6" t="n">
        <v>1</v>
      </c>
      <c r="I142" s="6" t="n">
        <v>1</v>
      </c>
      <c r="J142" s="6" t="n">
        <v>1</v>
      </c>
      <c r="K142" s="6" t="n"/>
      <c r="X142" s="6" t="n">
        <v>800</v>
      </c>
    </row>
    <row r="143">
      <c r="A143" t="inlineStr">
        <is>
          <t>tiberiansun</t>
        </is>
      </c>
      <c r="B143" t="inlineStr">
        <is>
          <t>cabal_radar</t>
        </is>
      </c>
      <c r="C143" t="inlineStr">
        <is>
          <t>Radar</t>
        </is>
      </c>
      <c r="D143" s="6" t="inlineStr">
        <is>
          <t>Building</t>
        </is>
      </c>
      <c r="E143" s="6" t="n">
        <v>250000</v>
      </c>
      <c r="F143" s="6" t="n"/>
      <c r="G143" t="inlineStr">
        <is>
          <t>Wood</t>
        </is>
      </c>
      <c r="H143" s="6" t="n">
        <v>1</v>
      </c>
      <c r="I143" s="6" t="n">
        <v>1</v>
      </c>
      <c r="J143" s="6" t="n">
        <v>1</v>
      </c>
      <c r="K143" s="6" t="n"/>
      <c r="X143" s="6" t="n">
        <v>1000</v>
      </c>
    </row>
    <row r="144">
      <c r="A144" t="inlineStr">
        <is>
          <t>tiberiansun</t>
        </is>
      </c>
      <c r="B144" t="inlineStr">
        <is>
          <t>cabal_refinery</t>
        </is>
      </c>
      <c r="C144" t="inlineStr">
        <is>
          <t>CABAL Refinery</t>
        </is>
      </c>
      <c r="D144" s="6" t="inlineStr">
        <is>
          <t>Building</t>
        </is>
      </c>
      <c r="E144" s="6" t="n">
        <v>300000</v>
      </c>
      <c r="F144" s="6" t="n"/>
      <c r="G144" t="inlineStr">
        <is>
          <t>Concrete</t>
        </is>
      </c>
      <c r="H144" s="6" t="n">
        <v>1</v>
      </c>
      <c r="I144" s="6" t="n">
        <v>1</v>
      </c>
      <c r="J144" s="6" t="n">
        <v>1</v>
      </c>
      <c r="K144" s="6" t="n"/>
      <c r="X144" s="6" t="n">
        <v>1500</v>
      </c>
    </row>
    <row r="145">
      <c r="A145" t="inlineStr">
        <is>
          <t>tiberiansun</t>
        </is>
      </c>
      <c r="B145" t="inlineStr">
        <is>
          <t>cabal_servicedepot</t>
        </is>
      </c>
      <c r="C145" t="inlineStr">
        <is>
          <t>Service Depot</t>
        </is>
      </c>
      <c r="D145" s="6" t="inlineStr">
        <is>
          <t>Building</t>
        </is>
      </c>
      <c r="E145" s="6" t="n">
        <v>250000</v>
      </c>
      <c r="F145" s="6" t="n"/>
      <c r="G145" t="inlineStr">
        <is>
          <t>Concrete</t>
        </is>
      </c>
      <c r="H145" s="6" t="n">
        <v>1</v>
      </c>
      <c r="I145" s="6" t="n">
        <v>1</v>
      </c>
      <c r="J145" s="6" t="n">
        <v>1</v>
      </c>
      <c r="K145" s="6" t="n"/>
      <c r="X145" s="6" t="n">
        <v>800</v>
      </c>
    </row>
    <row r="146">
      <c r="A146" t="inlineStr">
        <is>
          <t>tiberiansun</t>
        </is>
      </c>
      <c r="B146" t="inlineStr">
        <is>
          <t>cabal_techcenter</t>
        </is>
      </c>
      <c r="C146" t="inlineStr">
        <is>
          <t>CABAL Tech Center</t>
        </is>
      </c>
      <c r="D146" s="6" t="inlineStr">
        <is>
          <t>Building</t>
        </is>
      </c>
      <c r="E146" s="6" t="n">
        <v>500000</v>
      </c>
      <c r="F146" s="6" t="n"/>
      <c r="G146" t="inlineStr">
        <is>
          <t>Concrete</t>
        </is>
      </c>
      <c r="H146" s="6" t="n">
        <v>1</v>
      </c>
      <c r="I146" s="6" t="n">
        <v>1</v>
      </c>
      <c r="J146" s="6" t="n">
        <v>1</v>
      </c>
      <c r="K146" s="6" t="n"/>
      <c r="X146" s="6" t="n">
        <v>5000</v>
      </c>
    </row>
    <row r="147">
      <c r="A147" s="4" t="inlineStr">
        <is>
          <t>UPGRADES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t="inlineStr">
        <is>
          <t>tiberiansun</t>
        </is>
      </c>
      <c r="B148" t="inlineStr">
        <is>
          <t>cabal_upgrade_backupsystems</t>
        </is>
      </c>
      <c r="C148" t="inlineStr">
        <is>
          <t>Backup Systems</t>
        </is>
      </c>
      <c r="D148" s="6" t="inlineStr">
        <is>
          <t>ResearchedUpgrade</t>
        </is>
      </c>
      <c r="E148" s="6" t="n"/>
      <c r="F148" s="6" t="n"/>
      <c r="H148" s="6" t="n">
        <v>0.8639</v>
      </c>
      <c r="I148" s="6" t="n">
        <v>1</v>
      </c>
      <c r="J148" s="6" t="n">
        <v>1</v>
      </c>
      <c r="K148" s="6" t="n"/>
      <c r="X148" s="6" t="n">
        <v>5000</v>
      </c>
    </row>
    <row r="149">
      <c r="A149" t="inlineStr">
        <is>
          <t>tiberiansun</t>
        </is>
      </c>
      <c r="B149" t="inlineStr">
        <is>
          <t>cabal_upgrade_cyberneticplating</t>
        </is>
      </c>
      <c r="C149" t="inlineStr">
        <is>
          <t>Cybernetic Plating</t>
        </is>
      </c>
      <c r="D149" s="6" t="inlineStr">
        <is>
          <t>ResearchedUpgrade</t>
        </is>
      </c>
      <c r="E149" s="6" t="n"/>
      <c r="F149" s="6" t="n"/>
      <c r="H149" s="6" t="n">
        <v>0.8639</v>
      </c>
      <c r="I149" s="6" t="n">
        <v>1</v>
      </c>
      <c r="J149" s="6" t="n">
        <v>1</v>
      </c>
      <c r="K149" s="6" t="n"/>
      <c r="X149" s="6" t="n">
        <v>5000</v>
      </c>
    </row>
    <row r="150">
      <c r="A150" t="inlineStr">
        <is>
          <t>tiberiansun</t>
        </is>
      </c>
      <c r="B150" t="inlineStr">
        <is>
          <t>cabal_upgrade_darkarmament</t>
        </is>
      </c>
      <c r="C150" t="inlineStr">
        <is>
          <t>Dark Armament</t>
        </is>
      </c>
      <c r="D150" s="6" t="inlineStr">
        <is>
          <t>ResearchedUpgrade</t>
        </is>
      </c>
      <c r="E150" s="6" t="n"/>
      <c r="F150" s="6" t="n"/>
      <c r="H150" s="6" t="n">
        <v>1</v>
      </c>
      <c r="I150" s="6" t="n">
        <v>1</v>
      </c>
      <c r="J150" s="6" t="n">
        <v>1</v>
      </c>
      <c r="K150" s="6" t="n"/>
      <c r="X150" s="6" t="n">
        <v>2500</v>
      </c>
    </row>
    <row r="151">
      <c r="A151" t="inlineStr">
        <is>
          <t>tiberiansun</t>
        </is>
      </c>
      <c r="B151" t="inlineStr">
        <is>
          <t>cabal_upgrade_dataworm</t>
        </is>
      </c>
      <c r="C151" t="inlineStr">
        <is>
          <t>Data Worm</t>
        </is>
      </c>
      <c r="D151" s="6" t="inlineStr">
        <is>
          <t>ResearchedUpgrade</t>
        </is>
      </c>
      <c r="E151" s="6" t="n"/>
      <c r="F151" s="6" t="n"/>
      <c r="H151" s="6" t="n">
        <v>0.8639</v>
      </c>
      <c r="I151" s="6" t="n">
        <v>1</v>
      </c>
      <c r="J151" s="6" t="n">
        <v>1</v>
      </c>
      <c r="K151" s="6" t="n"/>
      <c r="X151" s="6" t="n">
        <v>10000</v>
      </c>
    </row>
    <row r="152">
      <c r="A152" t="inlineStr">
        <is>
          <t>tiberiansun</t>
        </is>
      </c>
      <c r="B152" t="inlineStr">
        <is>
          <t>cabal_upgrade_firewallprotocol</t>
        </is>
      </c>
      <c r="C152" t="inlineStr">
        <is>
          <t>Firewall Protocol</t>
        </is>
      </c>
      <c r="D152" s="6" t="inlineStr">
        <is>
          <t>ResearchedUpgrade</t>
        </is>
      </c>
      <c r="E152" s="6" t="n"/>
      <c r="F152" s="6" t="n"/>
      <c r="H152" s="6" t="n">
        <v>0.8639</v>
      </c>
      <c r="I152" s="6" t="n">
        <v>1</v>
      </c>
      <c r="J152" s="6" t="n">
        <v>1</v>
      </c>
      <c r="K152" s="6" t="n"/>
      <c r="X152" s="6" t="n">
        <v>5000</v>
      </c>
    </row>
    <row r="153">
      <c r="A153" t="inlineStr">
        <is>
          <t>tiberiansun</t>
        </is>
      </c>
      <c r="B153" t="inlineStr">
        <is>
          <t>cabal_upgrade_fullassimilation</t>
        </is>
      </c>
      <c r="C153" t="inlineStr">
        <is>
          <t>Full Assimilation</t>
        </is>
      </c>
      <c r="D153" s="6" t="inlineStr">
        <is>
          <t>ResearchedUpgrade</t>
        </is>
      </c>
      <c r="E153" s="6" t="n"/>
      <c r="F153" s="6" t="n"/>
      <c r="H153" s="6" t="n">
        <v>0.8639</v>
      </c>
      <c r="I153" s="6" t="n">
        <v>1</v>
      </c>
      <c r="J153" s="6" t="n">
        <v>1</v>
      </c>
      <c r="K153" s="6" t="n"/>
      <c r="X153" s="6" t="n">
        <v>10000</v>
      </c>
    </row>
    <row r="154">
      <c r="A154" t="inlineStr">
        <is>
          <t>tiberiansun</t>
        </is>
      </c>
      <c r="B154" t="inlineStr">
        <is>
          <t>cabal_upgrade_handof</t>
        </is>
      </c>
      <c r="C154" t="inlineStr">
        <is>
          <t>Hand of CABAL</t>
        </is>
      </c>
      <c r="D154" s="6" t="inlineStr">
        <is>
          <t>ResearchedUpgrade</t>
        </is>
      </c>
      <c r="E154" s="6" t="n"/>
      <c r="F154" s="6" t="n"/>
      <c r="H154" s="6" t="n">
        <v>0.8639</v>
      </c>
      <c r="I154" s="6" t="n">
        <v>1</v>
      </c>
      <c r="J154" s="6" t="n">
        <v>1</v>
      </c>
      <c r="K154" s="6" t="n"/>
      <c r="X154" s="6" t="n">
        <v>12500</v>
      </c>
    </row>
    <row r="155">
      <c r="A155" t="inlineStr">
        <is>
          <t>tiberiansun</t>
        </is>
      </c>
      <c r="B155" t="inlineStr">
        <is>
          <t>cabal_upgrade_mobilitymatrix</t>
        </is>
      </c>
      <c r="C155" t="inlineStr">
        <is>
          <t>Mobility Matrix</t>
        </is>
      </c>
      <c r="D155" s="6" t="inlineStr">
        <is>
          <t>ResearchedUpgrade</t>
        </is>
      </c>
      <c r="E155" s="6" t="n"/>
      <c r="F155" s="6" t="n"/>
      <c r="H155" s="6" t="n">
        <v>1</v>
      </c>
      <c r="I155" s="6" t="n">
        <v>1</v>
      </c>
      <c r="J155" s="6" t="n">
        <v>1</v>
      </c>
      <c r="K155" s="6" t="n"/>
      <c r="X155" s="6" t="n">
        <v>2500</v>
      </c>
    </row>
    <row r="156">
      <c r="A156" t="inlineStr">
        <is>
          <t>tiberiansun</t>
        </is>
      </c>
      <c r="B156" t="inlineStr">
        <is>
          <t>cabal_upgrade_networkedcombatprotocols</t>
        </is>
      </c>
      <c r="C156" t="inlineStr">
        <is>
          <t>Networked Combat Protocols</t>
        </is>
      </c>
      <c r="D156" s="6" t="inlineStr">
        <is>
          <t>ResearchedUpgrade</t>
        </is>
      </c>
      <c r="E156" s="6" t="n"/>
      <c r="F156" s="6" t="n"/>
      <c r="H156" s="6" t="n">
        <v>1</v>
      </c>
      <c r="I156" s="6" t="n">
        <v>1</v>
      </c>
      <c r="J156" s="6" t="n">
        <v>1</v>
      </c>
      <c r="K156" s="6" t="n"/>
      <c r="X156" s="6" t="n">
        <v>3500</v>
      </c>
    </row>
    <row r="157">
      <c r="A157" t="inlineStr">
        <is>
          <t>tiberiansun</t>
        </is>
      </c>
      <c r="B157" t="inlineStr">
        <is>
          <t>cabal_upgrade_neuraluplink</t>
        </is>
      </c>
      <c r="C157" t="inlineStr">
        <is>
          <t>Neural Uplink</t>
        </is>
      </c>
      <c r="D157" s="6" t="inlineStr">
        <is>
          <t>ResearchedUpgrade</t>
        </is>
      </c>
      <c r="E157" s="6" t="n"/>
      <c r="F157" s="6" t="n"/>
      <c r="H157" s="6" t="n">
        <v>0.8639</v>
      </c>
      <c r="I157" s="6" t="n">
        <v>1</v>
      </c>
      <c r="J157" s="6" t="n">
        <v>1</v>
      </c>
      <c r="K157" s="6" t="n"/>
      <c r="X157" s="6" t="n">
        <v>5000</v>
      </c>
    </row>
    <row r="158">
      <c r="A158" t="inlineStr">
        <is>
          <t>tiberiansun</t>
        </is>
      </c>
      <c r="B158" t="inlineStr">
        <is>
          <t>cabal_upgrade_neutronnuclearcatalyst</t>
        </is>
      </c>
      <c r="C158" t="inlineStr">
        <is>
          <t>Neutron Nuclear Catalyst</t>
        </is>
      </c>
      <c r="D158" s="6" t="inlineStr">
        <is>
          <t>ResearchedUpgrade</t>
        </is>
      </c>
      <c r="E158" s="6" t="n"/>
      <c r="F158" s="6" t="n"/>
      <c r="H158" s="6" t="n">
        <v>1</v>
      </c>
      <c r="I158" s="6" t="n">
        <v>1</v>
      </c>
      <c r="J158" s="6" t="n">
        <v>1</v>
      </c>
      <c r="K158" s="6" t="n"/>
      <c r="X158" s="6" t="n">
        <v>5000</v>
      </c>
    </row>
    <row r="159">
      <c r="A159" t="inlineStr">
        <is>
          <t>tiberiansun</t>
        </is>
      </c>
      <c r="B159" t="inlineStr">
        <is>
          <t>cabal_upgrade_overchargedservos</t>
        </is>
      </c>
      <c r="C159" t="inlineStr">
        <is>
          <t>Overcharged Servos</t>
        </is>
      </c>
      <c r="D159" s="6" t="inlineStr">
        <is>
          <t>ResearchedUpgrade</t>
        </is>
      </c>
      <c r="E159" s="6" t="n"/>
      <c r="F159" s="6" t="n"/>
      <c r="H159" s="6" t="n">
        <v>0.8639</v>
      </c>
      <c r="I159" s="6" t="n">
        <v>1</v>
      </c>
      <c r="J159" s="6" t="n">
        <v>1</v>
      </c>
      <c r="K159" s="6" t="n"/>
      <c r="X159" s="6" t="n">
        <v>7500</v>
      </c>
    </row>
    <row r="160">
      <c r="A160" t="inlineStr">
        <is>
          <t>tiberiansun</t>
        </is>
      </c>
      <c r="B160" t="inlineStr">
        <is>
          <t>cabal_upgrade_radarhack</t>
        </is>
      </c>
      <c r="C160" t="inlineStr">
        <is>
          <t>Radar Hack</t>
        </is>
      </c>
      <c r="D160" s="6" t="inlineStr">
        <is>
          <t>ResearchedUpgrade</t>
        </is>
      </c>
      <c r="E160" s="6" t="n"/>
      <c r="F160" s="6" t="n"/>
      <c r="H160" s="6" t="n">
        <v>1</v>
      </c>
      <c r="I160" s="6" t="n">
        <v>1</v>
      </c>
      <c r="J160" s="6" t="n">
        <v>1</v>
      </c>
      <c r="K160" s="6" t="n"/>
      <c r="X160" s="6" t="n">
        <v>2500</v>
      </c>
    </row>
    <row r="161">
      <c r="A161" t="inlineStr">
        <is>
          <t>tiberiansun</t>
        </is>
      </c>
      <c r="B161" t="inlineStr">
        <is>
          <t>cabal_upgrade_reclamationprotocols</t>
        </is>
      </c>
      <c r="C161" t="inlineStr">
        <is>
          <t>Reclamation Protocols</t>
        </is>
      </c>
      <c r="D161" s="6" t="inlineStr">
        <is>
          <t>ResearchedUpgrade</t>
        </is>
      </c>
      <c r="E161" s="6" t="n"/>
      <c r="F161" s="6" t="n"/>
      <c r="H161" s="6" t="n">
        <v>0.8639</v>
      </c>
      <c r="I161" s="6" t="n">
        <v>1</v>
      </c>
      <c r="J161" s="6" t="n">
        <v>1</v>
      </c>
      <c r="K161" s="6" t="n"/>
      <c r="X161" s="6" t="n">
        <v>5000</v>
      </c>
    </row>
    <row r="162">
      <c r="A162" t="inlineStr">
        <is>
          <t>tiberiansun</t>
        </is>
      </c>
      <c r="B162" t="inlineStr">
        <is>
          <t>cabal_upgrade_reinforcedchassis</t>
        </is>
      </c>
      <c r="C162" t="inlineStr">
        <is>
          <t>Reinforced Chassis</t>
        </is>
      </c>
      <c r="D162" s="6" t="inlineStr">
        <is>
          <t>ResearchedUpgrade</t>
        </is>
      </c>
      <c r="E162" s="6" t="n"/>
      <c r="F162" s="6" t="n"/>
      <c r="H162" s="6" t="n">
        <v>0.8639</v>
      </c>
      <c r="I162" s="6" t="n">
        <v>1</v>
      </c>
      <c r="J162" s="6" t="n">
        <v>1</v>
      </c>
      <c r="K162" s="6" t="n"/>
      <c r="X162" s="6" t="n">
        <v>7500</v>
      </c>
    </row>
    <row r="163">
      <c r="A163" s="4" t="inlineStr">
        <is>
          <t>PROMOTIONS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t="inlineStr">
        <is>
          <t>tiberiansun</t>
        </is>
      </c>
      <c r="B164" t="inlineStr">
        <is>
          <t>cabal_promotion_ascended</t>
        </is>
      </c>
      <c r="C164" t="inlineStr">
        <is>
          <t>Unlock Ascended</t>
        </is>
      </c>
      <c r="D164" s="6" t="inlineStr">
        <is>
          <t>PromotionUpgrade</t>
        </is>
      </c>
      <c r="E164" s="6" t="n"/>
      <c r="F164" s="6" t="n"/>
      <c r="H164" s="6" t="n">
        <v>1</v>
      </c>
      <c r="I164" s="6" t="n">
        <v>1</v>
      </c>
      <c r="J164" s="6" t="n">
        <v>1</v>
      </c>
      <c r="K164" s="6" t="n"/>
      <c r="X164" s="6" t="n"/>
    </row>
    <row r="165">
      <c r="A165" t="inlineStr">
        <is>
          <t>tiberiansun</t>
        </is>
      </c>
      <c r="B165" t="inlineStr">
        <is>
          <t>cabal_promotion_beholder</t>
        </is>
      </c>
      <c r="C165" t="inlineStr">
        <is>
          <t>Unlock Beholder</t>
        </is>
      </c>
      <c r="D165" s="6" t="inlineStr">
        <is>
          <t>PromotionUpgrade</t>
        </is>
      </c>
      <c r="E165" s="6" t="n"/>
      <c r="F165" s="6" t="n"/>
      <c r="H165" s="6" t="n">
        <v>1</v>
      </c>
      <c r="I165" s="6" t="n">
        <v>1</v>
      </c>
      <c r="J165" s="6" t="n">
        <v>1</v>
      </c>
      <c r="K165" s="6" t="n"/>
      <c r="X165" s="6" t="n"/>
    </row>
    <row r="166">
      <c r="A166" t="inlineStr">
        <is>
          <t>tiberiansun</t>
        </is>
      </c>
      <c r="B166" t="inlineStr">
        <is>
          <t>cabal_promotion_coredefender</t>
        </is>
      </c>
      <c r="C166" t="inlineStr">
        <is>
          <t>Unlock Core Defender</t>
        </is>
      </c>
      <c r="D166" s="6" t="inlineStr">
        <is>
          <t>PromotionUpgrade</t>
        </is>
      </c>
      <c r="E166" s="6" t="n"/>
      <c r="F166" s="6" t="n"/>
      <c r="H166" s="6" t="n">
        <v>1</v>
      </c>
      <c r="I166" s="6" t="n">
        <v>1</v>
      </c>
      <c r="J166" s="6" t="n">
        <v>1</v>
      </c>
      <c r="K166" s="6" t="n"/>
      <c r="X166" s="6" t="n"/>
    </row>
    <row r="167">
      <c r="A167" t="inlineStr">
        <is>
          <t>tiberiansun</t>
        </is>
      </c>
      <c r="B167" t="inlineStr">
        <is>
          <t>cabal_promotion_cyborgassassin</t>
        </is>
      </c>
      <c r="C167" t="inlineStr">
        <is>
          <t>Unlock Cyborg Assassin</t>
        </is>
      </c>
      <c r="D167" s="6" t="inlineStr">
        <is>
          <t>PromotionUpgrade</t>
        </is>
      </c>
      <c r="E167" s="6" t="n"/>
      <c r="F167" s="6" t="n"/>
      <c r="H167" s="6" t="n">
        <v>1</v>
      </c>
      <c r="I167" s="6" t="n">
        <v>1</v>
      </c>
      <c r="J167" s="6" t="n">
        <v>1</v>
      </c>
      <c r="K167" s="6" t="n"/>
      <c r="X167" s="6" t="n"/>
    </row>
    <row r="168">
      <c r="A168" t="inlineStr">
        <is>
          <t>tiberiansun</t>
        </is>
      </c>
      <c r="B168" t="inlineStr">
        <is>
          <t>cabal_promotion_cyborgcommandov2</t>
        </is>
      </c>
      <c r="C168" t="inlineStr">
        <is>
          <t>Unlock Cyborg Commando V2</t>
        </is>
      </c>
      <c r="D168" s="6" t="inlineStr">
        <is>
          <t>PromotionUpgrade</t>
        </is>
      </c>
      <c r="E168" s="6" t="n"/>
      <c r="F168" s="6" t="n"/>
      <c r="H168" s="6" t="n">
        <v>1</v>
      </c>
      <c r="I168" s="6" t="n">
        <v>1</v>
      </c>
      <c r="J168" s="6" t="n">
        <v>1</v>
      </c>
      <c r="K168" s="6" t="n"/>
      <c r="X168" s="6" t="n"/>
    </row>
    <row r="169">
      <c r="A169" t="inlineStr">
        <is>
          <t>tiberiansun</t>
        </is>
      </c>
      <c r="B169" t="inlineStr">
        <is>
          <t>cabal_promotion_devout</t>
        </is>
      </c>
      <c r="C169" t="inlineStr">
        <is>
          <t>Unlock Devout</t>
        </is>
      </c>
      <c r="D169" s="6" t="inlineStr">
        <is>
          <t>PromotionUpgrade</t>
        </is>
      </c>
      <c r="E169" s="6" t="n"/>
      <c r="F169" s="6" t="n"/>
      <c r="H169" s="6" t="n">
        <v>1</v>
      </c>
      <c r="I169" s="6" t="n">
        <v>1</v>
      </c>
      <c r="J169" s="6" t="n">
        <v>1</v>
      </c>
      <c r="K169" s="6" t="n"/>
      <c r="X169" s="6" t="n"/>
    </row>
    <row r="170">
      <c r="A170" t="inlineStr">
        <is>
          <t>tiberiansun</t>
        </is>
      </c>
      <c r="B170" t="inlineStr">
        <is>
          <t>cabal_promotion_hunterdronecarrier</t>
        </is>
      </c>
      <c r="C170" t="inlineStr">
        <is>
          <t>Unlock Hunter Drone Carrier</t>
        </is>
      </c>
      <c r="D170" s="6" t="inlineStr">
        <is>
          <t>PromotionUpgrade</t>
        </is>
      </c>
      <c r="E170" s="6" t="n"/>
      <c r="F170" s="6" t="n"/>
      <c r="H170" s="6" t="n">
        <v>1</v>
      </c>
      <c r="I170" s="6" t="n">
        <v>1</v>
      </c>
      <c r="J170" s="6" t="n">
        <v>1</v>
      </c>
      <c r="K170" s="6" t="n"/>
      <c r="X170" s="6" t="n"/>
    </row>
    <row r="171">
      <c r="A171" t="inlineStr">
        <is>
          <t>tiberiansun</t>
        </is>
      </c>
      <c r="B171" t="inlineStr">
        <is>
          <t>cabal_promotion_manticore</t>
        </is>
      </c>
      <c r="C171" t="inlineStr">
        <is>
          <t>Unlock Heavy Reaper</t>
        </is>
      </c>
      <c r="D171" s="6" t="inlineStr">
        <is>
          <t>PromotionUpgrade</t>
        </is>
      </c>
      <c r="E171" s="6" t="n"/>
      <c r="F171" s="6" t="n"/>
      <c r="H171" s="6" t="n">
        <v>1</v>
      </c>
      <c r="I171" s="6" t="n">
        <v>1</v>
      </c>
      <c r="J171" s="6" t="n">
        <v>1</v>
      </c>
      <c r="K171" s="6" t="n"/>
      <c r="X171" s="6" t="n"/>
    </row>
    <row r="172">
      <c r="A172" t="inlineStr">
        <is>
          <t>tiberiansun</t>
        </is>
      </c>
      <c r="B172" t="inlineStr">
        <is>
          <t>cabal_promotion_mothership</t>
        </is>
      </c>
      <c r="C172" t="inlineStr">
        <is>
          <t>Unlock Mothership</t>
        </is>
      </c>
      <c r="D172" s="6" t="inlineStr">
        <is>
          <t>PromotionUpgrade</t>
        </is>
      </c>
      <c r="E172" s="6" t="n"/>
      <c r="F172" s="6" t="n"/>
      <c r="H172" s="6" t="n">
        <v>1</v>
      </c>
      <c r="I172" s="6" t="n">
        <v>1</v>
      </c>
      <c r="J172" s="6" t="n">
        <v>1</v>
      </c>
      <c r="K172" s="6" t="n"/>
      <c r="X172" s="6" t="n"/>
    </row>
    <row r="173">
      <c r="A173" t="inlineStr">
        <is>
          <t>tiberiansun</t>
        </is>
      </c>
      <c r="B173" t="inlineStr">
        <is>
          <t>cabal_promotion_overkillgunship</t>
        </is>
      </c>
      <c r="C173" t="inlineStr">
        <is>
          <t>Unlock Overkill Gunship</t>
        </is>
      </c>
      <c r="D173" s="6" t="inlineStr">
        <is>
          <t>PromotionUpgrade</t>
        </is>
      </c>
      <c r="E173" s="6" t="n"/>
      <c r="F173" s="6" t="n"/>
      <c r="H173" s="6" t="n">
        <v>1</v>
      </c>
      <c r="I173" s="6" t="n">
        <v>1</v>
      </c>
      <c r="J173" s="6" t="n">
        <v>1</v>
      </c>
      <c r="K173" s="6" t="n"/>
      <c r="X173" s="6" t="n"/>
    </row>
    <row r="174">
      <c r="A174" t="inlineStr">
        <is>
          <t>tiberiansun</t>
        </is>
      </c>
      <c r="B174" t="inlineStr">
        <is>
          <t>cabal_promotion_spidercnc4</t>
        </is>
      </c>
      <c r="C174" t="inlineStr">
        <is>
          <t>Unlock Spider CNC4</t>
        </is>
      </c>
      <c r="D174" s="6" t="inlineStr">
        <is>
          <t>PromotionUpgrade</t>
        </is>
      </c>
      <c r="E174" s="6" t="n"/>
      <c r="F174" s="6" t="n"/>
      <c r="H174" s="6" t="n">
        <v>1</v>
      </c>
      <c r="I174" s="6" t="n">
        <v>1</v>
      </c>
      <c r="J174" s="6" t="n">
        <v>1</v>
      </c>
      <c r="K174" s="6" t="n"/>
      <c r="X174" s="6" t="n"/>
    </row>
    <row r="175">
      <c r="A175" t="inlineStr">
        <is>
          <t>tiberiansun</t>
        </is>
      </c>
      <c r="B175" t="inlineStr">
        <is>
          <t>cabal_promotion_widow</t>
        </is>
      </c>
      <c r="C175" t="inlineStr">
        <is>
          <t>Unlock Widow</t>
        </is>
      </c>
      <c r="D175" s="6" t="inlineStr">
        <is>
          <t>PromotionUpgrade</t>
        </is>
      </c>
      <c r="E175" s="6" t="n"/>
      <c r="F175" s="6" t="n"/>
      <c r="H175" s="6" t="n">
        <v>1</v>
      </c>
      <c r="I175" s="6" t="n">
        <v>1</v>
      </c>
      <c r="J175" s="6" t="n">
        <v>1</v>
      </c>
      <c r="K175" s="6" t="n"/>
      <c r="X17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ts_nod_chameleonspy</t>
        </is>
      </c>
      <c r="C3" t="inlineStr">
        <is>
          <t>Chameleon Spy</t>
        </is>
      </c>
      <c r="D3" s="6" t="inlineStr">
        <is>
          <t>MeleeInfantry</t>
        </is>
      </c>
      <c r="E3" s="6" t="n">
        <v>30000</v>
      </c>
      <c r="F3" s="6" t="n">
        <v>90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ChamBlade</t>
        </is>
      </c>
      <c r="C4" s="7" t="inlineStr">
        <is>
          <t>Armament@PRIMARY</t>
        </is>
      </c>
      <c r="L4" s="6" t="n">
        <v>50000</v>
      </c>
      <c r="M4" s="6" t="n">
        <v>52</v>
      </c>
      <c r="N4" s="6" t="n">
        <v>1</v>
      </c>
      <c r="O4" s="6" t="n"/>
      <c r="P4" s="6" t="n">
        <v>1538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A5" t="inlineStr">
        <is>
          <t>tiberiansun</t>
        </is>
      </c>
      <c r="B5" t="inlineStr">
        <is>
          <t>ts_nod_elitecadre</t>
        </is>
      </c>
      <c r="C5" t="inlineStr">
        <is>
          <t>Elite Cadre</t>
        </is>
      </c>
      <c r="D5" s="6" t="inlineStr">
        <is>
          <t>AntiTankAntiAirInfantry</t>
        </is>
      </c>
      <c r="E5" s="6" t="n">
        <v>21000</v>
      </c>
      <c r="F5" s="6" t="n">
        <v>55</v>
      </c>
      <c r="G5" t="inlineStr">
        <is>
          <t>Flak</t>
        </is>
      </c>
      <c r="H5" s="6" t="n">
        <v>0.75</v>
      </c>
      <c r="I5" s="6" t="n">
        <v>1</v>
      </c>
      <c r="J5" s="6" t="n">
        <v>1</v>
      </c>
      <c r="K5" s="6" t="n">
        <v>0.009300000000000001</v>
      </c>
      <c r="P5">
        <f>MAX(P6,P7,P10)</f>
        <v/>
      </c>
      <c r="S5">
        <f>S6+S7+S10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(((E5/15000)+(F5/50)+(S5/240)+((P5/6000)*J5))*200/4+(((E5/15000)*(F5/50))+(((P5/6000)*J5)*(S5/240)))*200/2+((E5/15000)*(F5/50)*((P5/6000)*J5)*(S5/240))*200)*(H5/1.0)/3</f>
        <v/>
      </c>
      <c r="X5" s="6" t="n">
        <v>435</v>
      </c>
      <c r="Y5">
        <f>IFERROR(W5-X5,"")</f>
        <v/>
      </c>
      <c r="Z5">
        <f>IFERROR(ABS(Y5)/MAX(X5,1),"")</f>
        <v/>
      </c>
      <c r="AA5">
        <f>IFERROR(ROUND(((3*X5-(((E5/15000)+(F5/50)+(S5/240))*200/4+((E5/15000)*(F5/50))*200/2)*(H5/1.0))/(200/4+((S5/240))*200/2+((E5/15000)*(F5/50)*(S5/240))*200)*(H5/1.0)*6000)/J5,-1),"")</f>
        <v/>
      </c>
    </row>
    <row r="6">
      <c r="B6" s="7" t="inlineStr">
        <is>
          <t xml:space="preserve">  ↳ elitecadregun</t>
        </is>
      </c>
      <c r="C6" s="7" t="inlineStr">
        <is>
          <t>Armament@PRIMARY</t>
        </is>
      </c>
      <c r="L6" s="6" t="n">
        <v>16000</v>
      </c>
      <c r="M6" s="6" t="n">
        <v>52</v>
      </c>
      <c r="N6" s="6" t="n">
        <v>5</v>
      </c>
      <c r="O6" s="6" t="n">
        <v>2</v>
      </c>
      <c r="P6" s="6" t="n">
        <v>6217</v>
      </c>
      <c r="Q6" s="6" t="n">
        <v>0.875</v>
      </c>
      <c r="R6">
        <f>M6+IF(N6&gt;1,N(O6)*(N6-1),0)</f>
        <v/>
      </c>
      <c r="S6">
        <f>IFERROR(L6*MAX(N6,1)/R6*IF(ISBLANK(K5),1,K5),0)</f>
        <v/>
      </c>
      <c r="AB6" s="7" t="inlineStr">
        <is>
          <t>^Warhead_Bullet_Light, ^Warhead_Bullet_Medium</t>
        </is>
      </c>
    </row>
    <row r="7">
      <c r="B7" s="7" t="inlineStr">
        <is>
          <t xml:space="preserve">  ↳ laserelitecadregun</t>
        </is>
      </c>
      <c r="C7" s="7" t="inlineStr">
        <is>
          <t>Armament@UPGRADE</t>
        </is>
      </c>
      <c r="L7" s="6" t="n">
        <v>6000</v>
      </c>
      <c r="M7" s="6" t="n">
        <v>50</v>
      </c>
      <c r="N7" s="6" t="n">
        <v>5</v>
      </c>
      <c r="O7" s="6" t="n">
        <v>2</v>
      </c>
      <c r="P7" s="6" t="n">
        <v>6677</v>
      </c>
      <c r="Q7" s="6" t="n">
        <v>1</v>
      </c>
      <c r="R7">
        <f>M7+IF(N7&gt;1,N(O7)*(N7-1),0)</f>
        <v/>
      </c>
      <c r="S7">
        <f>IFERROR(L7*MAX(N7,1)/R7*IF(ISBLANK(K5),1,K5),0)</f>
        <v/>
      </c>
      <c r="AB7" s="7" t="inlineStr">
        <is>
          <t>^SmallArms, ^Chaingun, ^LaserWeapon, ^TSLaserEffect</t>
        </is>
      </c>
    </row>
    <row r="8">
      <c r="B8" s="7" t="inlineStr">
        <is>
          <t xml:space="preserve">  ↳ elitecadregun</t>
        </is>
      </c>
      <c r="C8" s="7" t="inlineStr">
        <is>
          <t>Armament@GARRISONED</t>
        </is>
      </c>
      <c r="L8" s="6" t="n">
        <v>16000</v>
      </c>
      <c r="M8" s="6" t="n">
        <v>52</v>
      </c>
      <c r="N8" s="6" t="n">
        <v>5</v>
      </c>
      <c r="O8" s="6" t="n">
        <v>2</v>
      </c>
      <c r="P8" s="6" t="n">
        <v>6217</v>
      </c>
      <c r="Q8" s="6" t="n">
        <v>0.875</v>
      </c>
      <c r="R8">
        <f>M8+IF(N8&gt;1,N(O8)*(N8-1),0)</f>
        <v/>
      </c>
      <c r="S8">
        <f>IFERROR(L8*MAX(N8,1)/R8*IF(ISBLANK(K5),1,K5),0)</f>
        <v/>
      </c>
      <c r="AB8" s="7" t="inlineStr">
        <is>
          <t>^Warhead_Bullet_Light, ^Warhead_Bullet_Medium</t>
        </is>
      </c>
    </row>
    <row r="9">
      <c r="B9" s="7" t="inlineStr">
        <is>
          <t xml:space="preserve">  ↳ laserelitecadregun</t>
        </is>
      </c>
      <c r="C9" s="7" t="inlineStr">
        <is>
          <t>Armament@GARRISONEDUPGRADE</t>
        </is>
      </c>
      <c r="L9" s="6" t="n">
        <v>6000</v>
      </c>
      <c r="M9" s="6" t="n">
        <v>50</v>
      </c>
      <c r="N9" s="6" t="n">
        <v>5</v>
      </c>
      <c r="O9" s="6" t="n">
        <v>2</v>
      </c>
      <c r="P9" s="6" t="n">
        <v>6677</v>
      </c>
      <c r="Q9" s="6" t="n">
        <v>1</v>
      </c>
      <c r="R9">
        <f>M9+IF(N9&gt;1,N(O9)*(N9-1),0)</f>
        <v/>
      </c>
      <c r="S9">
        <f>IFERROR(L9*MAX(N9,1)/R9*IF(ISBLANK(K5),1,K5),0)</f>
        <v/>
      </c>
      <c r="AB9" s="7" t="inlineStr">
        <is>
          <t>^SmallArms, ^Chaingun, ^LaserWeapon, ^TSLaserEffect</t>
        </is>
      </c>
    </row>
    <row r="10">
      <c r="B10" s="7" t="inlineStr">
        <is>
          <t xml:space="preserve">  ↳ TSCadreGrenade</t>
        </is>
      </c>
      <c r="C10" s="7" t="inlineStr">
        <is>
          <t>Armament@SECONDARY</t>
        </is>
      </c>
      <c r="L10" s="6" t="n">
        <v>36000</v>
      </c>
      <c r="M10" s="6" t="n">
        <v>124</v>
      </c>
      <c r="N10" s="6" t="n">
        <v>1</v>
      </c>
      <c r="O10" s="6" t="n"/>
      <c r="P10" s="6" t="n">
        <v>6623</v>
      </c>
      <c r="Q10" s="6" t="n">
        <v>0.75</v>
      </c>
      <c r="R10">
        <f>M10+IF(N10&gt;1,N(O10)*(N10-1),0)</f>
        <v/>
      </c>
      <c r="S10">
        <f>IFERROR(L10*MAX(N10,1)/R10*IF(ISBLANK(K5),1,K5),0)</f>
        <v/>
      </c>
      <c r="AB10" s="7" t="inlineStr">
        <is>
          <t>^Warhead_Demolition_Light</t>
        </is>
      </c>
    </row>
    <row r="11">
      <c r="B11" s="7" t="inlineStr">
        <is>
          <t xml:space="preserve">  ↳ TSCadreGrenade</t>
        </is>
      </c>
      <c r="C11" s="7" t="inlineStr">
        <is>
          <t>Armament@GARRISONEDSECONDARY</t>
        </is>
      </c>
      <c r="L11" s="6" t="n">
        <v>36000</v>
      </c>
      <c r="M11" s="6" t="n">
        <v>124</v>
      </c>
      <c r="N11" s="6" t="n">
        <v>1</v>
      </c>
      <c r="O11" s="6" t="n"/>
      <c r="P11" s="6" t="n">
        <v>6623</v>
      </c>
      <c r="Q11" s="6" t="n">
        <v>0.75</v>
      </c>
      <c r="R11">
        <f>M11+IF(N11&gt;1,N(O11)*(N11-1),0)</f>
        <v/>
      </c>
      <c r="S11">
        <f>IFERROR(L11*MAX(N11,1)/R11*IF(ISBLANK(K5),1,K5),0)</f>
        <v/>
      </c>
      <c r="AB11" s="7" t="inlineStr">
        <is>
          <t>^Warhead_Demolition_Light</t>
        </is>
      </c>
    </row>
    <row r="12">
      <c r="A12" t="inlineStr">
        <is>
          <t>tiberiansun</t>
        </is>
      </c>
      <c r="B12" t="inlineStr">
        <is>
          <t>ts_nod_engineer</t>
        </is>
      </c>
      <c r="C12" t="inlineStr">
        <is>
          <t>Engineer</t>
        </is>
      </c>
      <c r="D12" s="6" t="inlineStr">
        <is>
          <t>SniperInfantry</t>
        </is>
      </c>
      <c r="E12" s="6" t="n">
        <v>10000</v>
      </c>
      <c r="F12" s="6" t="n">
        <v>55</v>
      </c>
      <c r="G12" t="inlineStr">
        <is>
          <t>Flak</t>
        </is>
      </c>
      <c r="H12" s="6" t="n">
        <v>1</v>
      </c>
      <c r="I12" s="6" t="n">
        <v>1</v>
      </c>
      <c r="J12" s="6" t="n">
        <v>1</v>
      </c>
      <c r="K12" s="6" t="n"/>
      <c r="P12">
        <f>MAX(P15)</f>
        <v/>
      </c>
      <c r="S12">
        <f>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(((E12/5000)+(F12/50)+(S12/0)+((P12/0)*J12))*500/4+(((E12/5000)*(F12/50))+(((P12/0)*J12)*(S12/0)))*500/2+((E12/5000)*(F12/50)*((P12/0)*J12)*(S12/0))*500)*(H12/1.0)/3</f>
        <v/>
      </c>
      <c r="X12" s="6" t="n">
        <v>600</v>
      </c>
      <c r="Y12">
        <f>IFERROR(W12-X12,"")</f>
        <v/>
      </c>
      <c r="Z12">
        <f>IFERROR(ABS(Y12)/MAX(X12,1),"")</f>
        <v/>
      </c>
      <c r="AA12">
        <f>IFERROR(ROUND(((3*X12-(((E12/5000)+(F12/50)+(S12/0))*500/4+((E12/5000)*(F12/50))*500/2)*(H12/1.0))/(500/4+((S12/0))*500/2+((E12/5000)*(F12/50)*(S12/0))*500)*(H12/1.0)*0)/J12,-1),"")</f>
        <v/>
      </c>
    </row>
    <row r="13">
      <c r="B13" s="7" t="inlineStr">
        <is>
          <t xml:space="preserve">  ↳ DefuseKit</t>
        </is>
      </c>
      <c r="C13" s="7" t="inlineStr">
        <is>
          <t>Armament@defuse</t>
        </is>
      </c>
      <c r="L13" s="6" t="n"/>
      <c r="M13" s="6" t="n">
        <v>20</v>
      </c>
      <c r="N13" s="6" t="n">
        <v>1</v>
      </c>
      <c r="O13" s="6" t="n"/>
      <c r="P13" s="6" t="n">
        <v>1536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^RemovesIvanBombs, ^RemovesTerrorDrone</t>
        </is>
      </c>
    </row>
    <row r="14">
      <c r="B14" s="7" t="inlineStr">
        <is>
          <t xml:space="preserve">  ↳ LeechDisinfect</t>
        </is>
      </c>
      <c r="C14" s="7" t="inlineStr">
        <is>
          <t>Armament@leechdisinfect</t>
        </is>
      </c>
      <c r="L14" s="6" t="n"/>
      <c r="M14" s="6" t="n">
        <v>100</v>
      </c>
      <c r="N14" s="6" t="n">
        <v>1</v>
      </c>
      <c r="O14" s="6" t="n"/>
      <c r="P14" s="6" t="n">
        <v>1536</v>
      </c>
      <c r="Q14" s="6" t="n">
        <v>1</v>
      </c>
      <c r="R14">
        <f>M14+IF(N14&gt;1,N(O14)*(N14-1),0)</f>
        <v/>
      </c>
      <c r="S14">
        <f>IFERROR(L14*MAX(N14,1)/R14*IF(ISBLANK(K12),1,K12),0)</f>
        <v/>
      </c>
      <c r="AB14" s="7" t="inlineStr"/>
    </row>
    <row r="15">
      <c r="B15" s="7" t="inlineStr">
        <is>
          <t xml:space="preserve">  ↳ TSEngineerPistol</t>
        </is>
      </c>
      <c r="C15" s="7" t="inlineStr">
        <is>
          <t>Armament@PRIMARY</t>
        </is>
      </c>
      <c r="L15" s="6" t="n">
        <v>20000</v>
      </c>
      <c r="M15" s="6" t="n">
        <v>25</v>
      </c>
      <c r="N15" s="6" t="n">
        <v>1</v>
      </c>
      <c r="O15" s="6" t="n"/>
      <c r="P15" s="6" t="n">
        <v>4303</v>
      </c>
      <c r="Q15" s="6" t="n">
        <v>0.75</v>
      </c>
      <c r="R15">
        <f>M15+IF(N15&gt;1,N(O15)*(N15-1),0)</f>
        <v/>
      </c>
      <c r="S15">
        <f>IFERROR(L15*MAX(N15,1)/R15*IF(ISBLANK(K12),1,K12),0)</f>
        <v/>
      </c>
      <c r="AB15" s="7" t="inlineStr">
        <is>
          <t>^Warhead_Sniper_Light</t>
        </is>
      </c>
    </row>
    <row r="16">
      <c r="B16" s="7" t="inlineStr">
        <is>
          <t xml:space="preserve">  ↳ TSEngineerPistol</t>
        </is>
      </c>
      <c r="C16" s="7" t="inlineStr">
        <is>
          <t>Armament@GARRISONED</t>
        </is>
      </c>
      <c r="L16" s="6" t="n">
        <v>20000</v>
      </c>
      <c r="M16" s="6" t="n">
        <v>25</v>
      </c>
      <c r="N16" s="6" t="n">
        <v>1</v>
      </c>
      <c r="O16" s="6" t="n"/>
      <c r="P16" s="6" t="n">
        <v>4303</v>
      </c>
      <c r="Q16" s="6" t="n">
        <v>0.75</v>
      </c>
      <c r="R16">
        <f>M16+IF(N16&gt;1,N(O16)*(N16-1),0)</f>
        <v/>
      </c>
      <c r="S16">
        <f>IFERROR(L16*MAX(N16,1)/R16*IF(ISBLANK(K12),1,K12),0)</f>
        <v/>
      </c>
      <c r="AB16" s="7" t="inlineStr">
        <is>
          <t>^Warhead_Sniper_Light</t>
        </is>
      </c>
    </row>
    <row r="17">
      <c r="A17" t="inlineStr">
        <is>
          <t>tiberiansun</t>
        </is>
      </c>
      <c r="B17" t="inlineStr">
        <is>
          <t>ts_nod_lightinfantry</t>
        </is>
      </c>
      <c r="C17" t="inlineStr">
        <is>
          <t>Light Infantry</t>
        </is>
      </c>
      <c r="D17" s="6" t="inlineStr">
        <is>
          <t>ScoutInfantry</t>
        </is>
      </c>
      <c r="E17" s="6" t="n">
        <v>16000</v>
      </c>
      <c r="F17" s="6" t="n">
        <v>60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K17" s="6" t="n"/>
      <c r="P17">
        <f>MAX(P18,P20)</f>
        <v/>
      </c>
      <c r="S17">
        <f>S18+S20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(((E17/20000)+(F17/60)+(S17/60)+((P17/5000)*J17))*100/4+(((E17/20000)*(F17/60))+(((P17/5000)*J17)*(S17/60)))*100/2+((E17/20000)*(F17/60)*((P17/5000)*J17)*(S17/60))*100)*(H17/1.0)/3</f>
        <v/>
      </c>
      <c r="X17" s="6" t="n">
        <v>120</v>
      </c>
      <c r="Y17">
        <f>IFERROR(W17-X17,"")</f>
        <v/>
      </c>
      <c r="Z17">
        <f>IFERROR(ABS(Y17)/MAX(X17,1),"")</f>
        <v/>
      </c>
      <c r="AA17">
        <f>IFERROR(ROUND(((3*X17-(((E17/20000)+(F17/60)+(S17/60))*100/4+((E17/20000)*(F17/60))*100/2)*(H17/1.0))/(100/4+((S17/60))*100/2+((E17/20000)*(F17/60)*(S17/60))*100)*(H17/1.0)*5000)/J17,-1),"")</f>
        <v/>
      </c>
    </row>
    <row r="18">
      <c r="B18" s="7" t="inlineStr">
        <is>
          <t xml:space="preserve">  ↳ TSMinigun</t>
        </is>
      </c>
      <c r="C18" s="7" t="inlineStr">
        <is>
          <t>Armament@PRIMARY</t>
        </is>
      </c>
      <c r="L18" s="6" t="n">
        <v>2000</v>
      </c>
      <c r="M18" s="6" t="n">
        <v>12</v>
      </c>
      <c r="N18" s="6" t="n">
        <v>1</v>
      </c>
      <c r="O18" s="6" t="n"/>
      <c r="P18" s="6" t="n">
        <v>4062</v>
      </c>
      <c r="Q18" s="6" t="n">
        <v>0.75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^Warhead_Bullet_Light</t>
        </is>
      </c>
    </row>
    <row r="19">
      <c r="B19" s="7" t="inlineStr">
        <is>
          <t xml:space="preserve">  ↳ TSMinigun</t>
        </is>
      </c>
      <c r="C19" s="7" t="inlineStr">
        <is>
          <t>Armament@GARRISONED</t>
        </is>
      </c>
      <c r="L19" s="6" t="n">
        <v>2000</v>
      </c>
      <c r="M19" s="6" t="n">
        <v>12</v>
      </c>
      <c r="N19" s="6" t="n">
        <v>1</v>
      </c>
      <c r="O19" s="6" t="n"/>
      <c r="P19" s="6" t="n">
        <v>4062</v>
      </c>
      <c r="Q19" s="6" t="n">
        <v>0.75</v>
      </c>
      <c r="R19">
        <f>M19+IF(N19&gt;1,N(O19)*(N19-1),0)</f>
        <v/>
      </c>
      <c r="S19">
        <f>IFERROR(L19*MAX(N19,1)/R19*IF(ISBLANK(K17),1,K17),0)</f>
        <v/>
      </c>
      <c r="AB19" s="7" t="inlineStr">
        <is>
          <t>^Warhead_Bullet_Light</t>
        </is>
      </c>
    </row>
    <row r="20">
      <c r="B20" s="7" t="inlineStr">
        <is>
          <t xml:space="preserve">  ↳ TSLasergun</t>
        </is>
      </c>
      <c r="C20" s="7" t="inlineStr">
        <is>
          <t>Armament@UPGRADE</t>
        </is>
      </c>
      <c r="L20" s="6" t="n">
        <v>4000</v>
      </c>
      <c r="M20" s="6" t="n">
        <v>18</v>
      </c>
      <c r="N20" s="6" t="n">
        <v>1</v>
      </c>
      <c r="O20" s="6" t="n"/>
      <c r="P20" s="6" t="n">
        <v>4062</v>
      </c>
      <c r="Q20" s="6" t="n">
        <v>1</v>
      </c>
      <c r="R20">
        <f>M20+IF(N20&gt;1,N(O20)*(N20-1),0)</f>
        <v/>
      </c>
      <c r="S20">
        <f>IFERROR(L20*MAX(N20,1)/R20*IF(ISBLANK(K17),1,K17),0)</f>
        <v/>
      </c>
      <c r="AB20" s="7" t="inlineStr">
        <is>
          <t>^Warhead_Bullet_Light, ^Warhead_Laser_Heavy</t>
        </is>
      </c>
    </row>
    <row r="21">
      <c r="B21" s="7" t="inlineStr">
        <is>
          <t xml:space="preserve">  ↳ TSLasergun</t>
        </is>
      </c>
      <c r="C21" s="7" t="inlineStr">
        <is>
          <t>Armament@UPGRADEGARRISONED</t>
        </is>
      </c>
      <c r="L21" s="6" t="n">
        <v>4000</v>
      </c>
      <c r="M21" s="6" t="n">
        <v>18</v>
      </c>
      <c r="N21" s="6" t="n">
        <v>1</v>
      </c>
      <c r="O21" s="6" t="n"/>
      <c r="P21" s="6" t="n">
        <v>4062</v>
      </c>
      <c r="Q21" s="6" t="n">
        <v>1</v>
      </c>
      <c r="R21">
        <f>M21+IF(N21&gt;1,N(O21)*(N21-1),0)</f>
        <v/>
      </c>
      <c r="S21">
        <f>IFERROR(L21*MAX(N21,1)/R21*IF(ISBLANK(K17),1,K17),0)</f>
        <v/>
      </c>
      <c r="AB21" s="7" t="inlineStr">
        <is>
          <t>^Warhead_Bullet_Light, ^Warhead_Laser_Heavy</t>
        </is>
      </c>
    </row>
    <row r="22">
      <c r="A22" t="inlineStr">
        <is>
          <t>tiberiansun</t>
        </is>
      </c>
      <c r="B22" t="inlineStr">
        <is>
          <t>ts_nod_rocketinfantry</t>
        </is>
      </c>
      <c r="C22" t="inlineStr">
        <is>
          <t>Rocket Infantry</t>
        </is>
      </c>
      <c r="D22" s="6" t="inlineStr">
        <is>
          <t>AntiTankAntiAirInfantry</t>
        </is>
      </c>
      <c r="E22" s="6" t="n">
        <v>12000</v>
      </c>
      <c r="F22" s="6" t="n">
        <v>50</v>
      </c>
      <c r="G22" t="inlineStr">
        <is>
          <t>Flak</t>
        </is>
      </c>
      <c r="H22" s="6" t="n">
        <v>1</v>
      </c>
      <c r="I22" s="6" t="n">
        <v>1</v>
      </c>
      <c r="J22" s="6" t="n">
        <v>1</v>
      </c>
      <c r="K22" s="6" t="n"/>
      <c r="P22">
        <f>MAX(P23,P25)</f>
        <v/>
      </c>
      <c r="S22">
        <f>S23+S25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300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TSBazooka</t>
        </is>
      </c>
      <c r="C23" s="7" t="inlineStr">
        <is>
          <t>Armament@PRIMARY</t>
        </is>
      </c>
      <c r="L23" s="6" t="n">
        <v>24000</v>
      </c>
      <c r="M23" s="6" t="n">
        <v>52</v>
      </c>
      <c r="N23" s="6" t="n">
        <v>1</v>
      </c>
      <c r="O23" s="6" t="n"/>
      <c r="P23" s="6" t="n">
        <v>6694</v>
      </c>
      <c r="Q23" s="6" t="n">
        <v>0.75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^Warhead_MissileAP_Light</t>
        </is>
      </c>
    </row>
    <row r="24">
      <c r="B24" s="7" t="inlineStr">
        <is>
          <t xml:space="preserve">  ↳ TSBazooka</t>
        </is>
      </c>
      <c r="C24" s="7" t="inlineStr">
        <is>
          <t>Armament@GARRISONED</t>
        </is>
      </c>
      <c r="L24" s="6" t="n">
        <v>24000</v>
      </c>
      <c r="M24" s="6" t="n">
        <v>52</v>
      </c>
      <c r="N24" s="6" t="n">
        <v>1</v>
      </c>
      <c r="O24" s="6" t="n"/>
      <c r="P24" s="6" t="n">
        <v>6694</v>
      </c>
      <c r="Q24" s="6" t="n">
        <v>0.75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^Warhead_MissileAP_Light</t>
        </is>
      </c>
    </row>
    <row r="25">
      <c r="B25" s="7" t="inlineStr">
        <is>
          <t xml:space="preserve">  ↳ TSTibBazooka</t>
        </is>
      </c>
      <c r="C25" s="7" t="inlineStr">
        <is>
          <t>Armament@UPGRADE</t>
        </is>
      </c>
      <c r="L25" s="6" t="n">
        <v>30000</v>
      </c>
      <c r="M25" s="6" t="n">
        <v>52</v>
      </c>
      <c r="N25" s="6" t="n">
        <v>1</v>
      </c>
      <c r="O25" s="6" t="n"/>
      <c r="P25" s="6" t="n">
        <v>6694</v>
      </c>
      <c r="Q25" s="6" t="n">
        <v>1</v>
      </c>
      <c r="R25">
        <f>M25+IF(N25&gt;1,N(O25)*(N25-1),0)</f>
        <v/>
      </c>
      <c r="S25">
        <f>IFERROR(L25*MAX(N25,1)/R25*IF(ISBLANK(K22),1,K22),0)</f>
        <v/>
      </c>
      <c r="AB25" s="7" t="inlineStr">
        <is>
          <t>^LightChemicalWeapon, ^LightMissile</t>
        </is>
      </c>
    </row>
    <row r="26">
      <c r="B26" s="7" t="inlineStr">
        <is>
          <t xml:space="preserve">  ↳ TSTibBazooka</t>
        </is>
      </c>
      <c r="C26" s="7" t="inlineStr">
        <is>
          <t>Armament@GARRISONEDUPGRADE</t>
        </is>
      </c>
      <c r="L26" s="6" t="n">
        <v>30000</v>
      </c>
      <c r="M26" s="6" t="n">
        <v>52</v>
      </c>
      <c r="N26" s="6" t="n">
        <v>1</v>
      </c>
      <c r="O26" s="6" t="n"/>
      <c r="P26" s="6" t="n">
        <v>6694</v>
      </c>
      <c r="Q26" s="6" t="n">
        <v>1</v>
      </c>
      <c r="R26">
        <f>M26+IF(N26&gt;1,N(O26)*(N26-1),0)</f>
        <v/>
      </c>
      <c r="S26">
        <f>IFERROR(L26*MAX(N26,1)/R26*IF(ISBLANK(K22),1,K22),0)</f>
        <v/>
      </c>
      <c r="AB26" s="7" t="inlineStr">
        <is>
          <t>^LightChemicalWeapon, ^LightMissile</t>
        </is>
      </c>
    </row>
    <row r="27">
      <c r="A27" t="inlineStr">
        <is>
          <t>tiberiansun</t>
        </is>
      </c>
      <c r="B27" t="inlineStr">
        <is>
          <t>ts_nod_shadowteam</t>
        </is>
      </c>
      <c r="C27" t="inlineStr">
        <is>
          <t>actor_ts_nod_shadowteam.name</t>
        </is>
      </c>
      <c r="D27" s="6" t="inlineStr">
        <is>
          <t>MeleeInfantry</t>
        </is>
      </c>
      <c r="E27" s="6" t="n">
        <v>30000</v>
      </c>
      <c r="F27" s="6" t="n">
        <v>60</v>
      </c>
      <c r="G27" t="inlineStr">
        <is>
          <t>Plate</t>
        </is>
      </c>
      <c r="H27" s="6" t="n">
        <v>0.7269</v>
      </c>
      <c r="I27" s="6" t="n">
        <v>1</v>
      </c>
      <c r="J27" s="6" t="n">
        <v>1</v>
      </c>
      <c r="K27" s="6" t="n"/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900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TSShadowTeamPistols</t>
        </is>
      </c>
      <c r="C28" s="7" t="inlineStr">
        <is>
          <t>Armament@PRIMARY</t>
        </is>
      </c>
      <c r="L28" s="6" t="n">
        <v>7000</v>
      </c>
      <c r="M28" s="6" t="n">
        <v>12</v>
      </c>
      <c r="N28" s="6" t="n">
        <v>2</v>
      </c>
      <c r="O28" s="6" t="n">
        <v>3</v>
      </c>
      <c r="P28" s="6" t="n">
        <v>8000</v>
      </c>
      <c r="Q28" s="6" t="n">
        <v>0.75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^Warhead_Sniper_Light</t>
        </is>
      </c>
    </row>
    <row r="29">
      <c r="B29" s="7" t="inlineStr">
        <is>
          <t xml:space="preserve">  ↳ TSShadowTeamPistols</t>
        </is>
      </c>
      <c r="C29" s="7" t="inlineStr">
        <is>
          <t>Armament@GARRISONED</t>
        </is>
      </c>
      <c r="L29" s="6" t="n">
        <v>7000</v>
      </c>
      <c r="M29" s="6" t="n">
        <v>12</v>
      </c>
      <c r="N29" s="6" t="n">
        <v>2</v>
      </c>
      <c r="O29" s="6" t="n">
        <v>3</v>
      </c>
      <c r="P29" s="6" t="n">
        <v>8000</v>
      </c>
      <c r="Q29" s="6" t="n">
        <v>0.75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^Warhead_Sniper_Light</t>
        </is>
      </c>
    </row>
    <row r="30">
      <c r="B30" s="7" t="inlineStr">
        <is>
          <t xml:space="preserve">  ↳ TSShadowTeamAttach</t>
        </is>
      </c>
      <c r="C30" s="7" t="inlineStr">
        <is>
          <t>Armament@C4</t>
        </is>
      </c>
      <c r="L30" s="6" t="n"/>
      <c r="M30" s="6" t="n">
        <v>20</v>
      </c>
      <c r="N30" s="6" t="n">
        <v>1</v>
      </c>
      <c r="O30" s="6" t="n"/>
      <c r="P30" s="6" t="n">
        <v>2000</v>
      </c>
      <c r="Q30" s="6" t="n">
        <v>1</v>
      </c>
      <c r="R30">
        <f>M30+IF(N30&gt;1,N(O30)*(N30-1),0)</f>
        <v/>
      </c>
      <c r="S30">
        <f>IFERROR(L30*MAX(N30,1)/R30*IF(ISBLANK(K27),1,K27),0)</f>
        <v/>
      </c>
      <c r="AB30" s="7" t="inlineStr"/>
    </row>
    <row r="31">
      <c r="A31" t="inlineStr">
        <is>
          <t>tiberiansun</t>
        </is>
      </c>
      <c r="B31" t="inlineStr">
        <is>
          <t>ts_nod_shadowteam_air</t>
        </is>
      </c>
      <c r="C31" t="inlineStr">
        <is>
          <t>actor_ts_nod_shadowteam.name</t>
        </is>
      </c>
      <c r="D31" s="6" t="inlineStr">
        <is>
          <t>FlyingInfantry</t>
        </is>
      </c>
      <c r="E31" s="6" t="n">
        <v>30000</v>
      </c>
      <c r="F31" s="6" t="n">
        <v>150</v>
      </c>
      <c r="G31" t="inlineStr">
        <is>
          <t>Scout</t>
        </is>
      </c>
      <c r="H31" s="6" t="n">
        <v>1</v>
      </c>
      <c r="I31" s="6" t="n">
        <v>1</v>
      </c>
      <c r="J31" s="6" t="n">
        <v>1</v>
      </c>
      <c r="K31" s="6" t="n"/>
      <c r="X31" s="6" t="n">
        <v>900</v>
      </c>
    </row>
    <row r="32">
      <c r="B32" s="7" t="inlineStr">
        <is>
          <t xml:space="preserve">  ↳ TSShadowTeamTargeting</t>
        </is>
      </c>
      <c r="C32" s="7" t="inlineStr">
        <is>
          <t>Armament@PRIMARY</t>
        </is>
      </c>
      <c r="L32" s="6" t="n"/>
      <c r="M32" s="6" t="n">
        <v>500</v>
      </c>
      <c r="N32" s="6" t="n">
        <v>1</v>
      </c>
      <c r="O32" s="6" t="n"/>
      <c r="P32" s="6" t="n">
        <v>12000</v>
      </c>
      <c r="Q32" s="6" t="n">
        <v>1</v>
      </c>
      <c r="R32">
        <f>M32+IF(N32&gt;1,N(O32)*(N32-1),0)</f>
        <v/>
      </c>
      <c r="S32">
        <f>IFERROR(L32*MAX(N32,1)/R32*IF(ISBLANK(K31),1,K31),0)</f>
        <v/>
      </c>
      <c r="AB32" s="7" t="inlineStr"/>
    </row>
    <row r="33">
      <c r="A33" t="inlineStr">
        <is>
          <t>tiberiansun</t>
        </is>
      </c>
      <c r="B33" t="inlineStr">
        <is>
          <t>ts_nod_shotguncommando</t>
        </is>
      </c>
      <c r="C33" t="inlineStr">
        <is>
          <t>Shotgun Commando</t>
        </is>
      </c>
      <c r="D33" s="6" t="inlineStr">
        <is>
          <t>HeroInfantry</t>
        </is>
      </c>
      <c r="E33" s="6" t="n">
        <v>100000</v>
      </c>
      <c r="F33" s="6" t="n">
        <v>80</v>
      </c>
      <c r="G33" t="inlineStr">
        <is>
          <t>Heroic</t>
        </is>
      </c>
      <c r="H33" s="6" t="n">
        <v>0.7269</v>
      </c>
      <c r="I33" s="6" t="n">
        <v>1</v>
      </c>
      <c r="J33" s="6" t="n">
        <v>1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3000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TSCommandoShotgun</t>
        </is>
      </c>
      <c r="C34" s="7" t="inlineStr">
        <is>
          <t>Armament@PRIMARY</t>
        </is>
      </c>
      <c r="L34" s="6" t="n">
        <v>48000</v>
      </c>
      <c r="M34" s="6" t="n">
        <v>20</v>
      </c>
      <c r="N34" s="6" t="n">
        <v>1</v>
      </c>
      <c r="O34" s="6" t="n"/>
      <c r="P34" s="6" t="n">
        <v>4146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^Warhead_CannonHE_Medium</t>
        </is>
      </c>
    </row>
    <row r="35">
      <c r="B35" s="7" t="inlineStr">
        <is>
          <t xml:space="preserve">  ↳ TSCommandoShotgun</t>
        </is>
      </c>
      <c r="C35" s="7" t="inlineStr">
        <is>
          <t>Armament@GARRISONED</t>
        </is>
      </c>
      <c r="L35" s="6" t="n">
        <v>48000</v>
      </c>
      <c r="M35" s="6" t="n">
        <v>20</v>
      </c>
      <c r="N35" s="6" t="n">
        <v>1</v>
      </c>
      <c r="O35" s="6" t="n"/>
      <c r="P35" s="6" t="n">
        <v>4146</v>
      </c>
      <c r="Q35" s="6" t="n">
        <v>1</v>
      </c>
      <c r="R35">
        <f>M35+IF(N35&gt;1,N(O35)*(N35-1),0)</f>
        <v/>
      </c>
      <c r="S35">
        <f>IFERROR(L35*MAX(N35,1)/R35*IF(ISBLANK(K33),1,K33),0)</f>
        <v/>
      </c>
      <c r="AB35" s="7" t="inlineStr">
        <is>
          <t>^Warhead_CannonHE_Medium</t>
        </is>
      </c>
    </row>
    <row r="36">
      <c r="A36" t="inlineStr">
        <is>
          <t>tiberiansun</t>
        </is>
      </c>
      <c r="B36" t="inlineStr">
        <is>
          <t>ts_nod_toxintrooper</t>
        </is>
      </c>
      <c r="C36" t="inlineStr">
        <is>
          <t>Toxin Trooper</t>
        </is>
      </c>
      <c r="D36" s="6" t="inlineStr">
        <is>
          <t>HeavyInfantry</t>
        </is>
      </c>
      <c r="E36" s="6" t="n">
        <v>30000</v>
      </c>
      <c r="F36" s="6" t="n">
        <v>55</v>
      </c>
      <c r="G36" t="inlineStr">
        <is>
          <t>Plate</t>
        </is>
      </c>
      <c r="H36" s="6" t="n">
        <v>0.7269</v>
      </c>
      <c r="I36" s="6" t="n">
        <v>1</v>
      </c>
      <c r="J36" s="6" t="n">
        <v>1</v>
      </c>
      <c r="K36" s="6" t="n"/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850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TSToxinRifle</t>
        </is>
      </c>
      <c r="C37" s="7" t="inlineStr">
        <is>
          <t>Armament@PRIMARY</t>
        </is>
      </c>
      <c r="L37" s="6" t="n">
        <v>16000</v>
      </c>
      <c r="M37" s="6" t="n">
        <v>54</v>
      </c>
      <c r="N37" s="6" t="n">
        <v>3</v>
      </c>
      <c r="O37" s="6" t="n">
        <v>3</v>
      </c>
      <c r="P37" s="6" t="n">
        <v>10293</v>
      </c>
      <c r="Q37" s="6" t="n">
        <v>0.75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^Warhead_Chemical_Light</t>
        </is>
      </c>
    </row>
    <row r="38">
      <c r="B38" s="7" t="inlineStr">
        <is>
          <t xml:space="preserve">  ↳ TSToxinRifle</t>
        </is>
      </c>
      <c r="C38" s="7" t="inlineStr">
        <is>
          <t>Armament@GARRISONED</t>
        </is>
      </c>
      <c r="L38" s="6" t="n">
        <v>16000</v>
      </c>
      <c r="M38" s="6" t="n">
        <v>54</v>
      </c>
      <c r="N38" s="6" t="n">
        <v>3</v>
      </c>
      <c r="O38" s="6" t="n">
        <v>3</v>
      </c>
      <c r="P38" s="6" t="n">
        <v>10293</v>
      </c>
      <c r="Q38" s="6" t="n">
        <v>0.75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^Warhead_Chemical_Light</t>
        </is>
      </c>
    </row>
    <row r="39">
      <c r="A39" s="4" t="inlineStr">
        <is>
          <t>VEHICLES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tiberiansun</t>
        </is>
      </c>
      <c r="B40" t="inlineStr">
        <is>
          <t>ts_nod_artillery</t>
        </is>
      </c>
      <c r="C40" t="inlineStr">
        <is>
          <t>Artillery</t>
        </is>
      </c>
      <c r="D40" s="6" t="inlineStr">
        <is>
          <t>ArtilleryTank</t>
        </is>
      </c>
      <c r="E40" s="6" t="n">
        <v>30000</v>
      </c>
      <c r="F40" s="6" t="n">
        <v>60</v>
      </c>
      <c r="G40" t="inlineStr">
        <is>
          <t>Medium</t>
        </is>
      </c>
      <c r="H40" s="6" t="n">
        <v>1</v>
      </c>
      <c r="I40" s="6" t="n">
        <v>1</v>
      </c>
      <c r="J40" s="6" t="n">
        <v>1</v>
      </c>
      <c r="K40" s="6" t="n"/>
      <c r="P40">
        <f>MAX(P42,P43)</f>
        <v/>
      </c>
      <c r="S40">
        <f>S42+S43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(((E40/140000)+(F40/85)+(S40/525)+((P40/12000)*J40))*700/4+(((E40/140000)*(F40/85))+(((P40/12000)*J40)*(S40/525)))*700/2+((E40/140000)*(F40/85)*((P40/12000)*J40)*(S40/525))*700)*(H40/1.0)/3</f>
        <v/>
      </c>
      <c r="X40" s="6" t="n">
        <v>1300</v>
      </c>
      <c r="Y40">
        <f>IFERROR(W40-X40,"")</f>
        <v/>
      </c>
      <c r="Z40">
        <f>IFERROR(ABS(Y40)/MAX(X40,1),"")</f>
        <v/>
      </c>
      <c r="AA40">
        <f>IFERROR(ROUND(((3*X40-(((E40/140000)+(F40/85)+(S40/525))*700/4+((E40/140000)*(F40/85))*700/2)*(H40/1.0))/(700/4+((S40/525))*700/2+((E40/140000)*(F40/85)*(S40/525))*700)*(H40/1.0)*12000)/J40,-1),"")</f>
        <v/>
      </c>
    </row>
    <row r="41">
      <c r="B41" s="7" t="inlineStr">
        <is>
          <t xml:space="preserve">  ↳ TSArtyTargeting</t>
        </is>
      </c>
      <c r="C41" s="7" t="inlineStr">
        <is>
          <t>Armament@Dummy</t>
        </is>
      </c>
      <c r="L41" s="6" t="n"/>
      <c r="M41" s="6" t="n">
        <v>33</v>
      </c>
      <c r="N41" s="6" t="n">
        <v>1</v>
      </c>
      <c r="O41" s="6" t="n"/>
      <c r="P41" s="6" t="n">
        <v>13083</v>
      </c>
      <c r="Q41" s="6" t="n">
        <v>1</v>
      </c>
      <c r="R41">
        <f>M41+IF(N41&gt;1,N(O41)*(N41-1),0)</f>
        <v/>
      </c>
      <c r="S41">
        <f>IFERROR(L41*MAX(N41,1)/R41*IF(ISBLANK(K40),1,K40),0)</f>
        <v/>
      </c>
      <c r="AB41" s="7" t="inlineStr"/>
    </row>
    <row r="42">
      <c r="B42" s="7" t="inlineStr">
        <is>
          <t xml:space="preserve">  ↳ TS155mm</t>
        </is>
      </c>
      <c r="C42" s="7" t="inlineStr">
        <is>
          <t>Armament@Deployed</t>
        </is>
      </c>
      <c r="L42" s="6" t="n">
        <v>60000</v>
      </c>
      <c r="M42" s="6" t="n">
        <v>135</v>
      </c>
      <c r="N42" s="6" t="n">
        <v>1</v>
      </c>
      <c r="O42" s="6" t="n"/>
      <c r="P42" s="6" t="n">
        <v>13083</v>
      </c>
      <c r="Q42" s="6" t="n">
        <v>1.125</v>
      </c>
      <c r="R42">
        <f>M42+IF(N42&gt;1,N(O42)*(N42-1),0)</f>
        <v/>
      </c>
      <c r="S42">
        <f>IFERROR(L42*MAX(N42,1)/R42*IF(ISBLANK(K40),1,K40),0)</f>
        <v/>
      </c>
      <c r="AB42" s="7" t="inlineStr">
        <is>
          <t>^Warhead_Concussion_Medium, ^Warhead_Demolition_Heavy</t>
        </is>
      </c>
    </row>
    <row r="43">
      <c r="B43" s="7" t="inlineStr">
        <is>
          <t xml:space="preserve">  ↳ TSAux155mm</t>
        </is>
      </c>
      <c r="C43" s="7" t="inlineStr">
        <is>
          <t>Armament@DeployedUpgrade</t>
        </is>
      </c>
      <c r="L43" s="6" t="n">
        <v>60000</v>
      </c>
      <c r="M43" s="6" t="n">
        <v>135</v>
      </c>
      <c r="N43" s="6" t="n">
        <v>1</v>
      </c>
      <c r="O43" s="6" t="n"/>
      <c r="P43" s="6" t="n">
        <v>13083</v>
      </c>
      <c r="Q43" s="6" t="n">
        <v>1.125</v>
      </c>
      <c r="R43">
        <f>M43+IF(N43&gt;1,N(O43)*(N43-1),0)</f>
        <v/>
      </c>
      <c r="S43">
        <f>IFERROR(L43*MAX(N43,1)/R43*IF(ISBLANK(K40),1,K40),0)</f>
        <v/>
      </c>
      <c r="AB43" s="7" t="inlineStr">
        <is>
          <t>^Warhead_Concussion_Medium, ^Warhead_Demolition_Heavy</t>
        </is>
      </c>
    </row>
    <row r="44">
      <c r="A44" t="inlineStr">
        <is>
          <t>tiberiansun</t>
        </is>
      </c>
      <c r="B44" t="inlineStr">
        <is>
          <t>ts_nod_attackbuggy</t>
        </is>
      </c>
      <c r="C44" t="inlineStr">
        <is>
          <t>Attack Buggy</t>
        </is>
      </c>
      <c r="D44" s="6" t="inlineStr">
        <is>
          <t>ScoutVehicle</t>
        </is>
      </c>
      <c r="E44" s="6" t="n">
        <v>30000</v>
      </c>
      <c r="F44" s="6" t="n">
        <v>160</v>
      </c>
      <c r="G44" t="inlineStr">
        <is>
          <t>Scout</t>
        </is>
      </c>
      <c r="H44" s="6" t="n">
        <v>1</v>
      </c>
      <c r="I44" s="6" t="n">
        <v>0.333</v>
      </c>
      <c r="J44" s="6" t="n">
        <v>1</v>
      </c>
      <c r="K44" s="6" t="n"/>
      <c r="P44">
        <f>MAX(P45,P46,P47)</f>
        <v/>
      </c>
      <c r="S44">
        <f>S45+S46+S47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(((E44/30000)+(F44/200)+(S44/450)+((P44/4500)*J44))*300/4+(((E44/30000)*(F44/200))+(((P44/4500)*J44)*(S44/450)))*300/2+((E44/30000)*(F44/200)*((P44/4500)*J44)*(S44/450))*300)*(H44/1.0)/3</f>
        <v/>
      </c>
      <c r="X44" s="6" t="n">
        <v>450</v>
      </c>
      <c r="Y44">
        <f>IFERROR(W44-X44,"")</f>
        <v/>
      </c>
      <c r="Z44">
        <f>IFERROR(ABS(Y44)/MAX(X44,1),"")</f>
        <v/>
      </c>
      <c r="AA44">
        <f>IFERROR(ROUND(((3*X44-(((E44/30000)+(F44/200)+(S44/450))*300/4+((E44/30000)*(F44/200))*300/2)*(H44/1.0))/(300/4+((S44/450))*300/2+((E44/30000)*(F44/200)*(S44/450))*300)*(H44/1.0)*4500)/J44,-1),"")</f>
        <v/>
      </c>
    </row>
    <row r="45">
      <c r="B45" s="7" t="inlineStr">
        <is>
          <t xml:space="preserve">  ↳ TSRaiderCannon</t>
        </is>
      </c>
      <c r="C45" s="7" t="inlineStr">
        <is>
          <t>Armament@PRIMARY</t>
        </is>
      </c>
      <c r="L45" s="6" t="n">
        <v>6000</v>
      </c>
      <c r="M45" s="6" t="n">
        <v>20</v>
      </c>
      <c r="N45" s="6" t="n">
        <v>4</v>
      </c>
      <c r="O45" s="6" t="n">
        <v>2</v>
      </c>
      <c r="P45" s="6" t="n">
        <v>4787</v>
      </c>
      <c r="Q45" s="6" t="n">
        <v>0.75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^Warhead_Bullet_Light</t>
        </is>
      </c>
    </row>
    <row r="46">
      <c r="B46" s="7" t="inlineStr">
        <is>
          <t xml:space="preserve">  ↳ TSLaserRaiderCannon</t>
        </is>
      </c>
      <c r="C46" s="7" t="inlineStr">
        <is>
          <t>Armament@UPGRADE</t>
        </is>
      </c>
      <c r="L46" s="6" t="n">
        <v>12000</v>
      </c>
      <c r="M46" s="6" t="n">
        <v>20</v>
      </c>
      <c r="N46" s="6" t="n">
        <v>3</v>
      </c>
      <c r="O46" s="6" t="n">
        <v>2</v>
      </c>
      <c r="P46" s="6" t="n">
        <v>4964</v>
      </c>
      <c r="Q46" s="6" t="n">
        <v>1</v>
      </c>
      <c r="R46">
        <f>M46+IF(N46&gt;1,N(O46)*(N46-1),0)</f>
        <v/>
      </c>
      <c r="S46">
        <f>IFERROR(L46*MAX(N46,1)/R46*IF(ISBLANK(K44),1,K44),0)</f>
        <v/>
      </c>
      <c r="AB46" s="7" t="inlineStr">
        <is>
          <t>^Warhead_Bullet_Light, ^Warhead_Laser_Heavy</t>
        </is>
      </c>
    </row>
    <row r="47">
      <c r="B47" s="7" t="inlineStr">
        <is>
          <t xml:space="preserve">  ↳ TSRaiderGrenade</t>
        </is>
      </c>
      <c r="C47" s="7" t="inlineStr">
        <is>
          <t>Armament@SECONDARY</t>
        </is>
      </c>
      <c r="L47" s="6" t="n">
        <v>36000</v>
      </c>
      <c r="M47" s="6" t="n">
        <v>52</v>
      </c>
      <c r="N47" s="6" t="n">
        <v>1</v>
      </c>
      <c r="O47" s="6" t="n"/>
      <c r="P47" s="6" t="n">
        <v>4787</v>
      </c>
      <c r="Q47" s="6" t="n">
        <v>0.75</v>
      </c>
      <c r="R47">
        <f>M47+IF(N47&gt;1,N(O47)*(N47-1),0)</f>
        <v/>
      </c>
      <c r="S47">
        <f>IFERROR(L47*MAX(N47,1)/R47*IF(ISBLANK(K44),1,K44),0)</f>
        <v/>
      </c>
      <c r="AB47" s="7" t="inlineStr">
        <is>
          <t>^Warhead_Demolition_Light</t>
        </is>
      </c>
    </row>
    <row r="48">
      <c r="A48" t="inlineStr">
        <is>
          <t>tiberiansun</t>
        </is>
      </c>
      <c r="B48" t="inlineStr">
        <is>
          <t>ts_nod_attackcycle</t>
        </is>
      </c>
      <c r="C48" t="inlineStr">
        <is>
          <t>Attack Cycle</t>
        </is>
      </c>
      <c r="D48" s="6" t="inlineStr">
        <is>
          <t>MissileVehicle</t>
        </is>
      </c>
      <c r="E48" s="6" t="n">
        <v>20000</v>
      </c>
      <c r="F48" s="6" t="n">
        <v>170</v>
      </c>
      <c r="G48" t="inlineStr">
        <is>
          <t>Light</t>
        </is>
      </c>
      <c r="H48" s="6" t="n">
        <v>1</v>
      </c>
      <c r="I48" s="6" t="n">
        <v>0.5</v>
      </c>
      <c r="J48" s="6" t="n">
        <v>1</v>
      </c>
      <c r="K48" s="6" t="n"/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(((E48/160000)+(F48/100)+(S48/1200)+((P48/8000)*J48))*1200/4+(((E48/160000)*(F48/100))+(((P48/8000)*J48)*(S48/1200)))*1200/2+((E48/160000)*(F48/100)*((P48/8000)*J48)*(S48/1200))*1200)*(H48/1.0)/3</f>
        <v/>
      </c>
      <c r="X48" s="6" t="n">
        <v>550</v>
      </c>
      <c r="Y48">
        <f>IFERROR(W48-X48,"")</f>
        <v/>
      </c>
      <c r="Z48">
        <f>IFERROR(ABS(Y48)/MAX(X48,1),"")</f>
        <v/>
      </c>
      <c r="AA48">
        <f>IFERROR(ROUND(((3*X48-(((E48/160000)+(F48/100)+(S48/1200))*1200/4+((E48/160000)*(F48/100))*1200/2)*(H48/1.0))/(1200/4+((S48/1200))*1200/2+((E48/160000)*(F48/100)*(S48/1200))*1200)*(H48/1.0)*8000)/J48,-1),"")</f>
        <v/>
      </c>
    </row>
    <row r="49">
      <c r="B49" s="7" t="inlineStr">
        <is>
          <t xml:space="preserve">  ↳ TSBikeMissile</t>
        </is>
      </c>
      <c r="C49" s="7" t="inlineStr">
        <is>
          <t>Armament@PRIMARY</t>
        </is>
      </c>
      <c r="L49" s="6" t="n">
        <v>12000</v>
      </c>
      <c r="M49" s="6" t="n">
        <v>40</v>
      </c>
      <c r="N49" s="6" t="n">
        <v>2</v>
      </c>
      <c r="O49" s="6" t="n">
        <v>5</v>
      </c>
      <c r="P49" s="6" t="n">
        <v>6554</v>
      </c>
      <c r="Q49" s="6" t="n">
        <v>0.875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^Warhead_MissileHE_Light, ^Warhead_MissileHE_Medium</t>
        </is>
      </c>
    </row>
    <row r="50">
      <c r="B50" s="7" t="inlineStr">
        <is>
          <t xml:space="preserve">  ↳ TSBikeTibMissile</t>
        </is>
      </c>
      <c r="C50" s="7" t="inlineStr">
        <is>
          <t>Armament@UPGRADE</t>
        </is>
      </c>
      <c r="L50" s="6" t="n">
        <v>16000</v>
      </c>
      <c r="M50" s="6" t="n">
        <v>40</v>
      </c>
      <c r="N50" s="6" t="n">
        <v>2</v>
      </c>
      <c r="O50" s="6" t="n">
        <v>5</v>
      </c>
      <c r="P50" s="6" t="n">
        <v>6554</v>
      </c>
      <c r="Q50" s="6" t="n">
        <v>1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^LightChemicalWeapon, ^MediumChemicalWeapon, ^LightMissile, ^MediumMissile</t>
        </is>
      </c>
    </row>
    <row r="51">
      <c r="A51" t="inlineStr">
        <is>
          <t>tiberiansun</t>
        </is>
      </c>
      <c r="B51" t="inlineStr">
        <is>
          <t>ts_nod_devilstongue</t>
        </is>
      </c>
      <c r="C51" t="inlineStr">
        <is>
          <t>Devil's Tongue</t>
        </is>
      </c>
      <c r="D51" s="6" t="inlineStr">
        <is>
          <t>LineBreaker</t>
        </is>
      </c>
      <c r="E51" s="6" t="n">
        <v>100000</v>
      </c>
      <c r="F51" s="6" t="n">
        <v>70</v>
      </c>
      <c r="G51" t="inlineStr">
        <is>
          <t>Superheavy</t>
        </is>
      </c>
      <c r="H51" s="6" t="n">
        <v>0.642</v>
      </c>
      <c r="I51" s="6" t="n">
        <v>1</v>
      </c>
      <c r="J51" s="6" t="n">
        <v>1</v>
      </c>
      <c r="K51" s="6" t="n"/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(((E51/750000)+(F51/80)+(S51/1600)+((P51/2500)*J51))*1600/4+(((E51/750000)*(F51/80))+(((P51/2500)*J51)*(S51/1600)))*1600/2+((E51/750000)*(F51/80)*((P51/2500)*J51)*(S51/1600))*1600)*(H51/1.0)/3</f>
        <v/>
      </c>
      <c r="X51" s="6" t="n">
        <v>1150</v>
      </c>
      <c r="Y51">
        <f>IFERROR(W51-X51,"")</f>
        <v/>
      </c>
      <c r="Z51">
        <f>IFERROR(ABS(Y51)/MAX(X51,1),"")</f>
        <v/>
      </c>
      <c r="AA51">
        <f>IFERROR(ROUND(((3*X51-(((E51/750000)+(F51/80)+(S51/1600))*1600/4+((E51/750000)*(F51/80))*1600/2)*(H51/1.0))/(1600/4+((S51/1600))*1600/2+((E51/750000)*(F51/80)*(S51/1600))*1600)*(H51/1.0)*2500)/J51,-1),"")</f>
        <v/>
      </c>
    </row>
    <row r="52">
      <c r="B52" s="7" t="inlineStr">
        <is>
          <t xml:space="preserve">  ↳ TSFireballLauncher</t>
        </is>
      </c>
      <c r="C52" s="7" t="inlineStr">
        <is>
          <t>Armament@PRIMARY</t>
        </is>
      </c>
      <c r="L52" s="6" t="n">
        <v>8000</v>
      </c>
      <c r="M52" s="6" t="n">
        <v>52</v>
      </c>
      <c r="N52" s="6" t="n">
        <v>5</v>
      </c>
      <c r="O52" s="6" t="n">
        <v>2</v>
      </c>
      <c r="P52" s="6" t="n">
        <v>4250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^Warhead_Flame_Medium</t>
        </is>
      </c>
    </row>
    <row r="53">
      <c r="A53" t="inlineStr">
        <is>
          <t>tiberiansun</t>
        </is>
      </c>
      <c r="B53" t="inlineStr">
        <is>
          <t>ts_nod_mobileconstructionvehicle</t>
        </is>
      </c>
      <c r="C53" t="inlineStr">
        <is>
          <t>Nod Mobile Construction Vehicle</t>
        </is>
      </c>
      <c r="D53" s="6" t="inlineStr">
        <is>
          <t>SupportVehicle</t>
        </is>
      </c>
      <c r="E53" s="6" t="n">
        <v>300000</v>
      </c>
      <c r="F53" s="6" t="n">
        <v>75</v>
      </c>
      <c r="G53" t="inlineStr">
        <is>
          <t>Medium</t>
        </is>
      </c>
      <c r="H53" s="6" t="n">
        <v>1</v>
      </c>
      <c r="I53" s="6" t="n">
        <v>1</v>
      </c>
      <c r="J53" s="6" t="n">
        <v>1</v>
      </c>
      <c r="K53" s="6" t="n"/>
      <c r="X53" s="6" t="n">
        <v>5000</v>
      </c>
    </row>
    <row r="54">
      <c r="A54" t="inlineStr">
        <is>
          <t>tiberiansun</t>
        </is>
      </c>
      <c r="B54" t="inlineStr">
        <is>
          <t>ts_nod_mobilerepairvehicle</t>
        </is>
      </c>
      <c r="C54" t="inlineStr">
        <is>
          <t>Mobile Repair Vehicle</t>
        </is>
      </c>
      <c r="D54" s="6" t="inlineStr">
        <is>
          <t>Vehicle</t>
        </is>
      </c>
      <c r="E54" s="6" t="n">
        <v>50000</v>
      </c>
      <c r="F54" s="6" t="n">
        <v>75</v>
      </c>
      <c r="G54" t="inlineStr">
        <is>
          <t>Heavy</t>
        </is>
      </c>
      <c r="H54" s="6" t="n">
        <v>1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ts_nod_mobilerepairvehicle</t>
        </is>
      </c>
      <c r="C55" s="7" t="inlineStr">
        <is>
          <t>Armament</t>
        </is>
      </c>
      <c r="L55" s="6" t="n">
        <v>-3000</v>
      </c>
      <c r="M55" s="6" t="n">
        <v>50</v>
      </c>
      <c r="N55" s="6" t="n">
        <v>10</v>
      </c>
      <c r="O55" s="6" t="n">
        <v>1</v>
      </c>
      <c r="P55" s="6" t="n">
        <v>5000</v>
      </c>
      <c r="Q55" s="6" t="n">
        <v>1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RA2IFVRepair</t>
        </is>
      </c>
    </row>
    <row r="56">
      <c r="A56" t="inlineStr">
        <is>
          <t>tiberiansun</t>
        </is>
      </c>
      <c r="B56" t="inlineStr">
        <is>
          <t>ts_nod_mobilestealthgenerator</t>
        </is>
      </c>
      <c r="C56" t="inlineStr">
        <is>
          <t>Mobile Stealth Generator</t>
        </is>
      </c>
      <c r="D56" s="6" t="inlineStr">
        <is>
          <t>Vehicle</t>
        </is>
      </c>
      <c r="E56" s="6" t="n">
        <v>20000</v>
      </c>
      <c r="F56" s="6" t="n">
        <v>56</v>
      </c>
      <c r="G56" t="inlineStr">
        <is>
          <t>Wood</t>
        </is>
      </c>
      <c r="H56" s="6" t="n">
        <v>0.5375</v>
      </c>
      <c r="I56" s="6" t="n">
        <v>1</v>
      </c>
      <c r="J56" s="6" t="n">
        <v>1</v>
      </c>
      <c r="K56" s="6" t="n"/>
      <c r="X56" s="6" t="n">
        <v>1500</v>
      </c>
    </row>
    <row r="57">
      <c r="A57" t="inlineStr">
        <is>
          <t>tiberiansun</t>
        </is>
      </c>
      <c r="B57" t="inlineStr">
        <is>
          <t>ts_nod_stealthtank</t>
        </is>
      </c>
      <c r="C57" t="inlineStr">
        <is>
          <t>Stealth Tank</t>
        </is>
      </c>
      <c r="D57" s="6" t="inlineStr">
        <is>
          <t>HighTechTank</t>
        </is>
      </c>
      <c r="E57" s="6" t="n">
        <v>80000</v>
      </c>
      <c r="F57" s="6" t="n">
        <v>100</v>
      </c>
      <c r="G57" t="inlineStr">
        <is>
          <t>Superheavy</t>
        </is>
      </c>
      <c r="H57" s="6" t="n">
        <v>0.642</v>
      </c>
      <c r="I57" s="6" t="n">
        <v>1</v>
      </c>
      <c r="J57" s="6" t="n">
        <v>1</v>
      </c>
      <c r="K57" s="6" t="n"/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(((E57/700000)+(F57/65)+(S57/2000)+((P57/6500)*J57))*2000/4+(((E57/700000)*(F57/65))+(((P57/6500)*J57)*(S57/2000)))*2000/2+((E57/700000)*(F57/65)*((P57/6500)*J57)*(S57/2000))*2000)*(H57/0.75)/3</f>
        <v/>
      </c>
      <c r="X57" s="6" t="n">
        <v>1750</v>
      </c>
      <c r="Y57">
        <f>IFERROR(W57-X57,"")</f>
        <v/>
      </c>
      <c r="Z57">
        <f>IFERROR(ABS(Y57)/MAX(X57,1),"")</f>
        <v/>
      </c>
      <c r="AA57">
        <f>IFERROR(ROUND(((3*X57-(((E57/700000)+(F57/65)+(S57/2000))*2000/4+((E57/700000)*(F57/65))*2000/2)*(H57/0.75))/(2000/4+((S57/2000))*2000/2+((E57/700000)*(F57/65)*(S57/2000))*2000)*(H57/0.75)*6500)/J57,-1),"")</f>
        <v/>
      </c>
    </row>
    <row r="58">
      <c r="B58" s="7" t="inlineStr">
        <is>
          <t xml:space="preserve">  ↳ TSStankTusk</t>
        </is>
      </c>
      <c r="C58" s="7" t="inlineStr">
        <is>
          <t>Armament@PRIMARY</t>
        </is>
      </c>
      <c r="L58" s="6" t="n">
        <v>20000</v>
      </c>
      <c r="M58" s="6" t="n">
        <v>60</v>
      </c>
      <c r="N58" s="6" t="n">
        <v>2</v>
      </c>
      <c r="O58" s="6" t="n">
        <v>2</v>
      </c>
      <c r="P58" s="6" t="n">
        <v>6385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^Warhead_CannonHE_Medium, ^Warhead_MissileHE_Medium</t>
        </is>
      </c>
    </row>
    <row r="59">
      <c r="B59" s="7" t="inlineStr">
        <is>
          <t xml:space="preserve">  ↳ TSStankTibTusk</t>
        </is>
      </c>
      <c r="C59" s="7" t="inlineStr">
        <is>
          <t>Armament@UPGRADE</t>
        </is>
      </c>
      <c r="L59" s="6" t="n">
        <v>30000</v>
      </c>
      <c r="M59" s="6" t="n">
        <v>60</v>
      </c>
      <c r="N59" s="6" t="n">
        <v>2</v>
      </c>
      <c r="O59" s="6" t="n">
        <v>2</v>
      </c>
      <c r="P59" s="6" t="n">
        <v>6385</v>
      </c>
      <c r="Q59" s="6" t="n">
        <v>1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^Warhead_CannonHE_Medium</t>
        </is>
      </c>
    </row>
    <row r="60">
      <c r="A60" t="inlineStr">
        <is>
          <t>tiberiansun</t>
        </is>
      </c>
      <c r="B60" t="inlineStr">
        <is>
          <t>ts_nod_subterraneanapc</t>
        </is>
      </c>
      <c r="C60" t="inlineStr">
        <is>
          <t>Subterranean APC</t>
        </is>
      </c>
      <c r="D60" s="6" t="inlineStr">
        <is>
          <t>SupportVehicle</t>
        </is>
      </c>
      <c r="E60" s="6" t="n">
        <v>17500</v>
      </c>
      <c r="F60" s="6" t="n">
        <v>60</v>
      </c>
      <c r="G60" t="inlineStr">
        <is>
          <t>Medium</t>
        </is>
      </c>
      <c r="H60" s="6" t="n">
        <v>1</v>
      </c>
      <c r="I60" s="6" t="n">
        <v>1</v>
      </c>
      <c r="J60" s="6" t="n">
        <v>1</v>
      </c>
      <c r="K60" s="6" t="n"/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1410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TSSAPCMissiles</t>
        </is>
      </c>
      <c r="C61" s="7" t="inlineStr">
        <is>
          <t>Armament@PRIMARY</t>
        </is>
      </c>
      <c r="L61" s="6" t="n">
        <v>16000</v>
      </c>
      <c r="M61" s="6" t="n">
        <v>18</v>
      </c>
      <c r="N61" s="6" t="n">
        <v>2</v>
      </c>
      <c r="O61" s="6" t="n">
        <v>2</v>
      </c>
      <c r="P61" s="6" t="n">
        <v>5300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^Grenade, ^LightMissile</t>
        </is>
      </c>
    </row>
    <row r="62">
      <c r="B62" s="7" t="inlineStr">
        <is>
          <t xml:space="preserve">  ↳ TSSAPCCoreMissiles</t>
        </is>
      </c>
      <c r="C62" s="7" t="inlineStr">
        <is>
          <t>Armament@UPGRADE</t>
        </is>
      </c>
      <c r="L62" s="6" t="n">
        <v>24000</v>
      </c>
      <c r="M62" s="6" t="n">
        <v>18</v>
      </c>
      <c r="N62" s="6" t="n">
        <v>2</v>
      </c>
      <c r="O62" s="6" t="n">
        <v>2</v>
      </c>
      <c r="P62" s="6" t="n">
        <v>5300</v>
      </c>
      <c r="Q62" s="6" t="n">
        <v>0.75</v>
      </c>
      <c r="R62">
        <f>M62+IF(N62&gt;1,N(O62)*(N62-1),0)</f>
        <v/>
      </c>
      <c r="S62">
        <f>IFERROR(L62*MAX(N62,1)/R62*IF(ISBLANK(K60),1,K60),0)</f>
        <v/>
      </c>
      <c r="AB62" s="7" t="inlineStr">
        <is>
          <t>^Warhead_Chemical_Light</t>
        </is>
      </c>
    </row>
    <row r="63">
      <c r="A63" t="inlineStr">
        <is>
          <t>tiberiansun</t>
        </is>
      </c>
      <c r="B63" t="inlineStr">
        <is>
          <t>ts_nod_tiberiumharvester</t>
        </is>
      </c>
      <c r="C63" t="inlineStr">
        <is>
          <t>Tiberium Harvester</t>
        </is>
      </c>
      <c r="D63" s="6" t="inlineStr">
        <is>
          <t>Harvester</t>
        </is>
      </c>
      <c r="E63" s="6" t="n">
        <v>150000</v>
      </c>
      <c r="F63" s="6" t="n">
        <v>60</v>
      </c>
      <c r="G63" t="inlineStr">
        <is>
          <t>Heavy</t>
        </is>
      </c>
      <c r="H63" s="6" t="n">
        <v>1</v>
      </c>
      <c r="I63" s="6" t="n">
        <v>1</v>
      </c>
      <c r="J63" s="6" t="n">
        <v>1</v>
      </c>
      <c r="K63" s="6" t="n"/>
      <c r="X63" s="6" t="n">
        <v>1000</v>
      </c>
    </row>
    <row r="64">
      <c r="A64" t="inlineStr">
        <is>
          <t>tiberiansun</t>
        </is>
      </c>
      <c r="B64" t="inlineStr">
        <is>
          <t>ts_nod_ticktank</t>
        </is>
      </c>
      <c r="C64" t="inlineStr">
        <is>
          <t>Tick Tank</t>
        </is>
      </c>
      <c r="D64" s="6" t="inlineStr">
        <is>
          <t>MainBattleTank</t>
        </is>
      </c>
      <c r="E64" s="6" t="n">
        <v>100000</v>
      </c>
      <c r="F64" s="6" t="n">
        <v>90</v>
      </c>
      <c r="G64" t="inlineStr">
        <is>
          <t>Heavy</t>
        </is>
      </c>
      <c r="H64" s="6" t="n">
        <v>1</v>
      </c>
      <c r="I64" s="6" t="n">
        <v>1</v>
      </c>
      <c r="J64" s="6" t="n">
        <v>1</v>
      </c>
      <c r="K64" s="6" t="n"/>
      <c r="P64">
        <f>MAX(P65,P66,P67,P68,P69,P70)</f>
        <v/>
      </c>
      <c r="S64">
        <f>S65+S66+S67+S68+S69+S70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(((E64/240000)+(F64/95)+(S64/600)+((P64/5500)*J64))*800/4+(((E64/240000)*(F64/95))+(((P64/5500)*J64)*(S64/600)))*800/2+((E64/240000)*(F64/95)*((P64/5500)*J64)*(S64/600))*800)*(H64/1.0)/3</f>
        <v/>
      </c>
      <c r="X64" s="6" t="n">
        <v>800</v>
      </c>
      <c r="Y64">
        <f>IFERROR(W64-X64,"")</f>
        <v/>
      </c>
      <c r="Z64">
        <f>IFERROR(ABS(Y64)/MAX(X64,1),"")</f>
        <v/>
      </c>
      <c r="AA64">
        <f>IFERROR(ROUND(((3*X64-(((E64/240000)+(F64/95)+(S64/600))*800/4+((E64/240000)*(F64/95))*800/2)*(H64/1.0))/(800/4+((S64/600))*800/2+((E64/240000)*(F64/95)*(S64/600))*800)*(H64/1.0)*5500)/J64,-1),"")</f>
        <v/>
      </c>
    </row>
    <row r="65">
      <c r="B65" s="7" t="inlineStr">
        <is>
          <t xml:space="preserve">  ↳ TS90mm</t>
        </is>
      </c>
      <c r="C65" s="7" t="inlineStr">
        <is>
          <t>Armament@PRIMARY</t>
        </is>
      </c>
      <c r="L65" s="6" t="n">
        <v>6000</v>
      </c>
      <c r="M65" s="6" t="n">
        <v>26</v>
      </c>
      <c r="N65" s="6" t="n">
        <v>1</v>
      </c>
      <c r="O65" s="6" t="n"/>
      <c r="P65" s="6" t="n">
        <v>5319</v>
      </c>
      <c r="Q65" s="6" t="n">
        <v>1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^Warhead_CannonHE_Medium</t>
        </is>
      </c>
    </row>
    <row r="66">
      <c r="B66" s="7" t="inlineStr">
        <is>
          <t xml:space="preserve">  ↳ TSLaser90mm</t>
        </is>
      </c>
      <c r="C66" s="7" t="inlineStr">
        <is>
          <t>Armament@UPGRADE</t>
        </is>
      </c>
      <c r="L66" s="6" t="n">
        <v>12000</v>
      </c>
      <c r="M66" s="6" t="n">
        <v>32</v>
      </c>
      <c r="N66" s="6" t="n">
        <v>1</v>
      </c>
      <c r="O66" s="6" t="n"/>
      <c r="P66" s="6" t="n">
        <v>5423</v>
      </c>
      <c r="Q66" s="6" t="n">
        <v>1</v>
      </c>
      <c r="R66">
        <f>M66+IF(N66&gt;1,N(O66)*(N66-1),0)</f>
        <v/>
      </c>
      <c r="S66">
        <f>IFERROR(L66*MAX(N66,1)/R66*IF(ISBLANK(K64),1,K64),0)</f>
        <v/>
      </c>
      <c r="AB66" s="7" t="inlineStr">
        <is>
          <t>^Warhead_CannonHE_Medium</t>
        </is>
      </c>
    </row>
    <row r="67">
      <c r="B67" s="7" t="inlineStr">
        <is>
          <t xml:space="preserve">  ↳ TS90mmDep</t>
        </is>
      </c>
      <c r="C67" s="7" t="inlineStr">
        <is>
          <t>Armament@deployed</t>
        </is>
      </c>
      <c r="L67" s="6" t="n">
        <v>6000</v>
      </c>
      <c r="M67" s="6" t="n">
        <v>22</v>
      </c>
      <c r="N67" s="6" t="n">
        <v>1</v>
      </c>
      <c r="O67" s="6" t="n"/>
      <c r="P67" s="6" t="n">
        <v>6679</v>
      </c>
      <c r="Q67" s="6" t="n">
        <v>1</v>
      </c>
      <c r="R67">
        <f>M67+IF(N67&gt;1,N(O67)*(N67-1),0)</f>
        <v/>
      </c>
      <c r="S67">
        <f>IFERROR(L67*MAX(N67,1)/R67*IF(ISBLANK(K64),1,K64),0)</f>
        <v/>
      </c>
      <c r="AB67" s="7" t="inlineStr">
        <is>
          <t>^Warhead_CannonHE_Medium</t>
        </is>
      </c>
    </row>
    <row r="68">
      <c r="B68" s="7" t="inlineStr">
        <is>
          <t xml:space="preserve">  ↳ TSLaser90mmDep</t>
        </is>
      </c>
      <c r="C68" s="7" t="inlineStr">
        <is>
          <t>Armament@UPGRADEdeployed</t>
        </is>
      </c>
      <c r="L68" s="6" t="n">
        <v>12000</v>
      </c>
      <c r="M68" s="6" t="n">
        <v>26</v>
      </c>
      <c r="N68" s="6" t="n">
        <v>1</v>
      </c>
      <c r="O68" s="6" t="n"/>
      <c r="P68" s="6" t="n">
        <v>6754</v>
      </c>
      <c r="Q68" s="6" t="n">
        <v>1</v>
      </c>
      <c r="R68">
        <f>M68+IF(N68&gt;1,N(O68)*(N68-1),0)</f>
        <v/>
      </c>
      <c r="S68">
        <f>IFERROR(L68*MAX(N68,1)/R68*IF(ISBLANK(K64),1,K64),0)</f>
        <v/>
      </c>
      <c r="AB68" s="7" t="inlineStr">
        <is>
          <t>^Warhead_CannonHE_Medium</t>
        </is>
      </c>
    </row>
    <row r="69">
      <c r="B69" s="7" t="inlineStr">
        <is>
          <t xml:space="preserve">  ↳ TS25mmDep</t>
        </is>
      </c>
      <c r="C69" s="7" t="inlineStr">
        <is>
          <t>Armament@SECONDARY</t>
        </is>
      </c>
      <c r="L69" s="6" t="n">
        <v>2000</v>
      </c>
      <c r="M69" s="6" t="n">
        <v>8</v>
      </c>
      <c r="N69" s="6" t="n">
        <v>1</v>
      </c>
      <c r="O69" s="6" t="n"/>
      <c r="P69" s="6" t="n">
        <v>6679</v>
      </c>
      <c r="Q69" s="6" t="n">
        <v>1</v>
      </c>
      <c r="R69">
        <f>M69+IF(N69&gt;1,N(O69)*(N69-1),0)</f>
        <v/>
      </c>
      <c r="S69">
        <f>IFERROR(L69*MAX(N69,1)/R69*IF(ISBLANK(K64),1,K64),0)</f>
        <v/>
      </c>
      <c r="AB69" s="7" t="inlineStr">
        <is>
          <t>^Warhead_Flak_Medium</t>
        </is>
      </c>
    </row>
    <row r="70">
      <c r="B70" s="7" t="inlineStr">
        <is>
          <t xml:space="preserve">  ↳ TSLaser25mmDep</t>
        </is>
      </c>
      <c r="C70" s="7" t="inlineStr">
        <is>
          <t>Armament@UPGRADESECONDARY</t>
        </is>
      </c>
      <c r="L70" s="6" t="n">
        <v>4000</v>
      </c>
      <c r="M70" s="6" t="n">
        <v>8</v>
      </c>
      <c r="N70" s="6" t="n">
        <v>1</v>
      </c>
      <c r="O70" s="6" t="n"/>
      <c r="P70" s="6" t="n">
        <v>6679</v>
      </c>
      <c r="Q70" s="6" t="n">
        <v>1</v>
      </c>
      <c r="R70">
        <f>M70+IF(N70&gt;1,N(O70)*(N70-1),0)</f>
        <v/>
      </c>
      <c r="S70">
        <f>IFERROR(L70*MAX(N70,1)/R70*IF(ISBLANK(K64),1,K64),0)</f>
        <v/>
      </c>
      <c r="AB70" s="7" t="inlineStr">
        <is>
          <t>^FlakWeapon, ^LaserWeapon, ^TSLaserEffect</t>
        </is>
      </c>
    </row>
    <row r="71">
      <c r="A71" s="4" t="inlineStr">
        <is>
          <t>AIRCRAFT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t="inlineStr">
        <is>
          <t>tiberiansun</t>
        </is>
      </c>
      <c r="B72" t="inlineStr">
        <is>
          <t>ts_nod_bansheefighter</t>
        </is>
      </c>
      <c r="C72" t="inlineStr">
        <is>
          <t>Banshee Fighter</t>
        </is>
      </c>
      <c r="D72" s="6" t="inlineStr">
        <is>
          <t>Bomber</t>
        </is>
      </c>
      <c r="E72" s="6" t="n">
        <v>60000</v>
      </c>
      <c r="F72" s="6" t="n">
        <v>180</v>
      </c>
      <c r="G72" t="inlineStr">
        <is>
          <t>Bomber</t>
        </is>
      </c>
      <c r="H72" s="6" t="n">
        <v>0.6962</v>
      </c>
      <c r="I72" s="6" t="n">
        <v>1</v>
      </c>
      <c r="J72" s="6" t="n">
        <v>1</v>
      </c>
      <c r="K72" s="6" t="n"/>
      <c r="P72">
        <f>MAX(P73)</f>
        <v/>
      </c>
      <c r="S72">
        <f>S73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(T72+U72+V72)/3</f>
        <v/>
      </c>
      <c r="X72" s="6" t="n">
        <v>2400</v>
      </c>
      <c r="Y72">
        <f>IFERROR(W72-X72,"")</f>
        <v/>
      </c>
      <c r="Z72">
        <f>IFERROR(ABS(Y72)/MAX(X72,1),"")</f>
        <v/>
      </c>
      <c r="AA72">
        <f>IFERROR((X72-(((E72/100000+F72/100+S72/200)*200*I72*H72)+((E72*F72/25000)*I72*H72))/3)/(((J72/5)*200*I72*H72)+((J72*S72/2.5)*I72*H72)+((E72*F72*J72*S72*I72*H72)/12500000))/3*1000,"")</f>
        <v/>
      </c>
    </row>
    <row r="73">
      <c r="B73" s="7" t="inlineStr">
        <is>
          <t xml:space="preserve">  ↳ TSProton</t>
        </is>
      </c>
      <c r="C73" s="7" t="inlineStr">
        <is>
          <t>Armament@PRIMARY</t>
        </is>
      </c>
      <c r="L73" s="6" t="n">
        <v>60000</v>
      </c>
      <c r="M73" s="6" t="n">
        <v>50</v>
      </c>
      <c r="N73" s="6" t="n">
        <v>4</v>
      </c>
      <c r="O73" s="6" t="n">
        <v>3</v>
      </c>
      <c r="P73" s="6" t="n">
        <v>5414</v>
      </c>
      <c r="Q73" s="6" t="n">
        <v>1</v>
      </c>
      <c r="R73">
        <f>M73+IF(N73&gt;1,N(O73)*(N73-1),0)</f>
        <v/>
      </c>
      <c r="S73">
        <f>IFERROR(L73*MAX(N73,1)/R73*IF(ISBLANK(K72),1,K72),0)</f>
        <v/>
      </c>
      <c r="AB73" s="7" t="inlineStr">
        <is>
          <t>^TSEnergyBlast, ^MediumFlameWeapon, ^LaserWeapon</t>
        </is>
      </c>
    </row>
    <row r="74">
      <c r="A74" t="inlineStr">
        <is>
          <t>tiberiansun</t>
        </is>
      </c>
      <c r="B74" t="inlineStr">
        <is>
          <t>ts_nod_harpy</t>
        </is>
      </c>
      <c r="C74" t="inlineStr">
        <is>
          <t>Harpy</t>
        </is>
      </c>
      <c r="D74" s="6" t="inlineStr">
        <is>
          <t>Helicopter</t>
        </is>
      </c>
      <c r="E74" s="6" t="n">
        <v>50000</v>
      </c>
      <c r="F74" s="6" t="n">
        <v>140</v>
      </c>
      <c r="G74" t="inlineStr">
        <is>
          <t>Helicopter</t>
        </is>
      </c>
      <c r="H74" s="6" t="n">
        <v>1</v>
      </c>
      <c r="I74" s="6" t="n">
        <v>1</v>
      </c>
      <c r="J74" s="6" t="n">
        <v>1</v>
      </c>
      <c r="K74" s="6" t="n"/>
      <c r="P74">
        <f>MAX(P75,P76,P77,P78,P79,P80)</f>
        <v/>
      </c>
      <c r="S74">
        <f>S75+S76+S77+S78+S79+S80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1800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TSHarpyClaw</t>
        </is>
      </c>
      <c r="C75" s="7" t="inlineStr">
        <is>
          <t>Armament@PRIMARY</t>
        </is>
      </c>
      <c r="L75" s="6" t="n">
        <v>4000</v>
      </c>
      <c r="M75" s="6" t="n">
        <v>24</v>
      </c>
      <c r="N75" s="6" t="n">
        <v>5</v>
      </c>
      <c r="O75" s="6" t="n">
        <v>0</v>
      </c>
      <c r="P75" s="6" t="n">
        <v>4882</v>
      </c>
      <c r="Q75" s="6" t="n">
        <v>1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^Warhead_Bullet_Medium</t>
        </is>
      </c>
    </row>
    <row r="76">
      <c r="B76" s="7" t="inlineStr">
        <is>
          <t xml:space="preserve">  ↳ TSHarpyMultiClaw</t>
        </is>
      </c>
      <c r="C76" s="7" t="inlineStr">
        <is>
          <t>Armament@SECONDARY</t>
        </is>
      </c>
      <c r="L76" s="6" t="n">
        <v>0</v>
      </c>
      <c r="M76" s="6" t="n">
        <v>24</v>
      </c>
      <c r="N76" s="6" t="n">
        <v>4</v>
      </c>
      <c r="O76" s="6" t="n">
        <v>0</v>
      </c>
      <c r="P76" s="6" t="n">
        <v>4882</v>
      </c>
      <c r="Q76" s="6" t="n">
        <v>1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^Warhead_Bullet_Medium</t>
        </is>
      </c>
    </row>
    <row r="77">
      <c r="B77" s="7" t="inlineStr">
        <is>
          <t xml:space="preserve">  ↳ TSHarpyAOEClaw</t>
        </is>
      </c>
      <c r="C77" s="7" t="inlineStr">
        <is>
          <t>Armament@PRIMARYAOE</t>
        </is>
      </c>
      <c r="L77" s="6" t="n">
        <v>4000</v>
      </c>
      <c r="M77" s="6" t="n">
        <v>24</v>
      </c>
      <c r="N77" s="6" t="n">
        <v>5</v>
      </c>
      <c r="O77" s="6" t="n">
        <v>0</v>
      </c>
      <c r="P77" s="6" t="n">
        <v>4882</v>
      </c>
      <c r="Q77" s="6" t="n">
        <v>1</v>
      </c>
      <c r="R77">
        <f>M77+IF(N77&gt;1,N(O77)*(N77-1),0)</f>
        <v/>
      </c>
      <c r="S77">
        <f>IFERROR(L77*MAX(N77,1)/R77*IF(ISBLANK(K74),1,K74),0)</f>
        <v/>
      </c>
      <c r="AB77" s="7" t="inlineStr">
        <is>
          <t>^Warhead_Bullet_Medium</t>
        </is>
      </c>
    </row>
    <row r="78">
      <c r="B78" s="7" t="inlineStr">
        <is>
          <t xml:space="preserve">  ↳ TSLaserHarpyClaw</t>
        </is>
      </c>
      <c r="C78" s="7" t="inlineStr">
        <is>
          <t>Armament@UPGRADE</t>
        </is>
      </c>
      <c r="L78" s="6" t="n">
        <v>8000</v>
      </c>
      <c r="M78" s="6" t="n">
        <v>25</v>
      </c>
      <c r="N78" s="6" t="n">
        <v>4</v>
      </c>
      <c r="O78" s="6" t="n">
        <v>0</v>
      </c>
      <c r="P78" s="6" t="n">
        <v>4969</v>
      </c>
      <c r="Q78" s="6" t="n">
        <v>1.125</v>
      </c>
      <c r="R78">
        <f>M78+IF(N78&gt;1,N(O78)*(N78-1),0)</f>
        <v/>
      </c>
      <c r="S78">
        <f>IFERROR(L78*MAX(N78,1)/R78*IF(ISBLANK(K74),1,K74),0)</f>
        <v/>
      </c>
      <c r="AB78" s="7" t="inlineStr">
        <is>
          <t>^Warhead_Bullet_Medium, ^Warhead_Laser_Heavy</t>
        </is>
      </c>
    </row>
    <row r="79">
      <c r="B79" s="7" t="inlineStr">
        <is>
          <t xml:space="preserve">  ↳ TSLaserHarpyMultiClaw</t>
        </is>
      </c>
      <c r="C79" s="7" t="inlineStr">
        <is>
          <t>Armament@SECONDARYUPGRADE</t>
        </is>
      </c>
      <c r="L79" s="6" t="n">
        <v>4000</v>
      </c>
      <c r="M79" s="6" t="n">
        <v>25</v>
      </c>
      <c r="N79" s="6" t="n">
        <v>4</v>
      </c>
      <c r="O79" s="6" t="n">
        <v>0</v>
      </c>
      <c r="P79" s="6" t="n">
        <v>4969</v>
      </c>
      <c r="Q79" s="6" t="n">
        <v>1.125</v>
      </c>
      <c r="R79">
        <f>M79+IF(N79&gt;1,N(O79)*(N79-1),0)</f>
        <v/>
      </c>
      <c r="S79">
        <f>IFERROR(L79*MAX(N79,1)/R79*IF(ISBLANK(K74),1,K74),0)</f>
        <v/>
      </c>
      <c r="AB79" s="7" t="inlineStr">
        <is>
          <t>^Warhead_Bullet_Medium, ^Warhead_Laser_Heavy</t>
        </is>
      </c>
    </row>
    <row r="80">
      <c r="B80" s="7" t="inlineStr">
        <is>
          <t xml:space="preserve">  ↳ TSLaserHarpyAOEClaw</t>
        </is>
      </c>
      <c r="C80" s="7" t="inlineStr">
        <is>
          <t>Armament@UPGRADEAOE</t>
        </is>
      </c>
      <c r="L80" s="6" t="n">
        <v>8000</v>
      </c>
      <c r="M80" s="6" t="n">
        <v>25</v>
      </c>
      <c r="N80" s="6" t="n">
        <v>4</v>
      </c>
      <c r="O80" s="6" t="n">
        <v>0</v>
      </c>
      <c r="P80" s="6" t="n">
        <v>4969</v>
      </c>
      <c r="Q80" s="6" t="n">
        <v>1.125</v>
      </c>
      <c r="R80">
        <f>M80+IF(N80&gt;1,N(O80)*(N80-1),0)</f>
        <v/>
      </c>
      <c r="S80">
        <f>IFERROR(L80*MAX(N80,1)/R80*IF(ISBLANK(K74),1,K74),0)</f>
        <v/>
      </c>
      <c r="AB80" s="7" t="inlineStr">
        <is>
          <t>^Warhead_Bullet_Medium, ^Warhead_Laser_Heavy</t>
        </is>
      </c>
    </row>
    <row r="81">
      <c r="A81" s="4" t="inlineStr">
        <is>
          <t>NAVAL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tiberiansun</t>
        </is>
      </c>
      <c r="B82" t="inlineStr">
        <is>
          <t>ts_nod_cruiser</t>
        </is>
      </c>
      <c r="C82" t="inlineStr">
        <is>
          <t>Nod Battleship</t>
        </is>
      </c>
      <c r="D82" s="6" t="inlineStr">
        <is>
          <t>ArtilleryShip</t>
        </is>
      </c>
      <c r="E82" s="6" t="n">
        <v>350000</v>
      </c>
      <c r="F82" s="6" t="n">
        <v>40</v>
      </c>
      <c r="G82" t="inlineStr">
        <is>
          <t>Superheavy</t>
        </is>
      </c>
      <c r="H82" s="6" t="n">
        <v>0.5749</v>
      </c>
      <c r="I82" s="6" t="n">
        <v>1</v>
      </c>
      <c r="J82" s="6" t="n">
        <v>1</v>
      </c>
      <c r="K82" s="6" t="n"/>
      <c r="P82">
        <f>MAX(P83,P84,P85,P86,P87)</f>
        <v/>
      </c>
      <c r="S82">
        <f>S83+S84+S85+S86+S87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4000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8Inch</t>
        </is>
      </c>
      <c r="C83" s="7" t="inlineStr">
        <is>
          <t>Armament@PRIMARY</t>
        </is>
      </c>
      <c r="L83" s="6" t="n">
        <v>80000</v>
      </c>
      <c r="M83" s="6" t="n">
        <v>250</v>
      </c>
      <c r="N83" s="6" t="n">
        <v>2</v>
      </c>
      <c r="O83" s="6" t="n"/>
      <c r="P83" s="6" t="n">
        <v>15000</v>
      </c>
      <c r="Q83" s="6" t="n">
        <v>1</v>
      </c>
      <c r="R83">
        <f>M83+IF(N83&gt;1,N(O83)*(N83-1),0)</f>
        <v/>
      </c>
      <c r="S83">
        <f>IFERROR(L83*MAX(N83,1)/R83*IF(ISBLANK(K82),1,K82),0)</f>
        <v/>
      </c>
      <c r="AB83" s="7" t="inlineStr">
        <is>
          <t>^Warhead_Demolition_Heavy, ^Warhead_Demolition_Light</t>
        </is>
      </c>
    </row>
    <row r="84">
      <c r="B84" s="7" t="inlineStr">
        <is>
          <t xml:space="preserve">  ↳ 8Inch</t>
        </is>
      </c>
      <c r="C84" s="7" t="inlineStr">
        <is>
          <t>Armament@SECONDARY</t>
        </is>
      </c>
      <c r="L84" s="6" t="n">
        <v>80000</v>
      </c>
      <c r="M84" s="6" t="n">
        <v>250</v>
      </c>
      <c r="N84" s="6" t="n">
        <v>2</v>
      </c>
      <c r="O84" s="6" t="n"/>
      <c r="P84" s="6" t="n">
        <v>15000</v>
      </c>
      <c r="Q84" s="6" t="n">
        <v>1</v>
      </c>
      <c r="R84">
        <f>M84+IF(N84&gt;1,N(O84)*(N84-1),0)</f>
        <v/>
      </c>
      <c r="S84">
        <f>IFERROR(L84*MAX(N84,1)/R84*IF(ISBLANK(K82),1,K82),0)</f>
        <v/>
      </c>
      <c r="AB84" s="7" t="inlineStr">
        <is>
          <t>^Warhead_Demolition_Heavy, ^Warhead_Demolition_Light</t>
        </is>
      </c>
    </row>
    <row r="85">
      <c r="B85" s="7" t="inlineStr">
        <is>
          <t xml:space="preserve">  ↳ 8Inch</t>
        </is>
      </c>
      <c r="C85" s="7" t="inlineStr">
        <is>
          <t>Armament@TERCERA</t>
        </is>
      </c>
      <c r="L85" s="6" t="n">
        <v>80000</v>
      </c>
      <c r="M85" s="6" t="n">
        <v>250</v>
      </c>
      <c r="N85" s="6" t="n">
        <v>2</v>
      </c>
      <c r="O85" s="6" t="n"/>
      <c r="P85" s="6" t="n">
        <v>15000</v>
      </c>
      <c r="Q85" s="6" t="n">
        <v>1</v>
      </c>
      <c r="R85">
        <f>M85+IF(N85&gt;1,N(O85)*(N85-1),0)</f>
        <v/>
      </c>
      <c r="S85">
        <f>IFERROR(L85*MAX(N85,1)/R85*IF(ISBLANK(K82),1,K82),0)</f>
        <v/>
      </c>
      <c r="AB85" s="7" t="inlineStr">
        <is>
          <t>^Warhead_Demolition_Heavy, ^Warhead_Demolition_Light</t>
        </is>
      </c>
    </row>
    <row r="86">
      <c r="B86" s="7" t="inlineStr">
        <is>
          <t xml:space="preserve">  ↳ 8Inch</t>
        </is>
      </c>
      <c r="C86" s="7" t="inlineStr">
        <is>
          <t>Armament@CUARTA</t>
        </is>
      </c>
      <c r="L86" s="6" t="n">
        <v>80000</v>
      </c>
      <c r="M86" s="6" t="n">
        <v>250</v>
      </c>
      <c r="N86" s="6" t="n">
        <v>2</v>
      </c>
      <c r="O86" s="6" t="n"/>
      <c r="P86" s="6" t="n">
        <v>15000</v>
      </c>
      <c r="Q86" s="6" t="n">
        <v>1</v>
      </c>
      <c r="R86">
        <f>M86+IF(N86&gt;1,N(O86)*(N86-1),0)</f>
        <v/>
      </c>
      <c r="S86">
        <f>IFERROR(L86*MAX(N86,1)/R86*IF(ISBLANK(K82),1,K82),0)</f>
        <v/>
      </c>
      <c r="AB86" s="7" t="inlineStr">
        <is>
          <t>^Warhead_Demolition_Heavy, ^Warhead_Demolition_Light</t>
        </is>
      </c>
    </row>
    <row r="87">
      <c r="B87" s="7" t="inlineStr">
        <is>
          <t xml:space="preserve">  ↳ 8Inch</t>
        </is>
      </c>
      <c r="C87" s="7" t="inlineStr">
        <is>
          <t>Armament@QUINTA</t>
        </is>
      </c>
      <c r="L87" s="6" t="n">
        <v>80000</v>
      </c>
      <c r="M87" s="6" t="n">
        <v>250</v>
      </c>
      <c r="N87" s="6" t="n">
        <v>2</v>
      </c>
      <c r="O87" s="6" t="n"/>
      <c r="P87" s="6" t="n">
        <v>15000</v>
      </c>
      <c r="Q87" s="6" t="n">
        <v>1</v>
      </c>
      <c r="R87">
        <f>M87+IF(N87&gt;1,N(O87)*(N87-1),0)</f>
        <v/>
      </c>
      <c r="S87">
        <f>IFERROR(L87*MAX(N87,1)/R87*IF(ISBLANK(K82),1,K82),0)</f>
        <v/>
      </c>
      <c r="AB87" s="7" t="inlineStr">
        <is>
          <t>^Warhead_Demolition_Heavy, ^Warhead_Demolition_Light</t>
        </is>
      </c>
    </row>
    <row r="88">
      <c r="A88" t="inlineStr">
        <is>
          <t>tiberiansun</t>
        </is>
      </c>
      <c r="B88" t="inlineStr">
        <is>
          <t>ts_nod_hover</t>
        </is>
      </c>
      <c r="C88" t="inlineStr">
        <is>
          <t>Transport Hovercraft</t>
        </is>
      </c>
      <c r="D88" s="6" t="inlineStr">
        <is>
          <t>Ship</t>
        </is>
      </c>
      <c r="E88" s="6" t="n">
        <v>100000</v>
      </c>
      <c r="F88" s="6" t="n">
        <v>60</v>
      </c>
      <c r="G88" t="inlineStr">
        <is>
          <t>Heavy</t>
        </is>
      </c>
      <c r="H88" s="6" t="n">
        <v>1</v>
      </c>
      <c r="I88" s="6" t="n">
        <v>1</v>
      </c>
      <c r="J88" s="6" t="n">
        <v>1</v>
      </c>
      <c r="K88" s="6" t="n"/>
      <c r="X88" s="6" t="n">
        <v>1200</v>
      </c>
    </row>
    <row r="89">
      <c r="A89" t="inlineStr">
        <is>
          <t>tiberiansun</t>
        </is>
      </c>
      <c r="B89" t="inlineStr">
        <is>
          <t>ts_nod_rayboat</t>
        </is>
      </c>
      <c r="C89" t="inlineStr">
        <is>
          <t>Stingray</t>
        </is>
      </c>
      <c r="D89" s="6" t="inlineStr">
        <is>
          <t>ScoutShip</t>
        </is>
      </c>
      <c r="E89" s="6" t="n">
        <v>80000</v>
      </c>
      <c r="F89" s="6" t="n">
        <v>110</v>
      </c>
      <c r="G89" t="inlineStr">
        <is>
          <t>Light</t>
        </is>
      </c>
      <c r="H89" s="6" t="n">
        <v>1</v>
      </c>
      <c r="I89" s="6" t="n">
        <v>1</v>
      </c>
      <c r="J89" s="6" t="n">
        <v>1</v>
      </c>
      <c r="K89" s="6" t="n"/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1300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TSSBoatTusk</t>
        </is>
      </c>
      <c r="C90" s="7" t="inlineStr">
        <is>
          <t>Armament@PRIMARY</t>
        </is>
      </c>
      <c r="L90" s="6" t="n">
        <v>18000</v>
      </c>
      <c r="M90" s="6" t="n">
        <v>60</v>
      </c>
      <c r="N90" s="6" t="n">
        <v>2</v>
      </c>
      <c r="O90" s="6" t="n">
        <v>4</v>
      </c>
      <c r="P90" s="6" t="n">
        <v>6385</v>
      </c>
      <c r="Q90" s="6" t="n">
        <v>1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^Warhead_CannonHE_Medium, ^Warhead_MissileHE_Medium</t>
        </is>
      </c>
    </row>
    <row r="91">
      <c r="B91" s="7" t="inlineStr">
        <is>
          <t xml:space="preserve">  ↳ TSStankTibTusk</t>
        </is>
      </c>
      <c r="C91" s="7" t="inlineStr">
        <is>
          <t>Armament@ELITE</t>
        </is>
      </c>
      <c r="L91" s="6" t="n">
        <v>30000</v>
      </c>
      <c r="M91" s="6" t="n">
        <v>60</v>
      </c>
      <c r="N91" s="6" t="n">
        <v>2</v>
      </c>
      <c r="O91" s="6" t="n">
        <v>2</v>
      </c>
      <c r="P91" s="6" t="n">
        <v>6385</v>
      </c>
      <c r="Q91" s="6" t="n">
        <v>1</v>
      </c>
      <c r="R91">
        <f>M91+IF(N91&gt;1,N(O91)*(N91-1),0)</f>
        <v/>
      </c>
      <c r="S91">
        <f>IFERROR(L91*MAX(N91,1)/R91*IF(ISBLANK(K89),1,K89),0)</f>
        <v/>
      </c>
      <c r="AB91" s="7" t="inlineStr">
        <is>
          <t>^Warhead_CannonHE_Medium</t>
        </is>
      </c>
    </row>
    <row r="92">
      <c r="A92" t="inlineStr">
        <is>
          <t>tiberiansun</t>
        </is>
      </c>
      <c r="B92" t="inlineStr">
        <is>
          <t>ts_nod_submarine</t>
        </is>
      </c>
      <c r="C92" t="inlineStr">
        <is>
          <t>Strike Submarine</t>
        </is>
      </c>
      <c r="D92" s="6" t="inlineStr">
        <is>
          <t>ScoutShip</t>
        </is>
      </c>
      <c r="E92" s="6" t="n">
        <v>140000</v>
      </c>
      <c r="F92" s="6" t="n">
        <v>90</v>
      </c>
      <c r="G92" t="inlineStr">
        <is>
          <t>Heavy</t>
        </is>
      </c>
      <c r="H92" s="6" t="n">
        <v>1</v>
      </c>
      <c r="I92" s="6" t="n">
        <v>1</v>
      </c>
      <c r="J92" s="6" t="n">
        <v>1</v>
      </c>
      <c r="K92" s="6" t="n"/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1600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RA2TorpTube</t>
        </is>
      </c>
      <c r="C93" s="7" t="inlineStr">
        <is>
          <t>Armament@PRIMARY</t>
        </is>
      </c>
      <c r="L93" s="6" t="n">
        <v>36000</v>
      </c>
      <c r="M93" s="6" t="n">
        <v>90</v>
      </c>
      <c r="N93" s="6" t="n">
        <v>1</v>
      </c>
      <c r="O93" s="6" t="n"/>
      <c r="P93" s="6" t="n">
        <v>9000</v>
      </c>
      <c r="Q93" s="6" t="n">
        <v>1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^Warhead_Demolition_Light, ^Warhead_MissileAP_Heavy</t>
        </is>
      </c>
    </row>
    <row r="94">
      <c r="B94" s="7" t="inlineStr">
        <is>
          <t xml:space="preserve">  ↳ RA2TorpTube_elite</t>
        </is>
      </c>
      <c r="C94" s="7" t="inlineStr">
        <is>
          <t>Armament@ELITE</t>
        </is>
      </c>
      <c r="L94" s="6" t="n">
        <v>36000</v>
      </c>
      <c r="M94" s="6" t="n">
        <v>90</v>
      </c>
      <c r="N94" s="6" t="n">
        <v>2</v>
      </c>
      <c r="O94" s="6" t="n">
        <v>3</v>
      </c>
      <c r="P94" s="6" t="n">
        <v>10000</v>
      </c>
      <c r="Q94" s="6" t="n">
        <v>1</v>
      </c>
      <c r="R94">
        <f>M94+IF(N94&gt;1,N(O94)*(N94-1),0)</f>
        <v/>
      </c>
      <c r="S94">
        <f>IFERROR(L94*MAX(N94,1)/R94*IF(ISBLANK(K92),1,K92),0)</f>
        <v/>
      </c>
      <c r="AB94" s="7" t="inlineStr">
        <is>
          <t>^Warhead_Demolition_Light, ^Warhead_MissileAP_Heavy</t>
        </is>
      </c>
    </row>
    <row r="95">
      <c r="A95" s="4" t="inlineStr">
        <is>
          <t>DEFENSES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t="inlineStr">
        <is>
          <t>tiberiansun</t>
        </is>
      </c>
      <c r="B96" t="inlineStr">
        <is>
          <t>ts_nod_laserfence</t>
        </is>
      </c>
      <c r="C96" t="inlineStr">
        <is>
          <t>Laser Fence</t>
        </is>
      </c>
      <c r="D96" s="6" t="inlineStr">
        <is>
          <t>Defense</t>
        </is>
      </c>
      <c r="E96" s="6" t="n">
        <v>30000</v>
      </c>
      <c r="F96" s="6" t="n">
        <v>100</v>
      </c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K96" s="6" t="n"/>
      <c r="X96" s="6" t="n">
        <v>200</v>
      </c>
    </row>
    <row r="97">
      <c r="A97" t="inlineStr">
        <is>
          <t>tiberiansun</t>
        </is>
      </c>
      <c r="B97" t="inlineStr">
        <is>
          <t>ts_nod_laserturret</t>
        </is>
      </c>
      <c r="C97" t="inlineStr">
        <is>
          <t>Laser Turret</t>
        </is>
      </c>
      <c r="D97" s="6" t="inlineStr">
        <is>
          <t>BasicDefense</t>
        </is>
      </c>
      <c r="E97" s="6" t="n">
        <v>60000</v>
      </c>
      <c r="F97" s="6" t="n">
        <v>100</v>
      </c>
      <c r="G97" t="inlineStr">
        <is>
          <t>Concrete</t>
        </is>
      </c>
      <c r="H97" s="6" t="n">
        <v>1</v>
      </c>
      <c r="I97" s="6" t="n">
        <v>1</v>
      </c>
      <c r="J97" s="6" t="n">
        <v>1</v>
      </c>
      <c r="K97" s="6" t="n"/>
      <c r="P97">
        <f>MAX(P98,P99)</f>
        <v/>
      </c>
      <c r="S97">
        <f>S98+S99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(T97+U97+V97)/3</f>
        <v/>
      </c>
      <c r="X97" s="6" t="n">
        <v>800</v>
      </c>
      <c r="Y97">
        <f>IFERROR(W97-X97,"")</f>
        <v/>
      </c>
      <c r="Z97">
        <f>IFERROR(ABS(Y97)/MAX(X97,1),"")</f>
        <v/>
      </c>
      <c r="AA97">
        <f>IFERROR((X97-(((E97/100000+F97/100+S97/200)*200*I97*H97)+((E97*F97/25000)*I97*H97))/3)/(((J97/5)*200*I97*H97)+((J97*S97/2.5)*I97*H97)+((E97*F97*J97*S97*I97*H97)/12500000))/3*1000,"")</f>
        <v/>
      </c>
    </row>
    <row r="98">
      <c r="B98" s="7" t="inlineStr">
        <is>
          <t xml:space="preserve">  ↳ TSTurretLaser</t>
        </is>
      </c>
      <c r="C98" s="7" t="inlineStr">
        <is>
          <t>Armament@PRIMARY</t>
        </is>
      </c>
      <c r="L98" s="6" t="n">
        <v>20000</v>
      </c>
      <c r="M98" s="6" t="n">
        <v>25</v>
      </c>
      <c r="N98" s="6" t="n">
        <v>1</v>
      </c>
      <c r="O98" s="6" t="n"/>
      <c r="P98" s="6" t="n">
        <v>6487</v>
      </c>
      <c r="Q98" s="6" t="n">
        <v>1.125</v>
      </c>
      <c r="R98">
        <f>M98+IF(N98&gt;1,N(O98)*(N98-1),0)</f>
        <v/>
      </c>
      <c r="S98">
        <f>IFERROR(L98*MAX(N98,1)/R98*IF(ISBLANK(K97),1,K97),0)</f>
        <v/>
      </c>
      <c r="AB98" s="7" t="inlineStr">
        <is>
          <t>^Warhead_Bullet_Medium, ^Warhead_Laser_Heavy</t>
        </is>
      </c>
    </row>
    <row r="99">
      <c r="B99" s="7" t="inlineStr">
        <is>
          <t xml:space="preserve">  ↳ TSLaserTurretLaser</t>
        </is>
      </c>
      <c r="C99" s="7" t="inlineStr">
        <is>
          <t>Armament@UPGRADE</t>
        </is>
      </c>
      <c r="L99" s="6" t="n">
        <v>32000</v>
      </c>
      <c r="M99" s="6" t="n">
        <v>20</v>
      </c>
      <c r="N99" s="6" t="n">
        <v>1</v>
      </c>
      <c r="O99" s="6" t="n"/>
      <c r="P99" s="6" t="n">
        <v>6992</v>
      </c>
      <c r="Q99" s="6" t="n">
        <v>1.125</v>
      </c>
      <c r="R99">
        <f>M99+IF(N99&gt;1,N(O99)*(N99-1),0)</f>
        <v/>
      </c>
      <c r="S99">
        <f>IFERROR(L99*MAX(N99,1)/R99*IF(ISBLANK(K97),1,K97),0)</f>
        <v/>
      </c>
      <c r="AB99" s="7" t="inlineStr">
        <is>
          <t>^Warhead_Bullet_Medium, ^Warhead_Laser_Heavy</t>
        </is>
      </c>
    </row>
    <row r="100">
      <c r="A100" t="inlineStr">
        <is>
          <t>tiberiansun</t>
        </is>
      </c>
      <c r="B100" t="inlineStr">
        <is>
          <t>ts_nod_missilesilo</t>
        </is>
      </c>
      <c r="C100" t="inlineStr">
        <is>
          <t>Missile Silo</t>
        </is>
      </c>
      <c r="D100" s="6" t="inlineStr">
        <is>
          <t>Defense</t>
        </is>
      </c>
      <c r="E100" s="6" t="n">
        <v>1000000</v>
      </c>
      <c r="F100" s="6" t="n">
        <v>100</v>
      </c>
      <c r="G100" t="inlineStr">
        <is>
          <t>Wood</t>
        </is>
      </c>
      <c r="H100" s="6" t="n">
        <v>0.7604</v>
      </c>
      <c r="I100" s="6" t="n">
        <v>1</v>
      </c>
      <c r="J100" s="6" t="n">
        <v>1</v>
      </c>
      <c r="K100" s="6" t="n"/>
      <c r="X100" s="6" t="n">
        <v>10000</v>
      </c>
    </row>
    <row r="101">
      <c r="B101" s="7" t="inlineStr">
        <is>
          <t xml:space="preserve">  ↳ TSTacticalMissile</t>
        </is>
      </c>
      <c r="C101" s="7" t="inlineStr">
        <is>
          <t>Armament@superweapon1</t>
        </is>
      </c>
      <c r="L101" s="6" t="n"/>
      <c r="M101" s="6" t="n">
        <v>50</v>
      </c>
      <c r="N101" s="6" t="n">
        <v>1</v>
      </c>
      <c r="O101" s="6" t="n"/>
      <c r="P101" s="6" t="n">
        <v>10238976</v>
      </c>
      <c r="Q101" s="6" t="n">
        <v>1</v>
      </c>
      <c r="R101">
        <f>M101+IF(N101&gt;1,N(O101)*(N101-1),0)</f>
        <v/>
      </c>
      <c r="S101">
        <f>IFERROR(L101*MAX(N101,1)/R101*IF(ISBLANK(K100),1,K100),0)</f>
        <v/>
      </c>
      <c r="AB101" s="7" t="inlineStr">
        <is>
          <t>^TSDefaultMissile</t>
        </is>
      </c>
    </row>
    <row r="102">
      <c r="B102" s="7" t="inlineStr">
        <is>
          <t xml:space="preserve">  ↳ TSTacticalChemMissile</t>
        </is>
      </c>
      <c r="C102" s="7" t="inlineStr">
        <is>
          <t>Armament@superweapon2</t>
        </is>
      </c>
      <c r="L102" s="6" t="n"/>
      <c r="M102" s="6" t="n">
        <v>50</v>
      </c>
      <c r="N102" s="6" t="n">
        <v>1</v>
      </c>
      <c r="O102" s="6" t="n"/>
      <c r="P102" s="6" t="n">
        <v>10238976</v>
      </c>
      <c r="Q102" s="6" t="n">
        <v>1</v>
      </c>
      <c r="R102">
        <f>M102+IF(N102&gt;1,N(O102)*(N102-1),0)</f>
        <v/>
      </c>
      <c r="S102">
        <f>IFERROR(L102*MAX(N102,1)/R102*IF(ISBLANK(K100),1,K100),0)</f>
        <v/>
      </c>
      <c r="AB102" s="7" t="inlineStr">
        <is>
          <t>TSTacticalMissile</t>
        </is>
      </c>
    </row>
    <row r="103">
      <c r="A103" t="inlineStr">
        <is>
          <t>tiberiansun</t>
        </is>
      </c>
      <c r="B103" t="inlineStr">
        <is>
          <t>ts_nod_obeliskoflight</t>
        </is>
      </c>
      <c r="C103" t="inlineStr">
        <is>
          <t>Obelisk of Light</t>
        </is>
      </c>
      <c r="D103" s="6" t="inlineStr">
        <is>
          <t>AdvancedDefense</t>
        </is>
      </c>
      <c r="E103" s="6" t="n">
        <v>250000</v>
      </c>
      <c r="F103" s="6" t="n">
        <v>100</v>
      </c>
      <c r="G103" t="inlineStr">
        <is>
          <t>Steel</t>
        </is>
      </c>
      <c r="H103" s="6" t="n">
        <v>0.7604</v>
      </c>
      <c r="I103" s="6" t="n">
        <v>1</v>
      </c>
      <c r="J103" s="6" t="n">
        <v>1</v>
      </c>
      <c r="K103" s="6" t="n"/>
      <c r="P103">
        <f>MAX(P104,P105)</f>
        <v/>
      </c>
      <c r="S103">
        <f>S104+S105</f>
        <v/>
      </c>
      <c r="T103">
        <f>(E103/100000+F103/100+(P103/1000)*J103/5+S103/200)*200*I103*H103</f>
        <v/>
      </c>
      <c r="U103">
        <f>((E103*F103/25000)+((P103/1000)*J103*S103/2.5))*I103*H103</f>
        <v/>
      </c>
      <c r="V103">
        <f>(E103*F103*(P103/1000)*J103*S103*I103*H103)/12500000</f>
        <v/>
      </c>
      <c r="W103">
        <f>(T103+U103+V103)/3</f>
        <v/>
      </c>
      <c r="X103" s="6" t="n">
        <v>2200</v>
      </c>
      <c r="Y103">
        <f>IFERROR(W103-X103,"")</f>
        <v/>
      </c>
      <c r="Z103">
        <f>IFERROR(ABS(Y103)/MAX(X103,1),"")</f>
        <v/>
      </c>
      <c r="AA103">
        <f>IFERROR((X103-(((E103/100000+F103/100+S103/200)*200*I103*H103)+((E103*F103/25000)*I103*H103))/3)/(((J103/5)*200*I103*H103)+((J103*S103/2.5)*I103*H103)+((E103*F103*J103*S103*I103*H103)/12500000))/3*1000,"")</f>
        <v/>
      </c>
    </row>
    <row r="104">
      <c r="B104" s="7" t="inlineStr">
        <is>
          <t xml:space="preserve">  ↳ TSObeliskLaserFire</t>
        </is>
      </c>
      <c r="C104" s="7" t="inlineStr">
        <is>
          <t>Armament@PRIMARY</t>
        </is>
      </c>
      <c r="L104" s="6" t="n">
        <v>104000</v>
      </c>
      <c r="M104" s="6" t="n">
        <v>60</v>
      </c>
      <c r="N104" s="6" t="n">
        <v>1</v>
      </c>
      <c r="O104" s="6" t="n"/>
      <c r="P104" s="6" t="n">
        <v>10199</v>
      </c>
      <c r="Q104" s="6" t="n">
        <v>1</v>
      </c>
      <c r="R104">
        <f>M104+IF(N104&gt;1,N(O104)*(N104-1),0)</f>
        <v/>
      </c>
      <c r="S104">
        <f>IFERROR(L104*MAX(N104,1)/R104*IF(ISBLANK(K103),1,K103),0)</f>
        <v/>
      </c>
      <c r="AB104" s="7" t="inlineStr">
        <is>
          <t>^Warhead_CannonAP_Light, ^Warhead_Laser_Heavy</t>
        </is>
      </c>
    </row>
    <row r="105">
      <c r="B105" s="7" t="inlineStr">
        <is>
          <t xml:space="preserve">  ↳ TSLaserObeliskLaserFire</t>
        </is>
      </c>
      <c r="C105" s="7" t="inlineStr">
        <is>
          <t>Armament@UPGRADE</t>
        </is>
      </c>
      <c r="L105" s="6" t="n">
        <v>160000</v>
      </c>
      <c r="M105" s="6" t="n">
        <v>32</v>
      </c>
      <c r="N105" s="6" t="n">
        <v>1</v>
      </c>
      <c r="O105" s="6" t="n"/>
      <c r="P105" s="6" t="n">
        <v>10435</v>
      </c>
      <c r="Q105" s="6" t="n">
        <v>1</v>
      </c>
      <c r="R105">
        <f>M105+IF(N105&gt;1,N(O105)*(N105-1),0)</f>
        <v/>
      </c>
      <c r="S105">
        <f>IFERROR(L105*MAX(N105,1)/R105*IF(ISBLANK(K103),1,K103),0)</f>
        <v/>
      </c>
      <c r="AB105" s="7" t="inlineStr">
        <is>
          <t>^Warhead_CannonAP_Light, ^Warhead_Laser_Heavy</t>
        </is>
      </c>
    </row>
    <row r="106">
      <c r="A106" t="inlineStr">
        <is>
          <t>tiberiansun</t>
        </is>
      </c>
      <c r="B106" t="inlineStr">
        <is>
          <t>ts_nod_samsite</t>
        </is>
      </c>
      <c r="C106" t="inlineStr">
        <is>
          <t>SAM Site</t>
        </is>
      </c>
      <c r="D106" s="6" t="inlineStr">
        <is>
          <t>AntiAirDefense</t>
        </is>
      </c>
      <c r="E106" s="6" t="n">
        <v>100000</v>
      </c>
      <c r="F106" s="6" t="n">
        <v>100</v>
      </c>
      <c r="G106" t="inlineStr">
        <is>
          <t>Concrete</t>
        </is>
      </c>
      <c r="H106" s="6" t="n">
        <v>1</v>
      </c>
      <c r="I106" s="6" t="n">
        <v>1</v>
      </c>
      <c r="J106" s="6" t="n">
        <v>1</v>
      </c>
      <c r="K106" s="6" t="n"/>
      <c r="P106">
        <f>MAX(P107,P108)</f>
        <v/>
      </c>
      <c r="S106">
        <f>S107+S108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800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TSNODRedEye</t>
        </is>
      </c>
      <c r="C107" s="7" t="inlineStr">
        <is>
          <t>Armament@PRIMARY</t>
        </is>
      </c>
      <c r="L107" s="6" t="n">
        <v>12000</v>
      </c>
      <c r="M107" s="6" t="n">
        <v>50</v>
      </c>
      <c r="N107" s="6" t="n">
        <v>3</v>
      </c>
      <c r="O107" s="6" t="n">
        <v>2</v>
      </c>
      <c r="P107" s="6" t="n">
        <v>13176</v>
      </c>
      <c r="Q107" s="6" t="n">
        <v>1.25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^Warhead_MissileAP_Heavy</t>
        </is>
      </c>
    </row>
    <row r="108">
      <c r="B108" s="7" t="inlineStr">
        <is>
          <t xml:space="preserve">  ↳ TSNODTibRedEye</t>
        </is>
      </c>
      <c r="C108" s="7" t="inlineStr">
        <is>
          <t>Armament@UPGRADE</t>
        </is>
      </c>
      <c r="L108" s="6" t="n">
        <v>18000</v>
      </c>
      <c r="M108" s="6" t="n">
        <v>50</v>
      </c>
      <c r="N108" s="6" t="n">
        <v>3</v>
      </c>
      <c r="O108" s="6" t="n">
        <v>2</v>
      </c>
      <c r="P108" s="6" t="n">
        <v>13176</v>
      </c>
      <c r="Q108" s="6" t="n">
        <v>1.25</v>
      </c>
      <c r="R108">
        <f>M108+IF(N108&gt;1,N(O108)*(N108-1),0)</f>
        <v/>
      </c>
      <c r="S108">
        <f>IFERROR(L108*MAX(N108,1)/R108*IF(ISBLANK(K106),1,K106),0)</f>
        <v/>
      </c>
      <c r="AB108" s="7" t="inlineStr">
        <is>
          <t>^Warhead_MissileAP_Heavy</t>
        </is>
      </c>
    </row>
    <row r="109">
      <c r="A109" t="inlineStr">
        <is>
          <t>tiberiansun</t>
        </is>
      </c>
      <c r="B109" t="inlineStr">
        <is>
          <t>ts_nod_silo</t>
        </is>
      </c>
      <c r="C109" t="inlineStr">
        <is>
          <t>Silo</t>
        </is>
      </c>
      <c r="D109" s="6" t="inlineStr">
        <is>
          <t>Defense</t>
        </is>
      </c>
      <c r="E109" s="6" t="n">
        <v>100000</v>
      </c>
      <c r="F109" s="6" t="n">
        <v>100</v>
      </c>
      <c r="G109" t="inlineStr">
        <is>
          <t>Wood</t>
        </is>
      </c>
      <c r="H109" s="6" t="n">
        <v>1</v>
      </c>
      <c r="I109" s="6" t="n">
        <v>1</v>
      </c>
      <c r="J109" s="6" t="n">
        <v>1</v>
      </c>
      <c r="K109" s="6" t="n"/>
      <c r="X109" s="6" t="n">
        <v>150</v>
      </c>
    </row>
    <row r="110">
      <c r="A110" t="inlineStr">
        <is>
          <t>tiberiansun</t>
        </is>
      </c>
      <c r="B110" t="inlineStr">
        <is>
          <t>ts_nod_stealthgenerator</t>
        </is>
      </c>
      <c r="C110" t="inlineStr">
        <is>
          <t>Stealth Generator</t>
        </is>
      </c>
      <c r="D110" s="6" t="inlineStr">
        <is>
          <t>Defense</t>
        </is>
      </c>
      <c r="E110" s="6" t="n">
        <v>100000</v>
      </c>
      <c r="F110" s="6" t="n">
        <v>100</v>
      </c>
      <c r="G110" t="inlineStr">
        <is>
          <t>Concrete</t>
        </is>
      </c>
      <c r="H110" s="6" t="n">
        <v>0.7604</v>
      </c>
      <c r="I110" s="6" t="n">
        <v>1</v>
      </c>
      <c r="J110" s="6" t="n">
        <v>1</v>
      </c>
      <c r="K110" s="6" t="n"/>
      <c r="X110" s="6" t="n">
        <v>2500</v>
      </c>
    </row>
    <row r="111">
      <c r="A111" s="4" t="inlineStr">
        <is>
          <t>BUILDINGS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t="inlineStr">
        <is>
          <t>tiberiansun</t>
        </is>
      </c>
      <c r="B112" t="inlineStr">
        <is>
          <t>ts_nod_advancedpowerplant</t>
        </is>
      </c>
      <c r="C112" t="inlineStr">
        <is>
          <t>Nod Advanced Power Plant</t>
        </is>
      </c>
      <c r="D112" s="6" t="inlineStr">
        <is>
          <t>Building</t>
        </is>
      </c>
      <c r="E112" s="6" t="n">
        <v>240000</v>
      </c>
      <c r="F112" s="6" t="n"/>
      <c r="G112" t="inlineStr">
        <is>
          <t>Wood</t>
        </is>
      </c>
      <c r="H112" s="6" t="n">
        <v>1</v>
      </c>
      <c r="I112" s="6" t="n">
        <v>1</v>
      </c>
      <c r="J112" s="6" t="n">
        <v>1</v>
      </c>
      <c r="K112" s="6" t="n"/>
      <c r="X112" s="6" t="n">
        <v>1200</v>
      </c>
    </row>
    <row r="113">
      <c r="A113" t="inlineStr">
        <is>
          <t>tiberiansun</t>
        </is>
      </c>
      <c r="B113" t="inlineStr">
        <is>
          <t>ts_nod_constructionyard</t>
        </is>
      </c>
      <c r="C113" t="inlineStr">
        <is>
          <t>Construction Yard (Nod)</t>
        </is>
      </c>
      <c r="D113" s="6" t="inlineStr">
        <is>
          <t>Building</t>
        </is>
      </c>
      <c r="E113" s="6" t="n">
        <v>1000000</v>
      </c>
      <c r="F113" s="6" t="n"/>
      <c r="G113" t="inlineStr">
        <is>
          <t>Concrete</t>
        </is>
      </c>
      <c r="H113" s="6" t="n">
        <v>1</v>
      </c>
      <c r="I113" s="6" t="n">
        <v>1</v>
      </c>
      <c r="J113" s="6" t="n">
        <v>1</v>
      </c>
      <c r="K113" s="6" t="n"/>
      <c r="X113" s="6" t="n">
        <v>2500</v>
      </c>
    </row>
    <row r="114">
      <c r="A114" t="inlineStr">
        <is>
          <t>tiberiansun</t>
        </is>
      </c>
      <c r="B114" t="inlineStr">
        <is>
          <t>ts_nod_handof</t>
        </is>
      </c>
      <c r="C114" t="inlineStr">
        <is>
          <t>Hand of Nod</t>
        </is>
      </c>
      <c r="D114" s="6" t="inlineStr">
        <is>
          <t>Building</t>
        </is>
      </c>
      <c r="E114" s="6" t="n">
        <v>200000</v>
      </c>
      <c r="F114" s="6" t="n"/>
      <c r="G114" t="inlineStr">
        <is>
          <t>Wood</t>
        </is>
      </c>
      <c r="H114" s="6" t="n">
        <v>1</v>
      </c>
      <c r="I114" s="6" t="n">
        <v>1</v>
      </c>
      <c r="J114" s="6" t="n">
        <v>1</v>
      </c>
      <c r="K114" s="6" t="n"/>
      <c r="X114" s="6" t="n">
        <v>500</v>
      </c>
    </row>
    <row r="115">
      <c r="A115" t="inlineStr">
        <is>
          <t>tiberiansun</t>
        </is>
      </c>
      <c r="B115" t="inlineStr">
        <is>
          <t>ts_nod_helipad</t>
        </is>
      </c>
      <c r="C115" t="inlineStr">
        <is>
          <t>Nod Helipad</t>
        </is>
      </c>
      <c r="D115" s="6" t="inlineStr">
        <is>
          <t>Building</t>
        </is>
      </c>
      <c r="E115" s="6" t="n">
        <v>300000</v>
      </c>
      <c r="F115" s="6" t="n"/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K115" s="6" t="n"/>
      <c r="X115" s="6" t="n">
        <v>1000</v>
      </c>
    </row>
    <row r="116">
      <c r="A116" t="inlineStr">
        <is>
          <t>tiberiansun</t>
        </is>
      </c>
      <c r="B116" t="inlineStr">
        <is>
          <t>ts_nod_navalyard</t>
        </is>
      </c>
      <c r="C116" t="inlineStr">
        <is>
          <t>Nod Sub Pen</t>
        </is>
      </c>
      <c r="D116" s="6" t="inlineStr">
        <is>
          <t>Building</t>
        </is>
      </c>
      <c r="E116" s="6" t="n">
        <v>600000</v>
      </c>
      <c r="F116" s="6" t="n"/>
      <c r="G116" t="inlineStr">
        <is>
          <t>Concrete</t>
        </is>
      </c>
      <c r="H116" s="6" t="n">
        <v>1</v>
      </c>
      <c r="I116" s="6" t="n">
        <v>1</v>
      </c>
      <c r="J116" s="6" t="n">
        <v>1</v>
      </c>
      <c r="K116" s="6" t="n"/>
      <c r="X116" s="6" t="n">
        <v>3000</v>
      </c>
    </row>
    <row r="117">
      <c r="A117" t="inlineStr">
        <is>
          <t>tiberiansun</t>
        </is>
      </c>
      <c r="B117" t="inlineStr">
        <is>
          <t>ts_nod_powerplant</t>
        </is>
      </c>
      <c r="C117" t="inlineStr">
        <is>
          <t>Nod Power Plant</t>
        </is>
      </c>
      <c r="D117" s="6" t="inlineStr">
        <is>
          <t>Building</t>
        </is>
      </c>
      <c r="E117" s="6" t="n">
        <v>120000</v>
      </c>
      <c r="F117" s="6" t="n"/>
      <c r="G117" t="inlineStr">
        <is>
          <t>Wood</t>
        </is>
      </c>
      <c r="H117" s="6" t="n">
        <v>1</v>
      </c>
      <c r="I117" s="6" t="n">
        <v>1</v>
      </c>
      <c r="J117" s="6" t="n">
        <v>1</v>
      </c>
      <c r="K117" s="6" t="n"/>
      <c r="X117" s="6" t="n">
        <v>600</v>
      </c>
    </row>
    <row r="118">
      <c r="A118" t="inlineStr">
        <is>
          <t>tiberiansun</t>
        </is>
      </c>
      <c r="B118" t="inlineStr">
        <is>
          <t>ts_nod_radar</t>
        </is>
      </c>
      <c r="C118" t="inlineStr">
        <is>
          <t>Radar</t>
        </is>
      </c>
      <c r="D118" s="6" t="inlineStr">
        <is>
          <t>Building</t>
        </is>
      </c>
      <c r="E118" s="6" t="n">
        <v>250000</v>
      </c>
      <c r="F118" s="6" t="n"/>
      <c r="G118" t="inlineStr">
        <is>
          <t>Wood</t>
        </is>
      </c>
      <c r="H118" s="6" t="n">
        <v>1</v>
      </c>
      <c r="I118" s="6" t="n">
        <v>1</v>
      </c>
      <c r="J118" s="6" t="n">
        <v>1</v>
      </c>
      <c r="K118" s="6" t="n"/>
      <c r="X118" s="6" t="n">
        <v>1000</v>
      </c>
    </row>
    <row r="119">
      <c r="A119" t="inlineStr">
        <is>
          <t>tiberiansun</t>
        </is>
      </c>
      <c r="B119" t="inlineStr">
        <is>
          <t>ts_nod_servicedepot</t>
        </is>
      </c>
      <c r="C119" t="inlineStr">
        <is>
          <t>Service Depot</t>
        </is>
      </c>
      <c r="D119" s="6" t="inlineStr">
        <is>
          <t>Building</t>
        </is>
      </c>
      <c r="E119" s="6" t="n">
        <v>250000</v>
      </c>
      <c r="F119" s="6" t="n"/>
      <c r="G119" t="inlineStr">
        <is>
          <t>Concrete</t>
        </is>
      </c>
      <c r="H119" s="6" t="n">
        <v>1</v>
      </c>
      <c r="I119" s="6" t="n">
        <v>1</v>
      </c>
      <c r="J119" s="6" t="n">
        <v>1</v>
      </c>
      <c r="K119" s="6" t="n"/>
      <c r="X119" s="6" t="n">
        <v>800</v>
      </c>
    </row>
    <row r="120">
      <c r="A120" t="inlineStr">
        <is>
          <t>tiberiansun</t>
        </is>
      </c>
      <c r="B120" t="inlineStr">
        <is>
          <t>ts_nod_techcenter</t>
        </is>
      </c>
      <c r="C120" t="inlineStr">
        <is>
          <t>Nod Tech Center</t>
        </is>
      </c>
      <c r="D120" s="6" t="inlineStr">
        <is>
          <t>Building</t>
        </is>
      </c>
      <c r="E120" s="6" t="n">
        <v>500000</v>
      </c>
      <c r="F120" s="6" t="n"/>
      <c r="G120" t="inlineStr">
        <is>
          <t>Wood</t>
        </is>
      </c>
      <c r="H120" s="6" t="n">
        <v>1</v>
      </c>
      <c r="I120" s="6" t="n">
        <v>1</v>
      </c>
      <c r="J120" s="6" t="n">
        <v>1</v>
      </c>
      <c r="K120" s="6" t="n"/>
      <c r="X120" s="6" t="n">
        <v>5000</v>
      </c>
    </row>
    <row r="121">
      <c r="A121" t="inlineStr">
        <is>
          <t>tiberiansun</t>
        </is>
      </c>
      <c r="B121" t="inlineStr">
        <is>
          <t>ts_nod_tiberiumrefinery</t>
        </is>
      </c>
      <c r="C121" t="inlineStr">
        <is>
          <t>Tiberium Refinery</t>
        </is>
      </c>
      <c r="D121" s="6" t="inlineStr">
        <is>
          <t>Building</t>
        </is>
      </c>
      <c r="E121" s="6" t="n">
        <v>300000</v>
      </c>
      <c r="F121" s="6" t="n"/>
      <c r="G121" t="inlineStr">
        <is>
          <t>Concrete</t>
        </is>
      </c>
      <c r="H121" s="6" t="n">
        <v>1</v>
      </c>
      <c r="I121" s="6" t="n">
        <v>1</v>
      </c>
      <c r="J121" s="6" t="n">
        <v>1</v>
      </c>
      <c r="K121" s="6" t="n"/>
      <c r="X121" s="6" t="n">
        <v>3000</v>
      </c>
    </row>
    <row r="122">
      <c r="A122" t="inlineStr">
        <is>
          <t>tiberiansun</t>
        </is>
      </c>
      <c r="B122" t="inlineStr">
        <is>
          <t>ts_nod_tiberiumwastefacility</t>
        </is>
      </c>
      <c r="C122" t="inlineStr">
        <is>
          <t>Tiberium Waste Facility</t>
        </is>
      </c>
      <c r="D122" s="6" t="inlineStr">
        <is>
          <t>Building</t>
        </is>
      </c>
      <c r="E122" s="6" t="n">
        <v>100000</v>
      </c>
      <c r="F122" s="6" t="n"/>
      <c r="G122" t="inlineStr">
        <is>
          <t>Wood</t>
        </is>
      </c>
      <c r="H122" s="6" t="n">
        <v>0.7604</v>
      </c>
      <c r="I122" s="6" t="n">
        <v>1</v>
      </c>
      <c r="J122" s="6" t="n">
        <v>1</v>
      </c>
      <c r="K122" s="6" t="n"/>
      <c r="X122" s="6" t="n">
        <v>1600</v>
      </c>
    </row>
    <row r="123">
      <c r="A123" t="inlineStr">
        <is>
          <t>tiberiansun</t>
        </is>
      </c>
      <c r="B123" t="inlineStr">
        <is>
          <t>ts_nod_warfactory</t>
        </is>
      </c>
      <c r="C123" t="inlineStr">
        <is>
          <t>Nod War Factory</t>
        </is>
      </c>
      <c r="D123" s="6" t="inlineStr">
        <is>
          <t>Building</t>
        </is>
      </c>
      <c r="E123" s="6" t="n">
        <v>400000</v>
      </c>
      <c r="F123" s="6" t="n"/>
      <c r="G123" t="inlineStr">
        <is>
          <t>Concrete</t>
        </is>
      </c>
      <c r="H123" s="6" t="n">
        <v>1</v>
      </c>
      <c r="I123" s="6" t="n">
        <v>1</v>
      </c>
      <c r="J123" s="6" t="n">
        <v>1</v>
      </c>
      <c r="K123" s="6" t="n"/>
      <c r="X123" s="6" t="n">
        <v>2000</v>
      </c>
    </row>
    <row r="124">
      <c r="A124" s="4" t="inlineStr">
        <is>
          <t>UPGRADES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t="inlineStr">
        <is>
          <t>tiberiansun</t>
        </is>
      </c>
      <c r="B125" t="inlineStr">
        <is>
          <t>ts_nod_upgrade_advancedtiberiumrefinement</t>
        </is>
      </c>
      <c r="C125" t="inlineStr">
        <is>
          <t>Advanced Tiberium Refinement</t>
        </is>
      </c>
      <c r="D125" s="6" t="inlineStr">
        <is>
          <t>ResearchedUpgrade</t>
        </is>
      </c>
      <c r="E125" s="6" t="n"/>
      <c r="F125" s="6" t="n"/>
      <c r="H125" s="6" t="n">
        <v>0.7604</v>
      </c>
      <c r="I125" s="6" t="n">
        <v>1</v>
      </c>
      <c r="J125" s="6" t="n">
        <v>1</v>
      </c>
      <c r="K125" s="6" t="n"/>
      <c r="X125" s="6" t="n">
        <v>7500</v>
      </c>
    </row>
    <row r="126">
      <c r="A126" t="inlineStr">
        <is>
          <t>tiberiansun</t>
        </is>
      </c>
      <c r="B126" t="inlineStr">
        <is>
          <t>ts_nod_upgrade_auxiliaryweapon</t>
        </is>
      </c>
      <c r="C126" t="inlineStr">
        <is>
          <t>Auxiliary Weapon</t>
        </is>
      </c>
      <c r="D126" s="6" t="inlineStr">
        <is>
          <t>ResearchedUpgrade</t>
        </is>
      </c>
      <c r="E126" s="6" t="n"/>
      <c r="F126" s="6" t="n"/>
      <c r="H126" s="6" t="n">
        <v>1</v>
      </c>
      <c r="I126" s="6" t="n">
        <v>1</v>
      </c>
      <c r="J126" s="6" t="n">
        <v>1</v>
      </c>
      <c r="K126" s="6" t="n"/>
      <c r="X126" s="6" t="n">
        <v>4000</v>
      </c>
    </row>
    <row r="127">
      <c r="A127" t="inlineStr">
        <is>
          <t>tiberiansun</t>
        </is>
      </c>
      <c r="B127" t="inlineStr">
        <is>
          <t>ts_nod_upgrade_infiltrationkit</t>
        </is>
      </c>
      <c r="C127" t="inlineStr">
        <is>
          <t>Infiltration Kit</t>
        </is>
      </c>
      <c r="D127" s="6" t="inlineStr">
        <is>
          <t>ResearchedUpgrade</t>
        </is>
      </c>
      <c r="E127" s="6" t="n"/>
      <c r="F127" s="6" t="n"/>
      <c r="H127" s="6" t="n">
        <v>1</v>
      </c>
      <c r="I127" s="6" t="n">
        <v>1</v>
      </c>
      <c r="J127" s="6" t="n">
        <v>1</v>
      </c>
      <c r="K127" s="6" t="n"/>
      <c r="X127" s="6" t="n">
        <v>2500</v>
      </c>
    </row>
    <row r="128">
      <c r="A128" t="inlineStr">
        <is>
          <t>tiberiansun</t>
        </is>
      </c>
      <c r="B128" t="inlineStr">
        <is>
          <t>ts_nod_upgrade_mobilityspecialization</t>
        </is>
      </c>
      <c r="C128" t="inlineStr">
        <is>
          <t>Mobility Specialization</t>
        </is>
      </c>
      <c r="D128" s="6" t="inlineStr">
        <is>
          <t>ResearchedUpgrade</t>
        </is>
      </c>
      <c r="E128" s="6" t="n"/>
      <c r="F128" s="6" t="n"/>
      <c r="H128" s="6" t="n">
        <v>1</v>
      </c>
      <c r="I128" s="6" t="n">
        <v>1</v>
      </c>
      <c r="J128" s="6" t="n">
        <v>1</v>
      </c>
      <c r="K128" s="6" t="n"/>
      <c r="X128" s="6" t="n">
        <v>3500</v>
      </c>
    </row>
    <row r="129">
      <c r="A129" t="inlineStr">
        <is>
          <t>tiberiansun</t>
        </is>
      </c>
      <c r="B129" t="inlineStr">
        <is>
          <t>ts_nod_upgrade_stealthfieldsimprovements</t>
        </is>
      </c>
      <c r="C129" t="inlineStr">
        <is>
          <t>Stealth Fields Improvements</t>
        </is>
      </c>
      <c r="D129" s="6" t="inlineStr">
        <is>
          <t>ResearchedUpgrade</t>
        </is>
      </c>
      <c r="E129" s="6" t="n"/>
      <c r="F129" s="6" t="n"/>
      <c r="H129" s="6" t="n">
        <v>0.7604</v>
      </c>
      <c r="I129" s="6" t="n">
        <v>1</v>
      </c>
      <c r="J129" s="6" t="n">
        <v>1</v>
      </c>
      <c r="K129" s="6" t="n"/>
      <c r="X129" s="6" t="n">
        <v>5000</v>
      </c>
    </row>
    <row r="130">
      <c r="A130" t="inlineStr">
        <is>
          <t>tiberiansun</t>
        </is>
      </c>
      <c r="B130" t="inlineStr">
        <is>
          <t>ts_nod_upgrade_tiberiumcoremissiles</t>
        </is>
      </c>
      <c r="C130" t="inlineStr">
        <is>
          <t>Tiberium Core Missiles</t>
        </is>
      </c>
      <c r="D130" s="6" t="inlineStr">
        <is>
          <t>ResearchedUpgrade</t>
        </is>
      </c>
      <c r="E130" s="6" t="n"/>
      <c r="F130" s="6" t="n"/>
      <c r="H130" s="6" t="n">
        <v>0.7604</v>
      </c>
      <c r="I130" s="6" t="n">
        <v>1</v>
      </c>
      <c r="J130" s="6" t="n">
        <v>1</v>
      </c>
      <c r="K130" s="6" t="n"/>
      <c r="X130" s="6" t="n">
        <v>5000</v>
      </c>
    </row>
    <row r="131">
      <c r="A131" t="inlineStr">
        <is>
          <t>tiberiansun</t>
        </is>
      </c>
      <c r="B131" t="inlineStr">
        <is>
          <t>ts_nod_upgrade_tiberiumlenses</t>
        </is>
      </c>
      <c r="C131" t="inlineStr">
        <is>
          <t>Tiberium Lenses</t>
        </is>
      </c>
      <c r="D131" s="6" t="inlineStr">
        <is>
          <t>ResearchedUpgrade</t>
        </is>
      </c>
      <c r="E131" s="6" t="n"/>
      <c r="F131" s="6" t="n"/>
      <c r="H131" s="6" t="n">
        <v>0.7604</v>
      </c>
      <c r="I131" s="6" t="n">
        <v>1</v>
      </c>
      <c r="J131" s="6" t="n">
        <v>1</v>
      </c>
      <c r="K131" s="6" t="n"/>
      <c r="X131" s="6" t="n">
        <v>10000</v>
      </c>
    </row>
    <row r="132">
      <c r="A132" t="inlineStr">
        <is>
          <t>tiberiansun</t>
        </is>
      </c>
      <c r="B132" t="inlineStr">
        <is>
          <t>ts_nod_upgrade_willofkane</t>
        </is>
      </c>
      <c r="C132" t="inlineStr">
        <is>
          <t>Will of Kane</t>
        </is>
      </c>
      <c r="D132" s="6" t="inlineStr">
        <is>
          <t>ResearchedUpgrade</t>
        </is>
      </c>
      <c r="E132" s="6" t="n"/>
      <c r="F132" s="6" t="n"/>
      <c r="H132" s="6" t="n">
        <v>0.7604</v>
      </c>
      <c r="I132" s="6" t="n">
        <v>1</v>
      </c>
      <c r="J132" s="6" t="n">
        <v>1</v>
      </c>
      <c r="K132" s="6" t="n"/>
      <c r="X132" s="6" t="n">
        <v>8000</v>
      </c>
    </row>
    <row r="133">
      <c r="A133" t="inlineStr">
        <is>
          <t>tiberiansun</t>
        </is>
      </c>
      <c r="B133" t="inlineStr">
        <is>
          <t>ts_nod_upgrade_willofkane_proxy_actor</t>
        </is>
      </c>
      <c r="C133" t="inlineStr">
        <is>
          <t>Will of Kane (Team Upgrade)</t>
        </is>
      </c>
      <c r="D133" s="6" t="inlineStr">
        <is>
          <t>ResearchedUpgrade</t>
        </is>
      </c>
      <c r="E133" s="6" t="n"/>
      <c r="F133" s="6" t="n"/>
      <c r="H133" s="6" t="n">
        <v>1</v>
      </c>
      <c r="I133" s="6" t="n">
        <v>1</v>
      </c>
      <c r="J133" s="6" t="n">
        <v>1</v>
      </c>
      <c r="K133" s="6" t="n"/>
      <c r="X133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ts_gdi_discthrower</t>
        </is>
      </c>
      <c r="C3" t="inlineStr">
        <is>
          <t>Disc Thrower</t>
        </is>
      </c>
      <c r="D3" s="6" t="inlineStr">
        <is>
          <t>GrenadierInfantry</t>
        </is>
      </c>
      <c r="E3" s="6" t="n">
        <v>12000</v>
      </c>
      <c r="F3" s="6" t="n">
        <v>60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300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TSGrenade</t>
        </is>
      </c>
      <c r="C4" s="7" t="inlineStr">
        <is>
          <t>Armament@PRIMARY</t>
        </is>
      </c>
      <c r="L4" s="6" t="n">
        <v>24000</v>
      </c>
      <c r="M4" s="6" t="n">
        <v>50</v>
      </c>
      <c r="N4" s="6" t="n">
        <v>1</v>
      </c>
      <c r="O4" s="6" t="n"/>
      <c r="P4" s="6" t="n">
        <v>6151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^Warhead_CannonHE_Medium, ^Warhead_Concussion_Medium</t>
        </is>
      </c>
    </row>
    <row r="5">
      <c r="B5" s="7" t="inlineStr">
        <is>
          <t xml:space="preserve">  ↳ TSGrenadeSonic</t>
        </is>
      </c>
      <c r="C5" s="7" t="inlineStr">
        <is>
          <t>Armament@Upgrade</t>
        </is>
      </c>
      <c r="L5" s="6" t="n">
        <v>24000</v>
      </c>
      <c r="M5" s="6" t="n">
        <v>50</v>
      </c>
      <c r="N5" s="6" t="n">
        <v>1</v>
      </c>
      <c r="O5" s="6" t="n"/>
      <c r="P5" s="6" t="n">
        <v>6151</v>
      </c>
      <c r="Q5" s="6" t="n">
        <v>0.75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^Warhead_Concussion_Light, ^Warhead_Sonic_Light</t>
        </is>
      </c>
    </row>
    <row r="6">
      <c r="B6" s="7" t="inlineStr">
        <is>
          <t xml:space="preserve">  ↳ TSGrenadeG</t>
        </is>
      </c>
      <c r="C6" s="7" t="inlineStr">
        <is>
          <t>Armament@GARRISONED</t>
        </is>
      </c>
      <c r="L6" s="6" t="n">
        <v>24000</v>
      </c>
      <c r="M6" s="6" t="n">
        <v>45</v>
      </c>
      <c r="N6" s="6" t="n">
        <v>1</v>
      </c>
      <c r="O6" s="6" t="n"/>
      <c r="P6" s="6" t="n">
        <v>6656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^Warhead_CannonHE_Medium, ^Warhead_Concussion_Medium</t>
        </is>
      </c>
    </row>
    <row r="7">
      <c r="B7" s="7" t="inlineStr">
        <is>
          <t xml:space="preserve">  ↳ TSGrenadeSonic</t>
        </is>
      </c>
      <c r="C7" s="7" t="inlineStr">
        <is>
          <t>Armament@UpgradeGARRISONED</t>
        </is>
      </c>
      <c r="L7" s="6" t="n">
        <v>24000</v>
      </c>
      <c r="M7" s="6" t="n">
        <v>50</v>
      </c>
      <c r="N7" s="6" t="n">
        <v>1</v>
      </c>
      <c r="O7" s="6" t="n"/>
      <c r="P7" s="6" t="n">
        <v>6151</v>
      </c>
      <c r="Q7" s="6" t="n">
        <v>0.75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^Warhead_Concussion_Light, ^Warhead_Sonic_Light</t>
        </is>
      </c>
    </row>
    <row r="8">
      <c r="A8" t="inlineStr">
        <is>
          <t>tiberiansun</t>
        </is>
      </c>
      <c r="B8" t="inlineStr">
        <is>
          <t>ts_gdi_engineer</t>
        </is>
      </c>
      <c r="C8" t="inlineStr">
        <is>
          <t>Engineer</t>
        </is>
      </c>
      <c r="D8" s="6" t="inlineStr">
        <is>
          <t>SniperInfantry</t>
        </is>
      </c>
      <c r="E8" s="6" t="n">
        <v>10000</v>
      </c>
      <c r="F8" s="6" t="n">
        <v>55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K8" s="6" t="n"/>
      <c r="P8">
        <f>MAX(P11)</f>
        <v/>
      </c>
      <c r="S8">
        <f>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(((E8/5000)+(F8/50)+(S8/0)+((P8/0)*J8))*500/4+(((E8/5000)*(F8/50))+(((P8/0)*J8)*(S8/0)))*500/2+((E8/5000)*(F8/50)*((P8/0)*J8)*(S8/0))*500)*(H8/1.0)/3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IFERROR(ROUND(((3*X8-(((E8/5000)+(F8/50)+(S8/0))*500/4+((E8/5000)*(F8/50))*500/2)*(H8/1.0))/(500/4+((S8/0))*500/2+((E8/5000)*(F8/50)*(S8/0))*500)*(H8/1.0)*0)/J8,-1),"")</f>
        <v/>
      </c>
    </row>
    <row r="9">
      <c r="B9" s="7" t="inlineStr">
        <is>
          <t xml:space="preserve">  ↳ DefuseKit</t>
        </is>
      </c>
      <c r="C9" s="7" t="inlineStr">
        <is>
          <t>Armament@defuse</t>
        </is>
      </c>
      <c r="L9" s="6" t="n"/>
      <c r="M9" s="6" t="n">
        <v>20</v>
      </c>
      <c r="N9" s="6" t="n">
        <v>1</v>
      </c>
      <c r="O9" s="6" t="n"/>
      <c r="P9" s="6" t="n">
        <v>1536</v>
      </c>
      <c r="Q9" s="6" t="n">
        <v>1</v>
      </c>
      <c r="R9">
        <f>M9+IF(N9&gt;1,N(O9)*(N9-1),0)</f>
        <v/>
      </c>
      <c r="S9">
        <f>IFERROR(L9*MAX(N9,1)/R9*IF(ISBLANK(K8),1,K8),0)</f>
        <v/>
      </c>
      <c r="AB9" s="7" t="inlineStr">
        <is>
          <t>^RemovesIvanBombs, ^RemovesTerrorDrone</t>
        </is>
      </c>
    </row>
    <row r="10">
      <c r="B10" s="7" t="inlineStr">
        <is>
          <t xml:space="preserve">  ↳ LeechDisinfect</t>
        </is>
      </c>
      <c r="C10" s="7" t="inlineStr">
        <is>
          <t>Armament@leechdisinfect</t>
        </is>
      </c>
      <c r="L10" s="6" t="n"/>
      <c r="M10" s="6" t="n">
        <v>100</v>
      </c>
      <c r="N10" s="6" t="n">
        <v>1</v>
      </c>
      <c r="O10" s="6" t="n"/>
      <c r="P10" s="6" t="n">
        <v>1536</v>
      </c>
      <c r="Q10" s="6" t="n">
        <v>1</v>
      </c>
      <c r="R10">
        <f>M10+IF(N10&gt;1,N(O10)*(N10-1),0)</f>
        <v/>
      </c>
      <c r="S10">
        <f>IFERROR(L10*MAX(N10,1)/R10*IF(ISBLANK(K8),1,K8),0)</f>
        <v/>
      </c>
      <c r="AB10" s="7" t="inlineStr"/>
    </row>
    <row r="11">
      <c r="B11" s="7" t="inlineStr">
        <is>
          <t xml:space="preserve">  ↳ TSEngineerPistol</t>
        </is>
      </c>
      <c r="C11" s="7" t="inlineStr">
        <is>
          <t>Armament@PRIMARY</t>
        </is>
      </c>
      <c r="L11" s="6" t="n">
        <v>20000</v>
      </c>
      <c r="M11" s="6" t="n">
        <v>25</v>
      </c>
      <c r="N11" s="6" t="n">
        <v>1</v>
      </c>
      <c r="O11" s="6" t="n"/>
      <c r="P11" s="6" t="n">
        <v>4303</v>
      </c>
      <c r="Q11" s="6" t="n">
        <v>0.75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^Warhead_Sniper_Light</t>
        </is>
      </c>
    </row>
    <row r="12">
      <c r="B12" s="7" t="inlineStr">
        <is>
          <t xml:space="preserve">  ↳ TSEngineerPistol</t>
        </is>
      </c>
      <c r="C12" s="7" t="inlineStr">
        <is>
          <t>Armament@GARRISONED</t>
        </is>
      </c>
      <c r="L12" s="6" t="n">
        <v>20000</v>
      </c>
      <c r="M12" s="6" t="n">
        <v>25</v>
      </c>
      <c r="N12" s="6" t="n">
        <v>1</v>
      </c>
      <c r="O12" s="6" t="n"/>
      <c r="P12" s="6" t="n">
        <v>4303</v>
      </c>
      <c r="Q12" s="6" t="n">
        <v>0.75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^Warhead_Sniper_Light</t>
        </is>
      </c>
    </row>
    <row r="13">
      <c r="A13" t="inlineStr">
        <is>
          <t>tiberiansun</t>
        </is>
      </c>
      <c r="B13" t="inlineStr">
        <is>
          <t>ts_gdi_falconenforcer</t>
        </is>
      </c>
      <c r="C13" t="inlineStr">
        <is>
          <t>Falcon Enforcer</t>
        </is>
      </c>
      <c r="D13" s="6" t="inlineStr">
        <is>
          <t>AntiTankAntiAirInfantry</t>
        </is>
      </c>
      <c r="E13" s="6" t="n">
        <v>45000</v>
      </c>
      <c r="F13" s="6" t="n">
        <v>62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K13" s="6" t="n">
        <v>0.0095</v>
      </c>
      <c r="P13">
        <f>MAX(P14,P16)</f>
        <v/>
      </c>
      <c r="S13">
        <f>S14+S16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(((E13/15000)+(F13/50)+(S13/240)+((P13/6000)*J13))*200/4+(((E13/15000)*(F13/50))+(((P13/6000)*J13)*(S13/240)))*200/2+((E13/15000)*(F13/50)*((P13/6000)*J13)*(S13/240))*200)*(H13/1.0)/3</f>
        <v/>
      </c>
      <c r="X13" s="6" t="n">
        <v>1322</v>
      </c>
      <c r="Y13">
        <f>IFERROR(W13-X13,"")</f>
        <v/>
      </c>
      <c r="Z13">
        <f>IFERROR(ABS(Y13)/MAX(X13,1),"")</f>
        <v/>
      </c>
      <c r="AA13">
        <f>IFERROR(ROUND(((3*X13-(((E13/15000)+(F13/50)+(S13/240))*200/4+((E13/15000)*(F13/50))*200/2)*(H13/1.0))/(200/4+((S13/240))*200/2+((E13/15000)*(F13/50)*(S13/240))*200)*(H13/1.0)*6000)/J13,-1),"")</f>
        <v/>
      </c>
    </row>
    <row r="14">
      <c r="B14" s="7" t="inlineStr">
        <is>
          <t xml:space="preserve">  ↳ TS30mm</t>
        </is>
      </c>
      <c r="C14" s="7" t="inlineStr">
        <is>
          <t>Armament@PRIMARY</t>
        </is>
      </c>
      <c r="L14" s="6" t="n">
        <v>16000</v>
      </c>
      <c r="M14" s="6" t="n">
        <v>26</v>
      </c>
      <c r="N14" s="6" t="n">
        <v>3</v>
      </c>
      <c r="O14" s="6" t="n">
        <v>2</v>
      </c>
      <c r="P14" s="6" t="n">
        <v>6125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^Warhead_MissileHE_Medium, ^Warhead_Flak_Medium</t>
        </is>
      </c>
    </row>
    <row r="15">
      <c r="B15" s="7" t="inlineStr">
        <is>
          <t xml:space="preserve">  ↳ TS30mm</t>
        </is>
      </c>
      <c r="C15" s="7" t="inlineStr">
        <is>
          <t>Armament@GARRISONED</t>
        </is>
      </c>
      <c r="L15" s="6" t="n">
        <v>16000</v>
      </c>
      <c r="M15" s="6" t="n">
        <v>26</v>
      </c>
      <c r="N15" s="6" t="n">
        <v>3</v>
      </c>
      <c r="O15" s="6" t="n">
        <v>2</v>
      </c>
      <c r="P15" s="6" t="n">
        <v>6125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^Warhead_MissileHE_Medium, ^Warhead_Flak_Medium</t>
        </is>
      </c>
    </row>
    <row r="16">
      <c r="B16" s="7" t="inlineStr">
        <is>
          <t xml:space="preserve">  ↳ TS30mmRail</t>
        </is>
      </c>
      <c r="C16" s="7" t="inlineStr">
        <is>
          <t>Armament@Upgrade</t>
        </is>
      </c>
      <c r="L16" s="6" t="n">
        <v>6000</v>
      </c>
      <c r="M16" s="6" t="n">
        <v>26</v>
      </c>
      <c r="N16" s="6" t="n">
        <v>3</v>
      </c>
      <c r="O16" s="6" t="n">
        <v>2</v>
      </c>
      <c r="P16" s="6" t="n">
        <v>5873</v>
      </c>
      <c r="Q16" s="6" t="n">
        <v>1</v>
      </c>
      <c r="R16">
        <f>M16+IF(N16&gt;1,N(O16)*(N16-1),0)</f>
        <v/>
      </c>
      <c r="S16">
        <f>IFERROR(L16*MAX(N16,1)/R16*IF(ISBLANK(K13),1,K13),0)</f>
        <v/>
      </c>
      <c r="AB16" s="7" t="inlineStr">
        <is>
          <t>^MediumMissile, ^FlakWeapon, ^RailgunWeapon</t>
        </is>
      </c>
    </row>
    <row r="17">
      <c r="B17" s="7" t="inlineStr">
        <is>
          <t xml:space="preserve">  ↳ TS30mmRail</t>
        </is>
      </c>
      <c r="C17" s="7" t="inlineStr">
        <is>
          <t>Armament@UpgradeGARRISONED</t>
        </is>
      </c>
      <c r="L17" s="6" t="n">
        <v>6000</v>
      </c>
      <c r="M17" s="6" t="n">
        <v>26</v>
      </c>
      <c r="N17" s="6" t="n">
        <v>3</v>
      </c>
      <c r="O17" s="6" t="n">
        <v>2</v>
      </c>
      <c r="P17" s="6" t="n">
        <v>5873</v>
      </c>
      <c r="Q17" s="6" t="n">
        <v>1</v>
      </c>
      <c r="R17">
        <f>M17+IF(N17&gt;1,N(O17)*(N17-1),0)</f>
        <v/>
      </c>
      <c r="S17">
        <f>IFERROR(L17*MAX(N17,1)/R17*IF(ISBLANK(K13),1,K13),0)</f>
        <v/>
      </c>
      <c r="AB17" s="7" t="inlineStr">
        <is>
          <t>^MediumMissile, ^FlakWeapon, ^RailgunWeapon</t>
        </is>
      </c>
    </row>
    <row r="18">
      <c r="A18" t="inlineStr">
        <is>
          <t>tiberiansun</t>
        </is>
      </c>
      <c r="B18" t="inlineStr">
        <is>
          <t>ts_gdi_jumpjetinfantry</t>
        </is>
      </c>
      <c r="C18" t="inlineStr">
        <is>
          <t>Jumpjet Infantry</t>
        </is>
      </c>
      <c r="D18" s="6" t="inlineStr">
        <is>
          <t>FlyingInfantry</t>
        </is>
      </c>
      <c r="E18" s="6" t="n">
        <v>34000</v>
      </c>
      <c r="F18" s="6" t="n">
        <v>110</v>
      </c>
      <c r="G18" t="inlineStr">
        <is>
          <t>Scout</t>
        </is>
      </c>
      <c r="H18" s="6" t="n">
        <v>1</v>
      </c>
      <c r="I18" s="6" t="n">
        <v>1</v>
      </c>
      <c r="J18" s="6" t="n">
        <v>1</v>
      </c>
      <c r="K18" s="6" t="n"/>
      <c r="P18">
        <f>MAX(P19)</f>
        <v/>
      </c>
      <c r="S18">
        <f>S19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700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TSJumpCannon</t>
        </is>
      </c>
      <c r="C19" s="7" t="inlineStr">
        <is>
          <t>Armament@PRIMARY</t>
        </is>
      </c>
      <c r="L19" s="6" t="n">
        <v>8000</v>
      </c>
      <c r="M19" s="6" t="n">
        <v>25</v>
      </c>
      <c r="N19" s="6" t="n">
        <v>1</v>
      </c>
      <c r="O19" s="6" t="n"/>
      <c r="P19" s="6" t="n">
        <v>5090</v>
      </c>
      <c r="Q19" s="6" t="n">
        <v>1</v>
      </c>
      <c r="R19">
        <f>M19+IF(N19&gt;1,N(O19)*(N19-1),0)</f>
        <v/>
      </c>
      <c r="S19">
        <f>IFERROR(L19*MAX(N19,1)/R19*IF(ISBLANK(K18),1,K18),0)</f>
        <v/>
      </c>
      <c r="AB19" s="7" t="inlineStr">
        <is>
          <t>^Warhead_Flak_Medium, ^Warhead_Bullet_Medium</t>
        </is>
      </c>
    </row>
    <row r="20">
      <c r="A20" t="inlineStr">
        <is>
          <t>tiberiansun</t>
        </is>
      </c>
      <c r="B20" t="inlineStr">
        <is>
          <t>ts_gdi_lightinfantry</t>
        </is>
      </c>
      <c r="C20" t="inlineStr">
        <is>
          <t>Light Infantry</t>
        </is>
      </c>
      <c r="D20" s="6" t="inlineStr">
        <is>
          <t>ScoutInfantry</t>
        </is>
      </c>
      <c r="E20" s="6" t="n">
        <v>16000</v>
      </c>
      <c r="F20" s="6" t="n">
        <v>60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K20" s="6" t="n"/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(((E20/20000)+(F20/60)+(S20/60)+((P20/5000)*J20))*100/4+(((E20/20000)*(F20/60))+(((P20/5000)*J20)*(S20/60)))*100/2+((E20/20000)*(F20/60)*((P20/5000)*J20)*(S20/60))*100)*(H20/1.0)/3</f>
        <v/>
      </c>
      <c r="X20" s="6" t="n">
        <v>120</v>
      </c>
      <c r="Y20">
        <f>IFERROR(W20-X20,"")</f>
        <v/>
      </c>
      <c r="Z20">
        <f>IFERROR(ABS(Y20)/MAX(X20,1),"")</f>
        <v/>
      </c>
      <c r="AA20">
        <f>IFERROR(ROUND(((3*X20-(((E20/20000)+(F20/60)+(S20/60))*100/4+((E20/20000)*(F20/60))*100/2)*(H20/1.0))/(100/4+((S20/60))*100/2+((E20/20000)*(F20/60)*(S20/60))*100)*(H20/1.0)*5000)/J20,-1),"")</f>
        <v/>
      </c>
    </row>
    <row r="21">
      <c r="B21" s="7" t="inlineStr">
        <is>
          <t xml:space="preserve">  ↳ TSMinigun</t>
        </is>
      </c>
      <c r="C21" s="7" t="inlineStr">
        <is>
          <t>Armament@PRIMARY</t>
        </is>
      </c>
      <c r="L21" s="6" t="n">
        <v>2000</v>
      </c>
      <c r="M21" s="6" t="n">
        <v>12</v>
      </c>
      <c r="N21" s="6" t="n">
        <v>1</v>
      </c>
      <c r="O21" s="6" t="n"/>
      <c r="P21" s="6" t="n">
        <v>4062</v>
      </c>
      <c r="Q21" s="6" t="n">
        <v>0.75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</t>
        </is>
      </c>
    </row>
    <row r="22">
      <c r="B22" s="7" t="inlineStr">
        <is>
          <t xml:space="preserve">  ↳ TSMinigun</t>
        </is>
      </c>
      <c r="C22" s="7" t="inlineStr">
        <is>
          <t>Armament@GARRISONED</t>
        </is>
      </c>
      <c r="L22" s="6" t="n">
        <v>2000</v>
      </c>
      <c r="M22" s="6" t="n">
        <v>12</v>
      </c>
      <c r="N22" s="6" t="n">
        <v>1</v>
      </c>
      <c r="O22" s="6" t="n"/>
      <c r="P22" s="6" t="n">
        <v>4062</v>
      </c>
      <c r="Q22" s="6" t="n">
        <v>0.75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^Warhead_Bullet_Light</t>
        </is>
      </c>
    </row>
    <row r="23">
      <c r="A23" t="inlineStr">
        <is>
          <t>tiberiansun</t>
        </is>
      </c>
      <c r="B23" t="inlineStr">
        <is>
          <t>ts_gdi_medic</t>
        </is>
      </c>
      <c r="C23" t="inlineStr">
        <is>
          <t>Medic</t>
        </is>
      </c>
      <c r="D23" s="6" t="inlineStr">
        <is>
          <t>Medic</t>
        </is>
      </c>
      <c r="E23" s="6" t="n">
        <v>10000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K23" s="6" t="n"/>
      <c r="P23">
        <f>MAX(P25)</f>
        <v/>
      </c>
      <c r="S23">
        <f>S25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(((E23/5000)+(F23/50)+(S23/0)+((P23/0)*J23))*500/4+(((E23/5000)*(F23/50))+(((P23/0)*J23)*(S23/0)))*500/2+((E23/5000)*(F23/50)*((P23/0)*J23)*(S23/0))*500)*(H23/1.0)/3</f>
        <v/>
      </c>
      <c r="X23" s="6" t="n">
        <v>500</v>
      </c>
      <c r="Y23">
        <f>IFERROR(W23-X23,"")</f>
        <v/>
      </c>
      <c r="Z23">
        <f>IFERROR(ABS(Y23)/MAX(X23,1),"")</f>
        <v/>
      </c>
      <c r="AA23">
        <f>IFERROR(ROUND(((3*X23-(((E23/5000)+(F23/50)+(S23/0))*500/4+((E23/5000)*(F23/50))*500/2)*(H23/1.0))/(500/4+((S23/0))*500/2+((E23/5000)*(F23/50)*(S23/0))*500)*(H23/1.0)*0)/J23,-1),"")</f>
        <v/>
      </c>
    </row>
    <row r="24">
      <c r="B24" s="7" t="inlineStr">
        <is>
          <t xml:space="preserve">  ↳ dummytargeting</t>
        </is>
      </c>
      <c r="C24" s="7" t="inlineStr">
        <is>
          <t>Armament@Dummy</t>
        </is>
      </c>
      <c r="L24" s="6" t="n"/>
      <c r="M24" s="6" t="n"/>
      <c r="N24" s="6" t="n">
        <v>1</v>
      </c>
      <c r="O24" s="6" t="n"/>
      <c r="P24" s="6" t="n">
        <v>10000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/>
    </row>
    <row r="25">
      <c r="B25" s="7" t="inlineStr">
        <is>
          <t xml:space="preserve">  ↳ Heal</t>
        </is>
      </c>
      <c r="C25" s="7" t="inlineStr">
        <is>
          <t>Armament</t>
        </is>
      </c>
      <c r="L25" s="6" t="n">
        <v>-3000</v>
      </c>
      <c r="M25" s="6" t="n">
        <v>75</v>
      </c>
      <c r="N25" s="6" t="n">
        <v>1</v>
      </c>
      <c r="O25" s="6" t="n"/>
      <c r="P25" s="6" t="n">
        <v>5000</v>
      </c>
      <c r="Q25" s="6" t="n">
        <v>1</v>
      </c>
      <c r="R25">
        <f>M25+IF(N25&gt;1,N(O25)*(N25-1),0)</f>
        <v/>
      </c>
      <c r="S25">
        <f>IFERROR(L25*MAX(N25,1)/R25*IF(ISBLANK(K23),1,K23),0)</f>
        <v/>
      </c>
      <c r="AB25" s="7" t="inlineStr">
        <is>
          <t>^HealingWeapon</t>
        </is>
      </c>
    </row>
    <row r="26">
      <c r="B26" s="7" t="inlineStr">
        <is>
          <t xml:space="preserve">  ↳ Heal</t>
        </is>
      </c>
      <c r="C26" s="7" t="inlineStr">
        <is>
          <t>Armament@GARRISONED</t>
        </is>
      </c>
      <c r="L26" s="6" t="n">
        <v>-3000</v>
      </c>
      <c r="M26" s="6" t="n">
        <v>75</v>
      </c>
      <c r="N26" s="6" t="n">
        <v>1</v>
      </c>
      <c r="O26" s="6" t="n"/>
      <c r="P26" s="6" t="n">
        <v>5000</v>
      </c>
      <c r="Q26" s="6" t="n">
        <v>1</v>
      </c>
      <c r="R26">
        <f>M26+IF(N26&gt;1,N(O26)*(N26-1),0)</f>
        <v/>
      </c>
      <c r="S26">
        <f>IFERROR(L26*MAX(N26,1)/R26*IF(ISBLANK(K23),1,K23),0)</f>
        <v/>
      </c>
      <c r="AB26" s="7" t="inlineStr">
        <is>
          <t>^HealingWeapon</t>
        </is>
      </c>
    </row>
    <row r="27">
      <c r="A27" t="inlineStr">
        <is>
          <t>tiberiansun</t>
        </is>
      </c>
      <c r="B27" t="inlineStr">
        <is>
          <t>ts_gdi_railguncommando</t>
        </is>
      </c>
      <c r="C27" t="inlineStr">
        <is>
          <t>Railgun Commando</t>
        </is>
      </c>
      <c r="D27" s="6" t="inlineStr">
        <is>
          <t>HeroInfantry</t>
        </is>
      </c>
      <c r="E27" s="6" t="n">
        <v>100000</v>
      </c>
      <c r="F27" s="6" t="n">
        <v>60</v>
      </c>
      <c r="G27" t="inlineStr">
        <is>
          <t>Heroic</t>
        </is>
      </c>
      <c r="H27" s="6" t="n">
        <v>0.7333</v>
      </c>
      <c r="I27" s="6" t="n">
        <v>1</v>
      </c>
      <c r="J27" s="6" t="n">
        <v>1</v>
      </c>
      <c r="K27" s="6" t="n"/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5000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TSCommandoRailgun</t>
        </is>
      </c>
      <c r="C28" s="7" t="inlineStr">
        <is>
          <t>Armament@PRIMARY</t>
        </is>
      </c>
      <c r="L28" s="6" t="n">
        <v>40000</v>
      </c>
      <c r="M28" s="6" t="n">
        <v>52</v>
      </c>
      <c r="N28" s="6" t="n">
        <v>3</v>
      </c>
      <c r="O28" s="6" t="n">
        <v>4</v>
      </c>
      <c r="P28" s="6" t="n">
        <v>7563</v>
      </c>
      <c r="Q28" s="6" t="n">
        <v>1.25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^Warhead_Railgun_Heavy</t>
        </is>
      </c>
    </row>
    <row r="29">
      <c r="B29" s="7" t="inlineStr">
        <is>
          <t xml:space="preserve">  ↳ TSCommandoRailgunRail</t>
        </is>
      </c>
      <c r="C29" s="7" t="inlineStr">
        <is>
          <t>Armament@Upgrade</t>
        </is>
      </c>
      <c r="L29" s="6" t="n">
        <v>40000</v>
      </c>
      <c r="M29" s="6" t="n">
        <v>52</v>
      </c>
      <c r="N29" s="6" t="n">
        <v>5</v>
      </c>
      <c r="O29" s="6" t="n">
        <v>4</v>
      </c>
      <c r="P29" s="6" t="n">
        <v>7563</v>
      </c>
      <c r="Q29" s="6" t="n">
        <v>1.25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^Warhead_Railgun_Heavy</t>
        </is>
      </c>
    </row>
    <row r="30">
      <c r="B30" s="7" t="inlineStr">
        <is>
          <t xml:space="preserve">  ↳ TSCommandoRailgun</t>
        </is>
      </c>
      <c r="C30" s="7" t="inlineStr">
        <is>
          <t>Armament@GARRISONED</t>
        </is>
      </c>
      <c r="L30" s="6" t="n">
        <v>40000</v>
      </c>
      <c r="M30" s="6" t="n">
        <v>52</v>
      </c>
      <c r="N30" s="6" t="n">
        <v>3</v>
      </c>
      <c r="O30" s="6" t="n">
        <v>4</v>
      </c>
      <c r="P30" s="6" t="n">
        <v>7563</v>
      </c>
      <c r="Q30" s="6" t="n">
        <v>1.25</v>
      </c>
      <c r="R30">
        <f>M30+IF(N30&gt;1,N(O30)*(N30-1),0)</f>
        <v/>
      </c>
      <c r="S30">
        <f>IFERROR(L30*MAX(N30,1)/R30*IF(ISBLANK(K27),1,K27),0)</f>
        <v/>
      </c>
      <c r="AB30" s="7" t="inlineStr">
        <is>
          <t>^Warhead_Railgun_Heavy</t>
        </is>
      </c>
    </row>
    <row r="31">
      <c r="B31" s="7" t="inlineStr">
        <is>
          <t xml:space="preserve">  ↳ TSCommandoRailgunRail</t>
        </is>
      </c>
      <c r="C31" s="7" t="inlineStr">
        <is>
          <t>Armament@UpgradeGARRISONED</t>
        </is>
      </c>
      <c r="L31" s="6" t="n">
        <v>40000</v>
      </c>
      <c r="M31" s="6" t="n">
        <v>52</v>
      </c>
      <c r="N31" s="6" t="n">
        <v>5</v>
      </c>
      <c r="O31" s="6" t="n">
        <v>4</v>
      </c>
      <c r="P31" s="6" t="n">
        <v>7563</v>
      </c>
      <c r="Q31" s="6" t="n">
        <v>1.25</v>
      </c>
      <c r="R31">
        <f>M31+IF(N31&gt;1,N(O31)*(N31-1),0)</f>
        <v/>
      </c>
      <c r="S31">
        <f>IFERROR(L31*MAX(N31,1)/R31*IF(ISBLANK(K27),1,K27),0)</f>
        <v/>
      </c>
      <c r="AB31" s="7" t="inlineStr">
        <is>
          <t>^Warhead_Railgun_Heavy</t>
        </is>
      </c>
    </row>
    <row r="32">
      <c r="A32" t="inlineStr">
        <is>
          <t>tiberiansun</t>
        </is>
      </c>
      <c r="B32" t="inlineStr">
        <is>
          <t>ts_gdi_riottrooper</t>
        </is>
      </c>
      <c r="C32" t="inlineStr">
        <is>
          <t>Riot Trooper</t>
        </is>
      </c>
      <c r="D32" s="6" t="inlineStr">
        <is>
          <t>MeleeInfantry</t>
        </is>
      </c>
      <c r="E32" s="6" t="n">
        <v>54000</v>
      </c>
      <c r="F32" s="6" t="n">
        <v>60</v>
      </c>
      <c r="G32" t="inlineStr">
        <is>
          <t>Plate</t>
        </is>
      </c>
      <c r="H32" s="6" t="n">
        <v>1</v>
      </c>
      <c r="I32" s="6" t="n">
        <v>1</v>
      </c>
      <c r="J32" s="6" t="n">
        <v>1</v>
      </c>
      <c r="K32" s="6" t="n"/>
      <c r="P32">
        <f>MAX(P33)</f>
        <v/>
      </c>
      <c r="S32">
        <f>S33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(T32+U32+V32)/3</f>
        <v/>
      </c>
      <c r="X32" s="6" t="n">
        <v>700</v>
      </c>
      <c r="Y32">
        <f>IFERROR(W32-X32,"")</f>
        <v/>
      </c>
      <c r="Z32">
        <f>IFERROR(ABS(Y32)/MAX(X32,1),"")</f>
        <v/>
      </c>
      <c r="AA32">
        <f>IFERROR((X32-(((E32/100000+F32/100+S32/200)*200*I32*H32)+((E32*F32/25000)*I32*H32))/3)/(((J32/5)*200*I32*H32)+((J32*S32/2.5)*I32*H32)+((E32*F32*J32*S32*I32*H32)/12500000))/3*1000,"")</f>
        <v/>
      </c>
    </row>
    <row r="33">
      <c r="B33" s="7" t="inlineStr">
        <is>
          <t xml:space="preserve">  ↳ TSShotgun</t>
        </is>
      </c>
      <c r="C33" s="7" t="inlineStr">
        <is>
          <t>Armament@PRIMARY</t>
        </is>
      </c>
      <c r="L33" s="6" t="n">
        <v>24000</v>
      </c>
      <c r="M33" s="6" t="n">
        <v>46</v>
      </c>
      <c r="N33" s="6" t="n">
        <v>1</v>
      </c>
      <c r="O33" s="6" t="n"/>
      <c r="P33" s="6" t="n">
        <v>4002</v>
      </c>
      <c r="Q33" s="6" t="n">
        <v>1</v>
      </c>
      <c r="R33">
        <f>M33+IF(N33&gt;1,N(O33)*(N33-1),0)</f>
        <v/>
      </c>
      <c r="S33">
        <f>IFERROR(L33*MAX(N33,1)/R33*IF(ISBLANK(K32),1,K32),0)</f>
        <v/>
      </c>
      <c r="AB33" s="7" t="inlineStr">
        <is>
          <t>^Warhead_CannonHE_Medium</t>
        </is>
      </c>
    </row>
    <row r="34">
      <c r="B34" s="7" t="inlineStr">
        <is>
          <t xml:space="preserve">  ↳ TSShotgun</t>
        </is>
      </c>
      <c r="C34" s="7" t="inlineStr">
        <is>
          <t>Armament@GARRISONED</t>
        </is>
      </c>
      <c r="L34" s="6" t="n">
        <v>24000</v>
      </c>
      <c r="M34" s="6" t="n">
        <v>46</v>
      </c>
      <c r="N34" s="6" t="n">
        <v>1</v>
      </c>
      <c r="O34" s="6" t="n"/>
      <c r="P34" s="6" t="n">
        <v>4002</v>
      </c>
      <c r="Q34" s="6" t="n">
        <v>1</v>
      </c>
      <c r="R34">
        <f>M34+IF(N34&gt;1,N(O34)*(N34-1),0)</f>
        <v/>
      </c>
      <c r="S34">
        <f>IFERROR(L34*MAX(N34,1)/R34*IF(ISBLANK(K32),1,K32),0)</f>
        <v/>
      </c>
      <c r="AB34" s="7" t="inlineStr">
        <is>
          <t>^Warhead_CannonHE_Medium</t>
        </is>
      </c>
    </row>
    <row r="35">
      <c r="A35" t="inlineStr">
        <is>
          <t>tiberiansun</t>
        </is>
      </c>
      <c r="B35" t="inlineStr">
        <is>
          <t>ts_gdi_zonetrooper</t>
        </is>
      </c>
      <c r="C35" t="inlineStr">
        <is>
          <t>Zone Trooper</t>
        </is>
      </c>
      <c r="D35" s="6" t="inlineStr">
        <is>
          <t>HeavyInfantry</t>
        </is>
      </c>
      <c r="E35" s="6" t="n">
        <v>80000</v>
      </c>
      <c r="F35" s="6" t="n">
        <v>60</v>
      </c>
      <c r="G35" t="inlineStr">
        <is>
          <t>Plate</t>
        </is>
      </c>
      <c r="H35" s="6" t="n">
        <v>0.7333</v>
      </c>
      <c r="I35" s="6" t="n">
        <v>1</v>
      </c>
      <c r="J35" s="6" t="n">
        <v>1</v>
      </c>
      <c r="K35" s="6" t="n"/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1500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TSZoneRailgun</t>
        </is>
      </c>
      <c r="C36" s="7" t="inlineStr">
        <is>
          <t>Armament@PRIMARY</t>
        </is>
      </c>
      <c r="L36" s="6" t="n">
        <v>40000</v>
      </c>
      <c r="M36" s="6" t="n">
        <v>60</v>
      </c>
      <c r="N36" s="6" t="n">
        <v>1</v>
      </c>
      <c r="O36" s="6" t="n"/>
      <c r="P36" s="6" t="n">
        <v>6230</v>
      </c>
      <c r="Q36" s="6" t="n">
        <v>1.25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^Warhead_Railgun_Heavy</t>
        </is>
      </c>
    </row>
    <row r="37">
      <c r="B37" s="7" t="inlineStr">
        <is>
          <t xml:space="preserve">  ↳ TSZoneRailgunRail</t>
        </is>
      </c>
      <c r="C37" s="7" t="inlineStr">
        <is>
          <t>Armament@Upgrade</t>
        </is>
      </c>
      <c r="L37" s="6" t="n">
        <v>60000</v>
      </c>
      <c r="M37" s="6" t="n">
        <v>60</v>
      </c>
      <c r="N37" s="6" t="n">
        <v>1</v>
      </c>
      <c r="O37" s="6" t="n"/>
      <c r="P37" s="6" t="n">
        <v>6230</v>
      </c>
      <c r="Q37" s="6" t="n">
        <v>1.25</v>
      </c>
      <c r="R37">
        <f>M37+IF(N37&gt;1,N(O37)*(N37-1),0)</f>
        <v/>
      </c>
      <c r="S37">
        <f>IFERROR(L37*MAX(N37,1)/R37*IF(ISBLANK(K35),1,K35),0)</f>
        <v/>
      </c>
      <c r="AB37" s="7" t="inlineStr">
        <is>
          <t>^Warhead_Railgun_Heavy</t>
        </is>
      </c>
    </row>
    <row r="38">
      <c r="B38" s="7" t="inlineStr">
        <is>
          <t xml:space="preserve">  ↳ TSZoneRailgun</t>
        </is>
      </c>
      <c r="C38" s="7" t="inlineStr">
        <is>
          <t>Armament@GARRISONED</t>
        </is>
      </c>
      <c r="L38" s="6" t="n">
        <v>40000</v>
      </c>
      <c r="M38" s="6" t="n">
        <v>60</v>
      </c>
      <c r="N38" s="6" t="n">
        <v>1</v>
      </c>
      <c r="O38" s="6" t="n"/>
      <c r="P38" s="6" t="n">
        <v>6230</v>
      </c>
      <c r="Q38" s="6" t="n">
        <v>1.25</v>
      </c>
      <c r="R38">
        <f>M38+IF(N38&gt;1,N(O38)*(N38-1),0)</f>
        <v/>
      </c>
      <c r="S38">
        <f>IFERROR(L38*MAX(N38,1)/R38*IF(ISBLANK(K35),1,K35),0)</f>
        <v/>
      </c>
      <c r="AB38" s="7" t="inlineStr">
        <is>
          <t>^Warhead_Railgun_Heavy</t>
        </is>
      </c>
    </row>
    <row r="39">
      <c r="B39" s="7" t="inlineStr">
        <is>
          <t xml:space="preserve">  ↳ TSZoneRailgunRail</t>
        </is>
      </c>
      <c r="C39" s="7" t="inlineStr">
        <is>
          <t>Armament@UpgradeGARRISONED</t>
        </is>
      </c>
      <c r="L39" s="6" t="n">
        <v>60000</v>
      </c>
      <c r="M39" s="6" t="n">
        <v>60</v>
      </c>
      <c r="N39" s="6" t="n">
        <v>1</v>
      </c>
      <c r="O39" s="6" t="n"/>
      <c r="P39" s="6" t="n">
        <v>6230</v>
      </c>
      <c r="Q39" s="6" t="n">
        <v>1.25</v>
      </c>
      <c r="R39">
        <f>M39+IF(N39&gt;1,N(O39)*(N39-1),0)</f>
        <v/>
      </c>
      <c r="S39">
        <f>IFERROR(L39*MAX(N39,1)/R39*IF(ISBLANK(K35),1,K35),0)</f>
        <v/>
      </c>
      <c r="AB39" s="7" t="inlineStr">
        <is>
          <t>^Warhead_Railgun_Heavy</t>
        </is>
      </c>
    </row>
    <row r="40">
      <c r="A40" s="4" t="inlineStr">
        <is>
          <t>VEHICLES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>
      <c r="A41" t="inlineStr">
        <is>
          <t>tiberiansun</t>
        </is>
      </c>
      <c r="B41" t="inlineStr">
        <is>
          <t>ts_gdi_amphibiousapc</t>
        </is>
      </c>
      <c r="C41" t="inlineStr">
        <is>
          <t>Amphibious APC</t>
        </is>
      </c>
      <c r="D41" s="6" t="inlineStr">
        <is>
          <t>SupportVehicle</t>
        </is>
      </c>
      <c r="E41" s="6" t="n">
        <v>80000</v>
      </c>
      <c r="F41" s="6" t="n">
        <v>100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K41" s="6" t="n"/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1640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TSAAPCCannon</t>
        </is>
      </c>
      <c r="C42" s="7" t="inlineStr">
        <is>
          <t>Armament</t>
        </is>
      </c>
      <c r="L42" s="6" t="n">
        <v>4000</v>
      </c>
      <c r="M42" s="6" t="n">
        <v>10</v>
      </c>
      <c r="N42" s="6" t="n">
        <v>1</v>
      </c>
      <c r="O42" s="6" t="n"/>
      <c r="P42" s="6" t="n">
        <v>6263</v>
      </c>
      <c r="Q42" s="6" t="n">
        <v>1</v>
      </c>
      <c r="R42">
        <f>M42+IF(N42&gt;1,N(O42)*(N42-1),0)</f>
        <v/>
      </c>
      <c r="S42">
        <f>IFERROR(L42*MAX(N42,1)/R42*IF(ISBLANK(K41),1,K41),0)</f>
        <v/>
      </c>
      <c r="AB42" s="7" t="inlineStr">
        <is>
          <t>^Warhead_Bullet_Medium, ^Warhead_Flak_Medium</t>
        </is>
      </c>
    </row>
    <row r="43">
      <c r="A43" t="inlineStr">
        <is>
          <t>tiberiansun</t>
        </is>
      </c>
      <c r="B43" t="inlineStr">
        <is>
          <t>ts_gdi_disruptor</t>
        </is>
      </c>
      <c r="C43" t="inlineStr">
        <is>
          <t>Disruptor</t>
        </is>
      </c>
      <c r="D43" s="6" t="inlineStr">
        <is>
          <t>LineBreaker</t>
        </is>
      </c>
      <c r="E43" s="6" t="n">
        <v>250000</v>
      </c>
      <c r="F43" s="6" t="n">
        <v>50</v>
      </c>
      <c r="G43" t="inlineStr">
        <is>
          <t>Superheavy</t>
        </is>
      </c>
      <c r="H43" s="6" t="n">
        <v>0.6471</v>
      </c>
      <c r="I43" s="6" t="n">
        <v>1</v>
      </c>
      <c r="J43" s="6" t="n">
        <v>1</v>
      </c>
      <c r="K43" s="6" t="n"/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(((E43/750000)+(F43/80)+(S43/1600)+((P43/2500)*J43))*1600/4+(((E43/750000)*(F43/80))+(((P43/2500)*J43)*(S43/1600)))*1600/2+((E43/750000)*(F43/80)*((P43/2500)*J43)*(S43/1600))*1600)*(H43/1.0)/3</f>
        <v/>
      </c>
      <c r="X43" s="6" t="n">
        <v>2400</v>
      </c>
      <c r="Y43">
        <f>IFERROR(W43-X43,"")</f>
        <v/>
      </c>
      <c r="Z43">
        <f>IFERROR(ABS(Y43)/MAX(X43,1),"")</f>
        <v/>
      </c>
      <c r="AA43">
        <f>IFERROR(ROUND(((3*X43-(((E43/750000)+(F43/80)+(S43/1600))*1600/4+((E43/750000)*(F43/80))*1600/2)*(H43/1.0))/(1600/4+((S43/1600))*1600/2+((E43/750000)*(F43/80)*(S43/1600))*1600)*(H43/1.0)*2500)/J43,-1),"")</f>
        <v/>
      </c>
    </row>
    <row r="44">
      <c r="B44" s="7" t="inlineStr">
        <is>
          <t xml:space="preserve">  ↳ TSSonicZapWeapon</t>
        </is>
      </c>
      <c r="C44" s="7" t="inlineStr">
        <is>
          <t>Armament@PRIMARY</t>
        </is>
      </c>
      <c r="L44" s="6" t="n">
        <v>4000</v>
      </c>
      <c r="M44" s="6" t="n">
        <v>60</v>
      </c>
      <c r="N44" s="6" t="n">
        <v>1</v>
      </c>
      <c r="O44" s="6" t="n"/>
      <c r="P44" s="6" t="n">
        <v>4050</v>
      </c>
      <c r="Q44" s="6" t="n">
        <v>1.25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^Warhead_Tesla_Heavy, ^Warhead_Magic_Heavy</t>
        </is>
      </c>
    </row>
    <row r="45">
      <c r="B45" s="7" t="inlineStr">
        <is>
          <t xml:space="preserve">  ↳ TSSonicZapWeaponSonic</t>
        </is>
      </c>
      <c r="C45" s="7" t="inlineStr">
        <is>
          <t>Armament@Upgrade</t>
        </is>
      </c>
      <c r="L45" s="6" t="n">
        <v>4000</v>
      </c>
      <c r="M45" s="6" t="n">
        <v>60</v>
      </c>
      <c r="N45" s="6" t="n">
        <v>1</v>
      </c>
      <c r="O45" s="6" t="n"/>
      <c r="P45" s="6" t="n">
        <v>4050</v>
      </c>
      <c r="Q45" s="6" t="n">
        <v>1.25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^Warhead_Sonic_Heavy</t>
        </is>
      </c>
    </row>
    <row r="46">
      <c r="A46" t="inlineStr">
        <is>
          <t>tiberiansun</t>
        </is>
      </c>
      <c r="B46" t="inlineStr">
        <is>
          <t>ts_gdi_hovermlrs</t>
        </is>
      </c>
      <c r="C46" t="inlineStr">
        <is>
          <t>Hover MLRS</t>
        </is>
      </c>
      <c r="D46" s="6" t="inlineStr">
        <is>
          <t>MissileVehicle</t>
        </is>
      </c>
      <c r="E46" s="6" t="n">
        <v>30000</v>
      </c>
      <c r="F46" s="6" t="n">
        <v>80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K46" s="6" t="n"/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(((E46/160000)+(F46/100)+(S46/1200)+((P46/8000)*J46))*1200/4+(((E46/160000)*(F46/100))+(((P46/8000)*J46)*(S46/1200)))*1200/2+((E46/160000)*(F46/100)*((P46/8000)*J46)*(S46/1200))*1200)*(H46/1.0)/3</f>
        <v/>
      </c>
      <c r="X46" s="6" t="n">
        <v>900</v>
      </c>
      <c r="Y46">
        <f>IFERROR(W46-X46,"")</f>
        <v/>
      </c>
      <c r="Z46">
        <f>IFERROR(ABS(Y46)/MAX(X46,1),"")</f>
        <v/>
      </c>
      <c r="AA46">
        <f>IFERROR(ROUND(((3*X46-(((E46/160000)+(F46/100)+(S46/1200))*1200/4+((E46/160000)*(F46/100))*1200/2)*(H46/1.0))/(1200/4+((S46/1200))*1200/2+((E46/160000)*(F46/100)*(S46/1200))*1200)*(H46/1.0)*8000)/J46,-1),"")</f>
        <v/>
      </c>
    </row>
    <row r="47">
      <c r="B47" s="7" t="inlineStr">
        <is>
          <t xml:space="preserve">  ↳ TSHoverMissile</t>
        </is>
      </c>
      <c r="C47" s="7" t="inlineStr">
        <is>
          <t>Armament</t>
        </is>
      </c>
      <c r="L47" s="6" t="n">
        <v>12000</v>
      </c>
      <c r="M47" s="6" t="n">
        <v>60</v>
      </c>
      <c r="N47" s="6" t="n">
        <v>2</v>
      </c>
      <c r="O47" s="6" t="n">
        <v>8</v>
      </c>
      <c r="P47" s="6" t="n">
        <v>8159</v>
      </c>
      <c r="Q47" s="6" t="n">
        <v>1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^FlakWeapon, ^MediumMissile, ^ShrapnelWeapon</t>
        </is>
      </c>
    </row>
    <row r="48">
      <c r="A48" t="inlineStr">
        <is>
          <t>tiberiansun</t>
        </is>
      </c>
      <c r="B48" t="inlineStr">
        <is>
          <t>ts_gdi_juggernaut</t>
        </is>
      </c>
      <c r="C48" t="inlineStr">
        <is>
          <t>Juggernaut</t>
        </is>
      </c>
      <c r="D48" s="6" t="inlineStr">
        <is>
          <t>ArtilleryTank</t>
        </is>
      </c>
      <c r="E48" s="6" t="n">
        <v>35000</v>
      </c>
      <c r="F48" s="6" t="n">
        <v>71</v>
      </c>
      <c r="G48" t="inlineStr">
        <is>
          <t>Medium</t>
        </is>
      </c>
      <c r="H48" s="6" t="n">
        <v>0.6471</v>
      </c>
      <c r="I48" s="6" t="n">
        <v>1</v>
      </c>
      <c r="J48" s="6" t="n">
        <v>1</v>
      </c>
      <c r="K48" s="6" t="n"/>
      <c r="P48">
        <f>MAX(P50)</f>
        <v/>
      </c>
      <c r="S48">
        <f>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(((E48/140000)+(F48/85)+(S48/525)+((P48/12000)*J48))*700/4+(((E48/140000)*(F48/85))+(((P48/12000)*J48)*(S48/525)))*700/2+((E48/140000)*(F48/85)*((P48/12000)*J48)*(S48/525))*700)*(H48/1.0)/3</f>
        <v/>
      </c>
      <c r="X48" s="6" t="n">
        <v>1400</v>
      </c>
      <c r="Y48">
        <f>IFERROR(W48-X48,"")</f>
        <v/>
      </c>
      <c r="Z48">
        <f>IFERROR(ABS(Y48)/MAX(X48,1),"")</f>
        <v/>
      </c>
      <c r="AA48">
        <f>IFERROR(ROUND(((3*X48-(((E48/140000)+(F48/85)+(S48/525))*700/4+((E48/140000)*(F48/85))*700/2)*(H48/1.0))/(700/4+((S48/525))*700/2+((E48/140000)*(F48/85)*(S48/525))*700)*(H48/1.0)*12000)/J48,-1),"")</f>
        <v/>
      </c>
    </row>
    <row r="49">
      <c r="B49" s="7" t="inlineStr">
        <is>
          <t xml:space="preserve">  ↳ TSJuggTargeting</t>
        </is>
      </c>
      <c r="C49" s="7" t="inlineStr">
        <is>
          <t>Armament@Dummy</t>
        </is>
      </c>
      <c r="L49" s="6" t="n"/>
      <c r="M49" s="6" t="n">
        <v>33</v>
      </c>
      <c r="N49" s="6" t="n">
        <v>1</v>
      </c>
      <c r="O49" s="6" t="n"/>
      <c r="P49" s="6" t="n">
        <v>12834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/>
    </row>
    <row r="50">
      <c r="B50" s="7" t="inlineStr">
        <is>
          <t xml:space="preserve">  ↳ TSJugg90mm</t>
        </is>
      </c>
      <c r="C50" s="7" t="inlineStr">
        <is>
          <t>Armament@Deployed</t>
        </is>
      </c>
      <c r="L50" s="6" t="n">
        <v>30000</v>
      </c>
      <c r="M50" s="6" t="n">
        <v>69</v>
      </c>
      <c r="N50" s="6" t="n">
        <v>3</v>
      </c>
      <c r="O50" s="6" t="n">
        <v>3</v>
      </c>
      <c r="P50" s="6" t="n">
        <v>12834</v>
      </c>
      <c r="Q50" s="6" t="n">
        <v>1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^Warhead_Concussion_Medium</t>
        </is>
      </c>
    </row>
    <row r="51">
      <c r="A51" t="inlineStr">
        <is>
          <t>tiberiansun</t>
        </is>
      </c>
      <c r="B51" t="inlineStr">
        <is>
          <t>ts_gdi_juggernautmkii</t>
        </is>
      </c>
      <c r="C51" t="inlineStr">
        <is>
          <t>Juggernaut MK II</t>
        </is>
      </c>
      <c r="D51" s="6" t="inlineStr">
        <is>
          <t>Artillery</t>
        </is>
      </c>
      <c r="E51" s="6" t="n">
        <v>50000</v>
      </c>
      <c r="F51" s="6" t="n">
        <v>70</v>
      </c>
      <c r="G51" t="inlineStr">
        <is>
          <t>Light</t>
        </is>
      </c>
      <c r="H51" s="6" t="n">
        <v>0.6471</v>
      </c>
      <c r="I51" s="6" t="n">
        <v>1</v>
      </c>
      <c r="J51" s="6" t="n">
        <v>1</v>
      </c>
      <c r="K51" s="6" t="n"/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(((E51/60000)+(F51/75)+(S51/500)+((P51/15000)*J51))*500/4+(((E51/60000)*(F51/75))+(((P51/15000)*J51)*(S51/500)))*500/2+((E51/60000)*(F51/75)*((P51/15000)*J51)*(S51/500))*500)*(H51/1.0)/3</f>
        <v/>
      </c>
      <c r="X51" s="6" t="n">
        <v>2200</v>
      </c>
      <c r="Y51">
        <f>IFERROR(W51-X51,"")</f>
        <v/>
      </c>
      <c r="Z51">
        <f>IFERROR(ABS(Y51)/MAX(X51,1),"")</f>
        <v/>
      </c>
      <c r="AA51">
        <f>IFERROR(ROUND(((3*X51-(((E51/60000)+(F51/75)+(S51/500))*500/4+((E51/60000)*(F51/75))*500/2)*(H51/1.0))/(500/4+((S51/500))*500/2+((E51/60000)*(F51/75)*(S51/500))*500)*(H51/1.0)*15000)/J51,-1),"")</f>
        <v/>
      </c>
    </row>
    <row r="52">
      <c r="B52" s="7" t="inlineStr">
        <is>
          <t xml:space="preserve">  ↳ TSJugg120mm</t>
        </is>
      </c>
      <c r="C52" s="7" t="inlineStr">
        <is>
          <t>Armament@PRIMARY</t>
        </is>
      </c>
      <c r="L52" s="6" t="n">
        <v>40000</v>
      </c>
      <c r="M52" s="6" t="n">
        <v>64</v>
      </c>
      <c r="N52" s="6" t="n">
        <v>3</v>
      </c>
      <c r="O52" s="6" t="n">
        <v>3</v>
      </c>
      <c r="P52" s="6" t="n">
        <v>12860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^Warhead_Concussion_Medium</t>
        </is>
      </c>
    </row>
    <row r="53">
      <c r="A53" t="inlineStr">
        <is>
          <t>tiberiansun</t>
        </is>
      </c>
      <c r="B53" t="inlineStr">
        <is>
          <t>ts_gdi_mammothmkii</t>
        </is>
      </c>
      <c r="C53" t="inlineStr">
        <is>
          <t>Mammoth MK. II</t>
        </is>
      </c>
      <c r="D53" s="6" t="inlineStr">
        <is>
          <t>EpicVehicle</t>
        </is>
      </c>
      <c r="E53" s="6" t="n">
        <v>1200000</v>
      </c>
      <c r="F53" s="6" t="n">
        <v>50</v>
      </c>
      <c r="G53" t="inlineStr">
        <is>
          <t>Superheavy</t>
        </is>
      </c>
      <c r="H53" s="6" t="n">
        <v>0.6471</v>
      </c>
      <c r="I53" s="6" t="n">
        <v>1</v>
      </c>
      <c r="J53" s="6" t="n">
        <v>1</v>
      </c>
      <c r="K53" s="6" t="n"/>
      <c r="P53">
        <f>MAX(P54,P55,P56,P57)</f>
        <v/>
      </c>
      <c r="S53">
        <f>S54+S55+S56+S57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(((E53/4000000)+(F53/60)+(S53/20000)+((P53/8500)*J53))*10000/4+(((E53/4000000)*(F53/60))+(((P53/8500)*J53)*(S53/20000)))*10000/2+((E53/4000000)*(F53/60)*((P53/8500)*J53)*(S53/20000))*10000)*(H53/0.75)/3</f>
        <v/>
      </c>
      <c r="X53" s="6" t="n">
        <v>8000</v>
      </c>
      <c r="Y53">
        <f>IFERROR(W53-X53,"")</f>
        <v/>
      </c>
      <c r="Z53">
        <f>IFERROR(ABS(Y53)/MAX(X53,1),"")</f>
        <v/>
      </c>
      <c r="AA53">
        <f>IFERROR(ROUND(((3*X53-(((E53/4000000)+(F53/60)+(S53/20000))*10000/4+((E53/4000000)*(F53/60))*10000/2)*(H53/0.75))/(10000/4+((S53/20000))*10000/2+((E53/4000000)*(F53/60)*(S53/20000))*10000)*(H53/0.75)*8500)/J53,-1),"")</f>
        <v/>
      </c>
    </row>
    <row r="54">
      <c r="B54" s="7" t="inlineStr">
        <is>
          <t xml:space="preserve">  ↳ TSMechRailgunII</t>
        </is>
      </c>
      <c r="C54" s="7" t="inlineStr">
        <is>
          <t>Armament@RAILGUN</t>
        </is>
      </c>
      <c r="L54" s="6" t="n">
        <v>80000</v>
      </c>
      <c r="M54" s="6" t="n">
        <v>112</v>
      </c>
      <c r="N54" s="6" t="n">
        <v>2</v>
      </c>
      <c r="O54" s="6" t="n">
        <v>8</v>
      </c>
      <c r="P54" s="6" t="n">
        <v>8434</v>
      </c>
      <c r="Q54" s="6" t="n">
        <v>1.25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^Warhead_Railgun_Heavy</t>
        </is>
      </c>
    </row>
    <row r="55">
      <c r="B55" s="7" t="inlineStr">
        <is>
          <t xml:space="preserve">  ↳ TSMammothTusk2II_AA</t>
        </is>
      </c>
      <c r="C55" s="7" t="inlineStr">
        <is>
          <t>Armament@MISSILES</t>
        </is>
      </c>
      <c r="L55" s="6" t="n">
        <v>60000</v>
      </c>
      <c r="M55" s="6" t="n">
        <v>92</v>
      </c>
      <c r="N55" s="6" t="n">
        <v>2</v>
      </c>
      <c r="O55" s="6" t="n">
        <v>8</v>
      </c>
      <c r="P55" s="6" t="n">
        <v>9388</v>
      </c>
      <c r="Q55" s="6" t="n">
        <v>1.25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^Warhead_MissileAP_Heavy</t>
        </is>
      </c>
    </row>
    <row r="56">
      <c r="B56" s="7" t="inlineStr">
        <is>
          <t xml:space="preserve">  ↳ TSMechRailgunRailII</t>
        </is>
      </c>
      <c r="C56" s="7" t="inlineStr">
        <is>
          <t>Armament@UpgradeRAILGUN</t>
        </is>
      </c>
      <c r="L56" s="6" t="n">
        <v>80000</v>
      </c>
      <c r="M56" s="6" t="n">
        <v>72</v>
      </c>
      <c r="N56" s="6" t="n">
        <v>2</v>
      </c>
      <c r="O56" s="6" t="n">
        <v>8</v>
      </c>
      <c r="P56" s="6" t="n">
        <v>8434</v>
      </c>
      <c r="Q56" s="6" t="n">
        <v>1.25</v>
      </c>
      <c r="R56">
        <f>M56+IF(N56&gt;1,N(O56)*(N56-1),0)</f>
        <v/>
      </c>
      <c r="S56">
        <f>IFERROR(L56*MAX(N56,1)/R56*IF(ISBLANK(K53),1,K53),0)</f>
        <v/>
      </c>
      <c r="AB56" s="7" t="inlineStr">
        <is>
          <t>^Warhead_Railgun_Heavy</t>
        </is>
      </c>
    </row>
    <row r="57">
      <c r="B57" s="7" t="inlineStr">
        <is>
          <t xml:space="preserve">  ↳ TSMechMGII</t>
        </is>
      </c>
      <c r="C57" s="7" t="inlineStr">
        <is>
          <t>Armament@MG</t>
        </is>
      </c>
      <c r="L57" s="6" t="n">
        <v>16000</v>
      </c>
      <c r="M57" s="6" t="n">
        <v>8</v>
      </c>
      <c r="N57" s="6" t="n">
        <v>1</v>
      </c>
      <c r="O57" s="6" t="n"/>
      <c r="P57" s="6" t="n">
        <v>7002</v>
      </c>
      <c r="Q57" s="6" t="n">
        <v>1</v>
      </c>
      <c r="R57">
        <f>M57+IF(N57&gt;1,N(O57)*(N57-1),0)</f>
        <v/>
      </c>
      <c r="S57">
        <f>IFERROR(L57*MAX(N57,1)/R57*IF(ISBLANK(K53),1,K53),0)</f>
        <v/>
      </c>
      <c r="AB57" s="7" t="inlineStr">
        <is>
          <t>^Warhead_Bullet_Medium</t>
        </is>
      </c>
    </row>
    <row r="58">
      <c r="A58" t="inlineStr">
        <is>
          <t>tiberiansun</t>
        </is>
      </c>
      <c r="B58" t="inlineStr">
        <is>
          <t>ts_gdi_mammothprototype</t>
        </is>
      </c>
      <c r="C58" t="inlineStr">
        <is>
          <t>Mammoth Prototype</t>
        </is>
      </c>
      <c r="D58" s="6" t="inlineStr">
        <is>
          <t>EpicVehicle</t>
        </is>
      </c>
      <c r="E58" s="6" t="n">
        <v>800000</v>
      </c>
      <c r="F58" s="6" t="n">
        <v>50</v>
      </c>
      <c r="G58" t="inlineStr">
        <is>
          <t>Superheavy</t>
        </is>
      </c>
      <c r="H58" s="6" t="n">
        <v>0.6471</v>
      </c>
      <c r="I58" s="6" t="n">
        <v>1</v>
      </c>
      <c r="J58" s="6" t="n">
        <v>1</v>
      </c>
      <c r="K58" s="6" t="n"/>
      <c r="P58">
        <f>MAX(P59,P60,P61)</f>
        <v/>
      </c>
      <c r="S58">
        <f>S59+S60+S61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(((E58/4000000)+(F58/60)+(S58/20000)+((P58/8500)*J58))*10000/4+(((E58/4000000)*(F58/60))+(((P58/8500)*J58)*(S58/20000)))*10000/2+((E58/4000000)*(F58/60)*((P58/8500)*J58)*(S58/20000))*10000)*(H58/0.75)/3</f>
        <v/>
      </c>
      <c r="X58" s="6" t="n">
        <v>4000</v>
      </c>
      <c r="Y58">
        <f>IFERROR(W58-X58,"")</f>
        <v/>
      </c>
      <c r="Z58">
        <f>IFERROR(ABS(Y58)/MAX(X58,1),"")</f>
        <v/>
      </c>
      <c r="AA58">
        <f>IFERROR(ROUND(((3*X58-(((E58/4000000)+(F58/60)+(S58/20000))*10000/4+((E58/4000000)*(F58/60))*10000/2)*(H58/0.75))/(10000/4+((S58/20000))*10000/2+((E58/4000000)*(F58/60)*(S58/20000))*10000)*(H58/0.75)*8500)/J58,-1),"")</f>
        <v/>
      </c>
    </row>
    <row r="59">
      <c r="B59" s="7" t="inlineStr">
        <is>
          <t xml:space="preserve">  ↳ TSMechRailgun</t>
        </is>
      </c>
      <c r="C59" s="7" t="inlineStr">
        <is>
          <t>Armament@RAILGUN</t>
        </is>
      </c>
      <c r="L59" s="6" t="n">
        <v>40000</v>
      </c>
      <c r="M59" s="6" t="n">
        <v>92</v>
      </c>
      <c r="N59" s="6" t="n">
        <v>2</v>
      </c>
      <c r="O59" s="6" t="n">
        <v>8</v>
      </c>
      <c r="P59" s="6" t="n">
        <v>8409</v>
      </c>
      <c r="Q59" s="6" t="n">
        <v>1.25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^Warhead_Railgun_Heavy</t>
        </is>
      </c>
    </row>
    <row r="60">
      <c r="B60" s="7" t="inlineStr">
        <is>
          <t xml:space="preserve">  ↳ TSMammothTusk2</t>
        </is>
      </c>
      <c r="C60" s="7" t="inlineStr">
        <is>
          <t>Armament@MISSILES</t>
        </is>
      </c>
      <c r="L60" s="6" t="n">
        <v>42000</v>
      </c>
      <c r="M60" s="6" t="n">
        <v>92</v>
      </c>
      <c r="N60" s="6" t="n">
        <v>2</v>
      </c>
      <c r="O60" s="6" t="n">
        <v>8</v>
      </c>
      <c r="P60" s="6" t="n">
        <v>9332</v>
      </c>
      <c r="Q60" s="6" t="n">
        <v>1.25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^Warhead_MissileAP_Heavy</t>
        </is>
      </c>
    </row>
    <row r="61">
      <c r="B61" s="7" t="inlineStr">
        <is>
          <t xml:space="preserve">  ↳ TSMechRailgunRail</t>
        </is>
      </c>
      <c r="C61" s="7" t="inlineStr">
        <is>
          <t>Armament@UpgradeRAILGUN</t>
        </is>
      </c>
      <c r="L61" s="6" t="n">
        <v>40000</v>
      </c>
      <c r="M61" s="6" t="n">
        <v>58</v>
      </c>
      <c r="N61" s="6" t="n">
        <v>2</v>
      </c>
      <c r="O61" s="6" t="n">
        <v>8</v>
      </c>
      <c r="P61" s="6" t="n">
        <v>8409</v>
      </c>
      <c r="Q61" s="6" t="n">
        <v>1.25</v>
      </c>
      <c r="R61">
        <f>M61+IF(N61&gt;1,N(O61)*(N61-1),0)</f>
        <v/>
      </c>
      <c r="S61">
        <f>IFERROR(L61*MAX(N61,1)/R61*IF(ISBLANK(K58),1,K58),0)</f>
        <v/>
      </c>
      <c r="AB61" s="7" t="inlineStr">
        <is>
          <t>^Warhead_Railgun_Heavy</t>
        </is>
      </c>
    </row>
    <row r="62">
      <c r="A62" t="inlineStr">
        <is>
          <t>tiberiansun</t>
        </is>
      </c>
      <c r="B62" t="inlineStr">
        <is>
          <t>ts_gdi_mobileconstructionvehicle</t>
        </is>
      </c>
      <c r="C62" t="inlineStr">
        <is>
          <t>Mobile Construction Vehicle</t>
        </is>
      </c>
      <c r="D62" s="6" t="inlineStr">
        <is>
          <t>SupportVehicle</t>
        </is>
      </c>
      <c r="E62" s="6" t="n">
        <v>300000</v>
      </c>
      <c r="F62" s="6" t="n">
        <v>75</v>
      </c>
      <c r="G62" t="inlineStr">
        <is>
          <t>Medium</t>
        </is>
      </c>
      <c r="H62" s="6" t="n">
        <v>1</v>
      </c>
      <c r="I62" s="6" t="n">
        <v>1</v>
      </c>
      <c r="J62" s="6" t="n">
        <v>1</v>
      </c>
      <c r="K62" s="6" t="n"/>
      <c r="X62" s="6" t="n">
        <v>5000</v>
      </c>
    </row>
    <row r="63">
      <c r="A63" t="inlineStr">
        <is>
          <t>tiberiansun</t>
        </is>
      </c>
      <c r="B63" t="inlineStr">
        <is>
          <t>ts_gdi_mobileemp</t>
        </is>
      </c>
      <c r="C63" t="inlineStr">
        <is>
          <t>Mobile EMP</t>
        </is>
      </c>
      <c r="D63" s="6" t="inlineStr">
        <is>
          <t>LineBreaker</t>
        </is>
      </c>
      <c r="E63" s="6" t="n">
        <v>150000</v>
      </c>
      <c r="F63" s="6" t="n">
        <v>100</v>
      </c>
      <c r="G63" t="inlineStr">
        <is>
          <t>Superheavy</t>
        </is>
      </c>
      <c r="H63" s="6" t="n">
        <v>1</v>
      </c>
      <c r="I63" s="6" t="n">
        <v>1</v>
      </c>
      <c r="J63" s="6" t="n">
        <v>1</v>
      </c>
      <c r="K63" s="6" t="n"/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(((E63/750000)+(F63/80)+(S63/1600)+((P63/2500)*J63))*1600/4+(((E63/750000)*(F63/80))+(((P63/2500)*J63)*(S63/1600)))*1600/2+((E63/750000)*(F63/80)*((P63/2500)*J63)*(S63/1600))*1600)*(H63/1.0)/3</f>
        <v/>
      </c>
      <c r="X63" s="6" t="n">
        <v>1400</v>
      </c>
      <c r="Y63">
        <f>IFERROR(W63-X63,"")</f>
        <v/>
      </c>
      <c r="Z63">
        <f>IFERROR(ABS(Y63)/MAX(X63,1),"")</f>
        <v/>
      </c>
      <c r="AA63">
        <f>IFERROR(ROUND(((3*X63-(((E63/750000)+(F63/80)+(S63/1600))*1600/4+((E63/750000)*(F63/80))*1600/2)*(H63/1.0))/(1600/4+((S63/1600))*1600/2+((E63/750000)*(F63/80)*(S63/1600))*1600)*(H63/1.0)*2500)/J63,-1),"")</f>
        <v/>
      </c>
    </row>
    <row r="64">
      <c r="B64" s="7" t="inlineStr">
        <is>
          <t xml:space="preserve">  ↳ TSMobile_EMP</t>
        </is>
      </c>
      <c r="C64" s="7" t="inlineStr">
        <is>
          <t>Armament</t>
        </is>
      </c>
      <c r="L64" s="6" t="n">
        <v>64000</v>
      </c>
      <c r="M64" s="6" t="n">
        <v>200</v>
      </c>
      <c r="N64" s="6" t="n">
        <v>1</v>
      </c>
      <c r="O64" s="6" t="n"/>
      <c r="P64" s="6" t="n">
        <v>1512</v>
      </c>
      <c r="Q64" s="6" t="n">
        <v>1.25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^Warhead_Tesla_Heavy</t>
        </is>
      </c>
    </row>
    <row r="65">
      <c r="A65" t="inlineStr">
        <is>
          <t>tiberiansun</t>
        </is>
      </c>
      <c r="B65" t="inlineStr">
        <is>
          <t>ts_gdi_mobilesensorarray</t>
        </is>
      </c>
      <c r="C65" t="inlineStr">
        <is>
          <t>Mobile Sensor Array</t>
        </is>
      </c>
      <c r="D65" s="6" t="inlineStr">
        <is>
          <t>Vehicle</t>
        </is>
      </c>
      <c r="E65" s="6" t="n">
        <v>60000</v>
      </c>
      <c r="F65" s="6" t="n">
        <v>85</v>
      </c>
      <c r="G65" t="inlineStr">
        <is>
          <t>Wood</t>
        </is>
      </c>
      <c r="H65" s="6" t="n">
        <v>1</v>
      </c>
      <c r="I65" s="6" t="n">
        <v>1</v>
      </c>
      <c r="J65" s="6" t="n">
        <v>1</v>
      </c>
      <c r="K65" s="6" t="n"/>
      <c r="X65" s="6" t="n">
        <v>1100</v>
      </c>
    </row>
    <row r="66">
      <c r="A66" t="inlineStr">
        <is>
          <t>tiberiansun</t>
        </is>
      </c>
      <c r="B66" t="inlineStr">
        <is>
          <t>ts_gdi_pitbull</t>
        </is>
      </c>
      <c r="C66" t="inlineStr">
        <is>
          <t>Pitbull</t>
        </is>
      </c>
      <c r="D66" s="6" t="inlineStr">
        <is>
          <t>ScoutVehicle</t>
        </is>
      </c>
      <c r="E66" s="6" t="n">
        <v>27500</v>
      </c>
      <c r="F66" s="6" t="n">
        <v>150</v>
      </c>
      <c r="G66" t="inlineStr">
        <is>
          <t>Scout</t>
        </is>
      </c>
      <c r="H66" s="6" t="n">
        <v>1</v>
      </c>
      <c r="I66" s="6" t="n">
        <v>1</v>
      </c>
      <c r="J66" s="6" t="n">
        <v>1</v>
      </c>
      <c r="K66" s="6" t="n"/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(((E66/30000)+(F66/200)+(S66/450)+((P66/4500)*J66))*300/4+(((E66/30000)*(F66/200))+(((P66/4500)*J66)*(S66/450)))*300/2+((E66/30000)*(F66/200)*((P66/4500)*J66)*(S66/450))*300)*(H66/1.0)/3</f>
        <v/>
      </c>
      <c r="X66" s="6" t="n">
        <v>400</v>
      </c>
      <c r="Y66">
        <f>IFERROR(W66-X66,"")</f>
        <v/>
      </c>
      <c r="Z66">
        <f>IFERROR(ABS(Y66)/MAX(X66,1),"")</f>
        <v/>
      </c>
      <c r="AA66">
        <f>IFERROR(ROUND(((3*X66-(((E66/30000)+(F66/200)+(S66/450))*300/4+((E66/30000)*(F66/200))*300/2)*(H66/1.0))/(300/4+((S66/450))*300/2+((E66/30000)*(F66/200)*(S66/450))*300)*(H66/1.0)*4500)/J66,-1),"")</f>
        <v/>
      </c>
    </row>
    <row r="67">
      <c r="B67" s="7" t="inlineStr">
        <is>
          <t xml:space="preserve">  ↳ PitbullRockets</t>
        </is>
      </c>
      <c r="C67" s="7" t="inlineStr">
        <is>
          <t>Armament</t>
        </is>
      </c>
      <c r="L67" s="6" t="n">
        <v>20000</v>
      </c>
      <c r="M67" s="6" t="n">
        <v>55</v>
      </c>
      <c r="N67" s="6" t="n">
        <v>2</v>
      </c>
      <c r="O67" s="6" t="n">
        <v>5</v>
      </c>
      <c r="P67" s="6" t="n">
        <v>6379</v>
      </c>
      <c r="Q67" s="6" t="n">
        <v>0.75</v>
      </c>
      <c r="R67">
        <f>M67+IF(N67&gt;1,N(O67)*(N67-1),0)</f>
        <v/>
      </c>
      <c r="S67">
        <f>IFERROR(L67*MAX(N67,1)/R67*IF(ISBLANK(K66),1,K66),0)</f>
        <v/>
      </c>
      <c r="AB67" s="7" t="inlineStr">
        <is>
          <t>^Warhead_MissileAP_Light</t>
        </is>
      </c>
    </row>
    <row r="68">
      <c r="A68" t="inlineStr">
        <is>
          <t>tiberiansun</t>
        </is>
      </c>
      <c r="B68" t="inlineStr">
        <is>
          <t>ts_gdi_tiberiumharvester</t>
        </is>
      </c>
      <c r="C68" t="inlineStr">
        <is>
          <t>Tiberium Harvester</t>
        </is>
      </c>
      <c r="D68" s="6" t="inlineStr">
        <is>
          <t>Harvester</t>
        </is>
      </c>
      <c r="E68" s="6" t="n">
        <v>150000</v>
      </c>
      <c r="F68" s="6" t="n">
        <v>60</v>
      </c>
      <c r="G68" t="inlineStr">
        <is>
          <t>Heavy</t>
        </is>
      </c>
      <c r="H68" s="6" t="n">
        <v>1</v>
      </c>
      <c r="I68" s="6" t="n">
        <v>1</v>
      </c>
      <c r="J68" s="6" t="n">
        <v>1</v>
      </c>
      <c r="K68" s="6" t="n"/>
      <c r="X68" s="6" t="n">
        <v>1000</v>
      </c>
    </row>
    <row r="69">
      <c r="A69" t="inlineStr">
        <is>
          <t>tiberiansun</t>
        </is>
      </c>
      <c r="B69" t="inlineStr">
        <is>
          <t>ts_gdi_titan</t>
        </is>
      </c>
      <c r="C69" t="inlineStr">
        <is>
          <t>Titan</t>
        </is>
      </c>
      <c r="D69" s="6" t="inlineStr">
        <is>
          <t>MainBattleTank</t>
        </is>
      </c>
      <c r="E69" s="6" t="n">
        <v>100000</v>
      </c>
      <c r="F69" s="6" t="n">
        <v>75</v>
      </c>
      <c r="G69" t="inlineStr">
        <is>
          <t>Heavy</t>
        </is>
      </c>
      <c r="H69" s="6" t="n">
        <v>1</v>
      </c>
      <c r="I69" s="6" t="n">
        <v>1</v>
      </c>
      <c r="J69" s="6" t="n">
        <v>1</v>
      </c>
      <c r="K69" s="6" t="n"/>
      <c r="P69">
        <f>MAX(P70,P71)</f>
        <v/>
      </c>
      <c r="S69">
        <f>S70+S71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(((E69/240000)+(F69/95)+(S69/600)+((P69/5500)*J69))*800/4+(((E69/240000)*(F69/95))+(((P69/5500)*J69)*(S69/600)))*800/2+((E69/240000)*(F69/95)*((P69/5500)*J69)*(S69/600))*800)*(H69/1.0)/3</f>
        <v/>
      </c>
      <c r="X69" s="6" t="n">
        <v>950</v>
      </c>
      <c r="Y69">
        <f>IFERROR(W69-X69,"")</f>
        <v/>
      </c>
      <c r="Z69">
        <f>IFERROR(ABS(Y69)/MAX(X69,1),"")</f>
        <v/>
      </c>
      <c r="AA69">
        <f>IFERROR(ROUND(((3*X69-(((E69/240000)+(F69/95)+(S69/600))*800/4+((E69/240000)*(F69/95))*800/2)*(H69/1.0))/(800/4+((S69/600))*800/2+((E69/240000)*(F69/95)*(S69/600))*800)*(H69/1.0)*5500)/J69,-1),"")</f>
        <v/>
      </c>
    </row>
    <row r="70">
      <c r="B70" s="7" t="inlineStr">
        <is>
          <t xml:space="preserve">  ↳ TS120mm</t>
        </is>
      </c>
      <c r="C70" s="7" t="inlineStr">
        <is>
          <t>Armament@PRIMARY</t>
        </is>
      </c>
      <c r="L70" s="6" t="n">
        <v>12000</v>
      </c>
      <c r="M70" s="6" t="n">
        <v>44</v>
      </c>
      <c r="N70" s="6" t="n">
        <v>1</v>
      </c>
      <c r="O70" s="6" t="n"/>
      <c r="P70" s="6" t="n">
        <v>6201</v>
      </c>
      <c r="Q70" s="6" t="n">
        <v>1</v>
      </c>
      <c r="R70">
        <f>M70+IF(N70&gt;1,N(O70)*(N70-1),0)</f>
        <v/>
      </c>
      <c r="S70">
        <f>IFERROR(L70*MAX(N70,1)/R70*IF(ISBLANK(K69),1,K69),0)</f>
        <v/>
      </c>
      <c r="AB70" s="7" t="inlineStr">
        <is>
          <t>^Warhead_CannonHE_Medium</t>
        </is>
      </c>
    </row>
    <row r="71">
      <c r="B71" s="7" t="inlineStr">
        <is>
          <t xml:space="preserve">  ↳ TS120mmRail</t>
        </is>
      </c>
      <c r="C71" s="7" t="inlineStr">
        <is>
          <t>Armament@Upgrade</t>
        </is>
      </c>
      <c r="L71" s="6" t="n">
        <v>16000</v>
      </c>
      <c r="M71" s="6" t="n">
        <v>44</v>
      </c>
      <c r="N71" s="6" t="n">
        <v>1</v>
      </c>
      <c r="O71" s="6" t="n"/>
      <c r="P71" s="6" t="n">
        <v>6201</v>
      </c>
      <c r="Q71" s="6" t="n">
        <v>1.125</v>
      </c>
      <c r="R71">
        <f>M71+IF(N71&gt;1,N(O71)*(N71-1),0)</f>
        <v/>
      </c>
      <c r="S71">
        <f>IFERROR(L71*MAX(N71,1)/R71*IF(ISBLANK(K69),1,K69),0)</f>
        <v/>
      </c>
      <c r="AB71" s="7" t="inlineStr">
        <is>
          <t>^Warhead_CannonHE_Medium, ^Warhead_Railgun_Heavy</t>
        </is>
      </c>
    </row>
    <row r="72">
      <c r="A72" t="inlineStr">
        <is>
          <t>tiberiansun</t>
        </is>
      </c>
      <c r="B72" t="inlineStr">
        <is>
          <t>ts_gdi_titanmkii</t>
        </is>
      </c>
      <c r="C72" t="inlineStr">
        <is>
          <t>Titan MK II</t>
        </is>
      </c>
      <c r="D72" s="6" t="inlineStr">
        <is>
          <t>MainBattleTank</t>
        </is>
      </c>
      <c r="E72" s="6" t="n">
        <v>120000</v>
      </c>
      <c r="F72" s="6" t="n">
        <v>75</v>
      </c>
      <c r="G72" t="inlineStr">
        <is>
          <t>Heavy</t>
        </is>
      </c>
      <c r="H72" s="6" t="n">
        <v>1</v>
      </c>
      <c r="I72" s="6" t="n">
        <v>1</v>
      </c>
      <c r="J72" s="6" t="n">
        <v>1</v>
      </c>
      <c r="K72" s="6" t="n"/>
      <c r="P72">
        <f>MAX(P73,P74)</f>
        <v/>
      </c>
      <c r="S72">
        <f>S73+S74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(((E72/240000)+(F72/95)+(S72/600)+((P72/5500)*J72))*800/4+(((E72/240000)*(F72/95))+(((P72/5500)*J72)*(S72/600)))*800/2+((E72/240000)*(F72/95)*((P72/5500)*J72)*(S72/600))*800)*(H72/1.0)/3</f>
        <v/>
      </c>
      <c r="X72" s="6" t="n">
        <v>1600</v>
      </c>
      <c r="Y72">
        <f>IFERROR(W72-X72,"")</f>
        <v/>
      </c>
      <c r="Z72">
        <f>IFERROR(ABS(Y72)/MAX(X72,1),"")</f>
        <v/>
      </c>
      <c r="AA72">
        <f>IFERROR(ROUND(((3*X72-(((E72/240000)+(F72/95)+(S72/600))*800/4+((E72/240000)*(F72/95))*800/2)*(H72/1.0))/(800/4+((S72/600))*800/2+((E72/240000)*(F72/95)*(S72/600))*800)*(H72/1.0)*5500)/J72,-1),"")</f>
        <v/>
      </c>
    </row>
    <row r="73">
      <c r="B73" s="7" t="inlineStr">
        <is>
          <t xml:space="preserve">  ↳ TS120mmTal</t>
        </is>
      </c>
      <c r="C73" s="7" t="inlineStr">
        <is>
          <t>Armament@PRIMARY</t>
        </is>
      </c>
      <c r="L73" s="6" t="n">
        <v>24000</v>
      </c>
      <c r="M73" s="6" t="n">
        <v>50</v>
      </c>
      <c r="N73" s="6" t="n">
        <v>1</v>
      </c>
      <c r="O73" s="6" t="n"/>
      <c r="P73" s="6" t="n">
        <v>6201</v>
      </c>
      <c r="Q73" s="6" t="n">
        <v>1</v>
      </c>
      <c r="R73">
        <f>M73+IF(N73&gt;1,N(O73)*(N73-1),0)</f>
        <v/>
      </c>
      <c r="S73">
        <f>IFERROR(L73*MAX(N73,1)/R73*IF(ISBLANK(K72),1,K72),0)</f>
        <v/>
      </c>
      <c r="AB73" s="7" t="inlineStr">
        <is>
          <t>^Warhead_CannonHE_Medium</t>
        </is>
      </c>
    </row>
    <row r="74">
      <c r="B74" s="7" t="inlineStr">
        <is>
          <t xml:space="preserve">  ↳ TS120mmTalRail</t>
        </is>
      </c>
      <c r="C74" s="7" t="inlineStr">
        <is>
          <t>Armament@Upgrade</t>
        </is>
      </c>
      <c r="L74" s="6" t="n">
        <v>36000</v>
      </c>
      <c r="M74" s="6" t="n">
        <v>50</v>
      </c>
      <c r="N74" s="6" t="n">
        <v>1</v>
      </c>
      <c r="O74" s="6" t="n"/>
      <c r="P74" s="6" t="n">
        <v>6201</v>
      </c>
      <c r="Q74" s="6" t="n">
        <v>1.125</v>
      </c>
      <c r="R74">
        <f>M74+IF(N74&gt;1,N(O74)*(N74-1),0)</f>
        <v/>
      </c>
      <c r="S74">
        <f>IFERROR(L74*MAX(N74,1)/R74*IF(ISBLANK(K72),1,K72),0)</f>
        <v/>
      </c>
      <c r="AB74" s="7" t="inlineStr">
        <is>
          <t>^Warhead_CannonHE_Medium, ^Warhead_Railgun_Heavy</t>
        </is>
      </c>
    </row>
    <row r="75">
      <c r="A75" t="inlineStr">
        <is>
          <t>tiberiansun</t>
        </is>
      </c>
      <c r="B75" t="inlineStr">
        <is>
          <t>ts_gdi_wolverine</t>
        </is>
      </c>
      <c r="C75" t="inlineStr">
        <is>
          <t>Wolverine</t>
        </is>
      </c>
      <c r="D75" s="6" t="inlineStr">
        <is>
          <t>FireSupport</t>
        </is>
      </c>
      <c r="E75" s="6" t="n">
        <v>30000</v>
      </c>
      <c r="F75" s="6" t="n">
        <v>80</v>
      </c>
      <c r="G75" t="inlineStr">
        <is>
          <t>Light</t>
        </is>
      </c>
      <c r="H75" s="6" t="n">
        <v>1</v>
      </c>
      <c r="I75" s="6" t="n">
        <v>1</v>
      </c>
      <c r="J75" s="6" t="n">
        <v>1</v>
      </c>
      <c r="K75" s="6" t="n"/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(((E75/120000)+(F75/90)+(S75/2100)+((P75/10000)*J75))*1400/4+(((E75/120000)*(F75/90))+(((P75/10000)*J75)*(S75/2100)))*1400/2+((E75/120000)*(F75/90)*((P75/10000)*J75)*(S75/2100))*1400)*(H75/0.6735)/3</f>
        <v/>
      </c>
      <c r="X75" s="6" t="n">
        <v>550</v>
      </c>
      <c r="Y75">
        <f>IFERROR(W75-X75,"")</f>
        <v/>
      </c>
      <c r="Z75">
        <f>IFERROR(ABS(Y75)/MAX(X75,1),"")</f>
        <v/>
      </c>
      <c r="AA75">
        <f>IFERROR(ROUND(((3*X75-(((E75/120000)+(F75/90)+(S75/2100))*1400/4+((E75/120000)*(F75/90))*1400/2)*(H75/0.6735))/(1400/4+((S75/2100))*1400/2+((E75/120000)*(F75/90)*(S75/2100))*1400)*(H75/0.6735)*10000)/J75,-1),"")</f>
        <v/>
      </c>
    </row>
    <row r="76">
      <c r="B76" s="7" t="inlineStr">
        <is>
          <t xml:space="preserve">  ↳ TSAssaultCannon</t>
        </is>
      </c>
      <c r="C76" s="7" t="inlineStr">
        <is>
          <t>Armament@PRIMARY</t>
        </is>
      </c>
      <c r="L76" s="6" t="n">
        <v>4000</v>
      </c>
      <c r="M76" s="6" t="n">
        <v>33</v>
      </c>
      <c r="N76" s="6" t="n">
        <v>2</v>
      </c>
      <c r="O76" s="6" t="n">
        <v>2</v>
      </c>
      <c r="P76" s="6" t="n">
        <v>6305</v>
      </c>
      <c r="Q76" s="6" t="n">
        <v>1</v>
      </c>
      <c r="R76">
        <f>M76+IF(N76&gt;1,N(O76)*(N76-1),0)</f>
        <v/>
      </c>
      <c r="S76">
        <f>IFERROR(L76*MAX(N76,1)/R76*IF(ISBLANK(K75),1,K75),0)</f>
        <v/>
      </c>
      <c r="AB76" s="7" t="inlineStr">
        <is>
          <t>^Warhead_Flak_Medium, ^Warhead_Bullet_Medium</t>
        </is>
      </c>
    </row>
    <row r="77">
      <c r="B77" s="7" t="inlineStr">
        <is>
          <t xml:space="preserve">  ↳ TSAssaultCannonSonic</t>
        </is>
      </c>
      <c r="C77" s="7" t="inlineStr">
        <is>
          <t>Armament@Upgrade</t>
        </is>
      </c>
      <c r="L77" s="6" t="n">
        <v>8000</v>
      </c>
      <c r="M77" s="6" t="n">
        <v>45</v>
      </c>
      <c r="N77" s="6" t="n">
        <v>2</v>
      </c>
      <c r="O77" s="6" t="n">
        <v>2</v>
      </c>
      <c r="P77" s="6" t="n">
        <v>6305</v>
      </c>
      <c r="Q77" s="6" t="n">
        <v>1</v>
      </c>
      <c r="R77">
        <f>M77+IF(N77&gt;1,N(O77)*(N77-1),0)</f>
        <v/>
      </c>
      <c r="S77">
        <f>IFERROR(L77*MAX(N77,1)/R77*IF(ISBLANK(K75),1,K75),0)</f>
        <v/>
      </c>
      <c r="AB77" s="7" t="inlineStr">
        <is>
          <t>^Warhead_Flak_Medium, ^Warhead_Sonic_Medium</t>
        </is>
      </c>
    </row>
    <row r="78">
      <c r="A78" t="inlineStr">
        <is>
          <t>tiberiansun</t>
        </is>
      </c>
      <c r="B78" t="inlineStr">
        <is>
          <t>ts_gdi_wolverinemkii</t>
        </is>
      </c>
      <c r="C78" t="inlineStr">
        <is>
          <t>Wolverine MK II</t>
        </is>
      </c>
      <c r="D78" s="6" t="inlineStr">
        <is>
          <t>FireSupport</t>
        </is>
      </c>
      <c r="E78" s="6" t="n">
        <v>50000</v>
      </c>
      <c r="F78" s="6" t="n">
        <v>80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K78" s="6" t="n"/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(((E78/120000)+(F78/90)+(S78/2100)+((P78/10000)*J78))*1400/4+(((E78/120000)*(F78/90))+(((P78/10000)*J78)*(S78/2100)))*1400/2+((E78/120000)*(F78/90)*((P78/10000)*J78)*(S78/2100))*1400)*(H78/0.6735)/3</f>
        <v/>
      </c>
      <c r="X78" s="6" t="n">
        <v>950</v>
      </c>
      <c r="Y78">
        <f>IFERROR(W78-X78,"")</f>
        <v/>
      </c>
      <c r="Z78">
        <f>IFERROR(ABS(Y78)/MAX(X78,1),"")</f>
        <v/>
      </c>
      <c r="AA78">
        <f>IFERROR(ROUND(((3*X78-(((E78/120000)+(F78/90)+(S78/2100))*1400/4+((E78/120000)*(F78/90))*1400/2)*(H78/0.6735))/(1400/4+((S78/2100))*1400/2+((E78/120000)*(F78/90)*(S78/2100))*1400)*(H78/0.6735)*10000)/J78,-1),"")</f>
        <v/>
      </c>
    </row>
    <row r="79">
      <c r="B79" s="7" t="inlineStr">
        <is>
          <t xml:space="preserve">  ↳ TSAssaultCannonTal</t>
        </is>
      </c>
      <c r="C79" s="7" t="inlineStr">
        <is>
          <t>Armament@PRIMARY</t>
        </is>
      </c>
      <c r="L79" s="6" t="n">
        <v>8000</v>
      </c>
      <c r="M79" s="6" t="n">
        <v>40</v>
      </c>
      <c r="N79" s="6" t="n">
        <v>2</v>
      </c>
      <c r="O79" s="6" t="n">
        <v>2</v>
      </c>
      <c r="P79" s="6" t="n">
        <v>6520</v>
      </c>
      <c r="Q79" s="6" t="n">
        <v>1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^Warhead_Bullet_Medium</t>
        </is>
      </c>
    </row>
    <row r="80">
      <c r="B80" s="7" t="inlineStr">
        <is>
          <t xml:space="preserve">  ↳ TSAssaultCannonTalSonic</t>
        </is>
      </c>
      <c r="C80" s="7" t="inlineStr">
        <is>
          <t>Armament@Upgrade</t>
        </is>
      </c>
      <c r="L80" s="6" t="n">
        <v>16000</v>
      </c>
      <c r="M80" s="6" t="n">
        <v>45</v>
      </c>
      <c r="N80" s="6" t="n">
        <v>2</v>
      </c>
      <c r="O80" s="6" t="n">
        <v>2</v>
      </c>
      <c r="P80" s="6" t="n">
        <v>5120</v>
      </c>
      <c r="Q80" s="6" t="n">
        <v>1</v>
      </c>
      <c r="R80">
        <f>M80+IF(N80&gt;1,N(O80)*(N80-1),0)</f>
        <v/>
      </c>
      <c r="S80">
        <f>IFERROR(L80*MAX(N80,1)/R80*IF(ISBLANK(K78),1,K78),0)</f>
        <v/>
      </c>
      <c r="AB80" s="7" t="inlineStr">
        <is>
          <t>^Warhead_Bullet_Medium, ^Warhead_Sonic_Medium</t>
        </is>
      </c>
    </row>
    <row r="81">
      <c r="A81" s="4" t="inlineStr">
        <is>
          <t>AIRCRAFT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tiberiansun</t>
        </is>
      </c>
      <c r="B82" t="inlineStr">
        <is>
          <t>TSDPOD</t>
        </is>
      </c>
      <c r="C82" t="inlineStr">
        <is>
          <t>Drop Pod</t>
        </is>
      </c>
      <c r="D82" s="6" t="inlineStr">
        <is>
          <t>Aircraft</t>
        </is>
      </c>
      <c r="E82" s="6" t="n">
        <v>6000</v>
      </c>
      <c r="F82" s="6" t="n">
        <v>300</v>
      </c>
      <c r="G82" t="inlineStr">
        <is>
          <t>Light</t>
        </is>
      </c>
      <c r="H82" s="6" t="n">
        <v>1</v>
      </c>
      <c r="I82" s="6" t="n">
        <v>1</v>
      </c>
      <c r="J82" s="6" t="n">
        <v>1</v>
      </c>
      <c r="K82" s="6" t="n"/>
      <c r="X82" s="6" t="n">
        <v>10</v>
      </c>
    </row>
    <row r="83">
      <c r="A83" t="inlineStr">
        <is>
          <t>tiberiansun</t>
        </is>
      </c>
      <c r="B83" t="inlineStr">
        <is>
          <t>TSDPODE1</t>
        </is>
      </c>
      <c r="C83" t="inlineStr">
        <is>
          <t>Drop Pod</t>
        </is>
      </c>
      <c r="D83" s="6" t="inlineStr">
        <is>
          <t>Aircraft</t>
        </is>
      </c>
      <c r="E83" s="6" t="n">
        <v>6000</v>
      </c>
      <c r="F83" s="6" t="n">
        <v>300</v>
      </c>
      <c r="G83" t="inlineStr">
        <is>
          <t>Light</t>
        </is>
      </c>
      <c r="H83" s="6" t="n">
        <v>1</v>
      </c>
      <c r="I83" s="6" t="n">
        <v>1</v>
      </c>
      <c r="J83" s="6" t="n">
        <v>1</v>
      </c>
      <c r="K83" s="6" t="n"/>
      <c r="X83" s="6" t="n">
        <v>10</v>
      </c>
    </row>
    <row r="84">
      <c r="A84" t="inlineStr">
        <is>
          <t>tiberiansun</t>
        </is>
      </c>
      <c r="B84" t="inlineStr">
        <is>
          <t>TSDPODE2</t>
        </is>
      </c>
      <c r="C84" t="inlineStr">
        <is>
          <t>Drop Pod</t>
        </is>
      </c>
      <c r="D84" s="6" t="inlineStr">
        <is>
          <t>Aircraft</t>
        </is>
      </c>
      <c r="E84" s="6" t="n">
        <v>6000</v>
      </c>
      <c r="F84" s="6" t="n">
        <v>300</v>
      </c>
      <c r="G84" t="inlineStr">
        <is>
          <t>Light</t>
        </is>
      </c>
      <c r="H84" s="6" t="n">
        <v>1</v>
      </c>
      <c r="I84" s="6" t="n">
        <v>1</v>
      </c>
      <c r="J84" s="6" t="n">
        <v>1</v>
      </c>
      <c r="K84" s="6" t="n"/>
      <c r="X84" s="6" t="n">
        <v>10</v>
      </c>
    </row>
    <row r="85">
      <c r="A85" t="inlineStr">
        <is>
          <t>tiberiansun</t>
        </is>
      </c>
      <c r="B85" t="inlineStr">
        <is>
          <t>ts_gdi_carryall</t>
        </is>
      </c>
      <c r="C85" t="inlineStr">
        <is>
          <t>Carryall</t>
        </is>
      </c>
      <c r="D85" s="6" t="inlineStr">
        <is>
          <t>Aircraft</t>
        </is>
      </c>
      <c r="E85" s="6" t="n">
        <v>47500</v>
      </c>
      <c r="F85" s="6" t="n">
        <v>149</v>
      </c>
      <c r="G85" t="inlineStr">
        <is>
          <t>Light</t>
        </is>
      </c>
      <c r="H85" s="6" t="n">
        <v>1</v>
      </c>
      <c r="I85" s="6" t="n">
        <v>1</v>
      </c>
      <c r="J85" s="6" t="n">
        <v>1</v>
      </c>
      <c r="K85" s="6" t="n"/>
      <c r="X85" s="6" t="n">
        <v>750</v>
      </c>
    </row>
    <row r="86">
      <c r="A86" t="inlineStr">
        <is>
          <t>tiberiansun</t>
        </is>
      </c>
      <c r="B86" t="inlineStr">
        <is>
          <t>ts_gdi_hammerhead</t>
        </is>
      </c>
      <c r="C86" t="inlineStr">
        <is>
          <t>Hammerhead</t>
        </is>
      </c>
      <c r="D86" s="6" t="inlineStr">
        <is>
          <t>Helicopter</t>
        </is>
      </c>
      <c r="E86" s="6" t="n">
        <v>80000</v>
      </c>
      <c r="F86" s="6" t="n">
        <v>140</v>
      </c>
      <c r="G86" t="inlineStr">
        <is>
          <t>Helicopter</t>
        </is>
      </c>
      <c r="H86" s="6" t="n">
        <v>1</v>
      </c>
      <c r="I86" s="6" t="n">
        <v>1</v>
      </c>
      <c r="J86" s="6" t="n">
        <v>1</v>
      </c>
      <c r="K86" s="6" t="n"/>
      <c r="P86">
        <f>MAX(P87)</f>
        <v/>
      </c>
      <c r="S86">
        <f>S87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2400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TSHammerheadGun</t>
        </is>
      </c>
      <c r="C87" s="7" t="inlineStr">
        <is>
          <t>Armament@PRIMARY</t>
        </is>
      </c>
      <c r="L87" s="6" t="n">
        <v>4000</v>
      </c>
      <c r="M87" s="6" t="n">
        <v>6</v>
      </c>
      <c r="N87" s="6" t="n">
        <v>1</v>
      </c>
      <c r="O87" s="6" t="n"/>
      <c r="P87" s="6" t="n">
        <v>5451</v>
      </c>
      <c r="Q87" s="6" t="n">
        <v>1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^Warhead_Bullet_Medium</t>
        </is>
      </c>
    </row>
    <row r="88">
      <c r="A88" t="inlineStr">
        <is>
          <t>tiberiansun</t>
        </is>
      </c>
      <c r="B88" t="inlineStr">
        <is>
          <t>ts_gdi_kodiakcommandship</t>
        </is>
      </c>
      <c r="C88" t="inlineStr">
        <is>
          <t>Kodiak Command Ship</t>
        </is>
      </c>
      <c r="D88" s="6" t="inlineStr">
        <is>
          <t>Spaceship</t>
        </is>
      </c>
      <c r="E88" s="6" t="n">
        <v>900000</v>
      </c>
      <c r="F88" s="6" t="n">
        <v>30</v>
      </c>
      <c r="G88" t="inlineStr">
        <is>
          <t>Spaceship</t>
        </is>
      </c>
      <c r="H88" s="6" t="n">
        <v>0.3793</v>
      </c>
      <c r="I88" s="6" t="n">
        <v>1</v>
      </c>
      <c r="J88" s="6" t="n">
        <v>1</v>
      </c>
      <c r="K88" s="6" t="n"/>
      <c r="P88">
        <f>MAX(P89,P90,P91)</f>
        <v/>
      </c>
      <c r="S88">
        <f>S89+S90+S91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(T88+U88+V88)/3</f>
        <v/>
      </c>
      <c r="X88" s="6" t="n">
        <v>10000</v>
      </c>
      <c r="Y88">
        <f>IFERROR(W88-X88,"")</f>
        <v/>
      </c>
      <c r="Z88">
        <f>IFERROR(ABS(Y88)/MAX(X88,1),"")</f>
        <v/>
      </c>
      <c r="AA88">
        <f>IFERROR((X88-(((E88/100000+F88/100+S88/200)*200*I88*H88)+((E88*F88/25000)*I88*H88))/3)/(((J88/5)*200*I88*H88)+((J88*S88/2.5)*I88*H88)+((E88*F88*J88*S88*I88*H88)/12500000))/3*1000,"")</f>
        <v/>
      </c>
    </row>
    <row r="89">
      <c r="B89" s="7" t="inlineStr">
        <is>
          <t xml:space="preserve">  ↳ KodiakCannon</t>
        </is>
      </c>
      <c r="C89" s="7" t="inlineStr">
        <is>
          <t>Armament@PRIMARY</t>
        </is>
      </c>
      <c r="L89" s="6" t="n">
        <v>40000</v>
      </c>
      <c r="M89" s="6" t="n">
        <v>92</v>
      </c>
      <c r="N89" s="6" t="n">
        <v>3</v>
      </c>
      <c r="O89" s="6" t="n">
        <v>4</v>
      </c>
      <c r="P89" s="6" t="n">
        <v>9165</v>
      </c>
      <c r="Q89" s="6" t="n">
        <v>1.25</v>
      </c>
      <c r="R89">
        <f>M89+IF(N89&gt;1,N(O89)*(N89-1),0)</f>
        <v/>
      </c>
      <c r="S89">
        <f>IFERROR(L89*MAX(N89,1)/R89*IF(ISBLANK(K88),1,K88),0)</f>
        <v/>
      </c>
      <c r="AB89" s="7" t="inlineStr">
        <is>
          <t>^Warhead_CannonHE_Heavy</t>
        </is>
      </c>
    </row>
    <row r="90">
      <c r="B90" s="7" t="inlineStr">
        <is>
          <t xml:space="preserve">  ↳ KodiakCannonSonic</t>
        </is>
      </c>
      <c r="C90" s="7" t="inlineStr">
        <is>
          <t>Armament@Upgrade</t>
        </is>
      </c>
      <c r="L90" s="6" t="n">
        <v>16000</v>
      </c>
      <c r="M90" s="6" t="n">
        <v>86</v>
      </c>
      <c r="N90" s="6" t="n">
        <v>3</v>
      </c>
      <c r="O90" s="6" t="n">
        <v>4</v>
      </c>
      <c r="P90" s="6" t="n">
        <v>9165</v>
      </c>
      <c r="Q90" s="6" t="n">
        <v>1.25</v>
      </c>
      <c r="R90">
        <f>M90+IF(N90&gt;1,N(O90)*(N90-1),0)</f>
        <v/>
      </c>
      <c r="S90">
        <f>IFERROR(L90*MAX(N90,1)/R90*IF(ISBLANK(K88),1,K88),0)</f>
        <v/>
      </c>
      <c r="AB90" s="7" t="inlineStr">
        <is>
          <t>^Warhead_CannonHE_Heavy, ^Warhead_Sonic_Heavy</t>
        </is>
      </c>
    </row>
    <row r="91">
      <c r="B91" s="7" t="inlineStr">
        <is>
          <t xml:space="preserve">  ↳ KodiakAAGuns</t>
        </is>
      </c>
      <c r="C91" s="7" t="inlineStr">
        <is>
          <t>Armament@SECONDARY</t>
        </is>
      </c>
      <c r="L91" s="6" t="n">
        <v>6000</v>
      </c>
      <c r="M91" s="6" t="n">
        <v>4</v>
      </c>
      <c r="N91" s="6" t="n">
        <v>1</v>
      </c>
      <c r="O91" s="6" t="n"/>
      <c r="P91" s="6" t="n">
        <v>8450</v>
      </c>
      <c r="Q91" s="6" t="n">
        <v>1</v>
      </c>
      <c r="R91">
        <f>M91+IF(N91&gt;1,N(O91)*(N91-1),0)</f>
        <v/>
      </c>
      <c r="S91">
        <f>IFERROR(L91*MAX(N91,1)/R91*IF(ISBLANK(K88),1,K88),0)</f>
        <v/>
      </c>
      <c r="AB91" s="7" t="inlineStr">
        <is>
          <t>^Warhead_Flak_Medium</t>
        </is>
      </c>
    </row>
    <row r="92">
      <c r="A92" t="inlineStr">
        <is>
          <t>tiberiansun</t>
        </is>
      </c>
      <c r="B92" t="inlineStr">
        <is>
          <t>ts_gdi_orcabomber</t>
        </is>
      </c>
      <c r="C92" t="inlineStr">
        <is>
          <t>Orca Bomber</t>
        </is>
      </c>
      <c r="D92" s="6" t="inlineStr">
        <is>
          <t>Bomber</t>
        </is>
      </c>
      <c r="E92" s="6" t="n">
        <v>152500</v>
      </c>
      <c r="F92" s="6" t="n">
        <v>160</v>
      </c>
      <c r="G92" t="inlineStr">
        <is>
          <t>Bomber</t>
        </is>
      </c>
      <c r="H92" s="6" t="n">
        <v>0.75</v>
      </c>
      <c r="I92" s="6" t="n">
        <v>1</v>
      </c>
      <c r="J92" s="6" t="n">
        <v>1</v>
      </c>
      <c r="K92" s="6" t="n">
        <v>0.0025</v>
      </c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1900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TSBomb</t>
        </is>
      </c>
      <c r="C93" s="7" t="inlineStr">
        <is>
          <t>Armament@PRIMARY</t>
        </is>
      </c>
      <c r="L93" s="6" t="n">
        <v>20000</v>
      </c>
      <c r="M93" s="6" t="n">
        <v>38</v>
      </c>
      <c r="N93" s="6" t="n">
        <v>5</v>
      </c>
      <c r="O93" s="6" t="n">
        <v>3</v>
      </c>
      <c r="P93" s="6" t="n">
        <v>1500</v>
      </c>
      <c r="Q93" s="6" t="n">
        <v>1.125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^Warhead_Concussion_Medium, ^Warhead_Demolition_Heavy</t>
        </is>
      </c>
    </row>
    <row r="94">
      <c r="B94" s="7" t="inlineStr">
        <is>
          <t xml:space="preserve">  ↳ TSBombSonic</t>
        </is>
      </c>
      <c r="C94" s="7" t="inlineStr">
        <is>
          <t>Armament@Upgrade</t>
        </is>
      </c>
      <c r="L94" s="6" t="n">
        <v>20000</v>
      </c>
      <c r="M94" s="6" t="n">
        <v>38</v>
      </c>
      <c r="N94" s="6" t="n">
        <v>5</v>
      </c>
      <c r="O94" s="6" t="n">
        <v>3</v>
      </c>
      <c r="P94" s="6" t="n">
        <v>1500</v>
      </c>
      <c r="Q94" s="6" t="n">
        <v>1.25</v>
      </c>
      <c r="R94">
        <f>M94+IF(N94&gt;1,N(O94)*(N94-1),0)</f>
        <v/>
      </c>
      <c r="S94">
        <f>IFERROR(L94*MAX(N94,1)/R94*IF(ISBLANK(K92),1,K92),0)</f>
        <v/>
      </c>
      <c r="AB94" s="7" t="inlineStr">
        <is>
          <t>^Warhead_Demolition_Heavy, ^Warhead_Sonic_Heavy</t>
        </is>
      </c>
    </row>
    <row r="95">
      <c r="A95" t="inlineStr">
        <is>
          <t>tiberiansun</t>
        </is>
      </c>
      <c r="B95" t="inlineStr">
        <is>
          <t>ts_gdi_orcafighter</t>
        </is>
      </c>
      <c r="C95" t="inlineStr">
        <is>
          <t>Orca Fighter</t>
        </is>
      </c>
      <c r="D95" s="6" t="inlineStr">
        <is>
          <t>Helicopter</t>
        </is>
      </c>
      <c r="E95" s="6" t="n">
        <v>62500</v>
      </c>
      <c r="F95" s="6" t="n">
        <v>145</v>
      </c>
      <c r="G95" t="inlineStr">
        <is>
          <t>Helicopter</t>
        </is>
      </c>
      <c r="H95" s="6" t="n">
        <v>1</v>
      </c>
      <c r="I95" s="6" t="n">
        <v>1</v>
      </c>
      <c r="J95" s="6" t="n">
        <v>1</v>
      </c>
      <c r="K95" s="6" t="n"/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2200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TSHellfire</t>
        </is>
      </c>
      <c r="C96" s="7" t="inlineStr">
        <is>
          <t>Armament@PRIMARY</t>
        </is>
      </c>
      <c r="L96" s="6" t="n">
        <v>24000</v>
      </c>
      <c r="M96" s="6" t="n">
        <v>32</v>
      </c>
      <c r="N96" s="6" t="n">
        <v>1</v>
      </c>
      <c r="O96" s="6" t="n"/>
      <c r="P96" s="6" t="n">
        <v>5740</v>
      </c>
      <c r="Q96" s="6" t="n">
        <v>1.25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^Warhead_CannonHE_Heavy</t>
        </is>
      </c>
    </row>
    <row r="97">
      <c r="B97" s="7" t="inlineStr">
        <is>
          <t xml:space="preserve">  ↳ TSHellfireSonic</t>
        </is>
      </c>
      <c r="C97" s="7" t="inlineStr">
        <is>
          <t>Armament@Upgrade</t>
        </is>
      </c>
      <c r="L97" s="6" t="n">
        <v>8000</v>
      </c>
      <c r="M97" s="6" t="n">
        <v>60</v>
      </c>
      <c r="N97" s="6" t="n">
        <v>1</v>
      </c>
      <c r="O97" s="6" t="n"/>
      <c r="P97" s="6" t="n">
        <v>6144</v>
      </c>
      <c r="Q97" s="6" t="n">
        <v>1</v>
      </c>
      <c r="R97">
        <f>M97+IF(N97&gt;1,N(O97)*(N97-1),0)</f>
        <v/>
      </c>
      <c r="S97">
        <f>IFERROR(L97*MAX(N97,1)/R97*IF(ISBLANK(K95),1,K95),0)</f>
        <v/>
      </c>
      <c r="AB97" s="7" t="inlineStr">
        <is>
          <t>^Warhead_Sonic_Medium</t>
        </is>
      </c>
    </row>
    <row r="98">
      <c r="A98" t="inlineStr">
        <is>
          <t>tiberiansun</t>
        </is>
      </c>
      <c r="B98" t="inlineStr">
        <is>
          <t>ts_gdi_zoneorcafighter</t>
        </is>
      </c>
      <c r="C98" t="inlineStr">
        <is>
          <t>Zone Orca Fighter</t>
        </is>
      </c>
      <c r="D98" s="6" t="inlineStr">
        <is>
          <t>Helicopter</t>
        </is>
      </c>
      <c r="E98" s="6" t="n">
        <v>70000</v>
      </c>
      <c r="F98" s="6" t="n">
        <v>165</v>
      </c>
      <c r="G98" t="inlineStr">
        <is>
          <t>Helicopter</t>
        </is>
      </c>
      <c r="H98" s="6" t="n">
        <v>1</v>
      </c>
      <c r="I98" s="6" t="n">
        <v>1</v>
      </c>
      <c r="J98" s="6" t="n">
        <v>1</v>
      </c>
      <c r="K98" s="6" t="n"/>
      <c r="P98">
        <f>MAX(P99,P100)</f>
        <v/>
      </c>
      <c r="S98">
        <f>S99+S100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3000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TSZoneHellfire</t>
        </is>
      </c>
      <c r="C99" s="7" t="inlineStr">
        <is>
          <t>Armament@PRIMARY</t>
        </is>
      </c>
      <c r="L99" s="6" t="n">
        <v>24000</v>
      </c>
      <c r="M99" s="6" t="n">
        <v>28</v>
      </c>
      <c r="N99" s="6" t="n">
        <v>1</v>
      </c>
      <c r="O99" s="6" t="n"/>
      <c r="P99" s="6" t="n">
        <v>6138</v>
      </c>
      <c r="Q99" s="6" t="n">
        <v>1.25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^Warhead_CannonHE_Heavy</t>
        </is>
      </c>
    </row>
    <row r="100">
      <c r="B100" s="7" t="inlineStr">
        <is>
          <t xml:space="preserve">  ↳ TSZoneHellfireSonic</t>
        </is>
      </c>
      <c r="C100" s="7" t="inlineStr">
        <is>
          <t>Armament@Upgrade</t>
        </is>
      </c>
      <c r="L100" s="6" t="n">
        <v>16000</v>
      </c>
      <c r="M100" s="6" t="n">
        <v>28</v>
      </c>
      <c r="N100" s="6" t="n">
        <v>1</v>
      </c>
      <c r="O100" s="6" t="n"/>
      <c r="P100" s="6" t="n">
        <v>6138</v>
      </c>
      <c r="Q100" s="6" t="n">
        <v>1.125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^Warhead_Sonic_Medium, ^Warhead_Sonic_Heavy</t>
        </is>
      </c>
    </row>
    <row r="101">
      <c r="A101" s="4" t="inlineStr">
        <is>
          <t>NAVAL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t="inlineStr">
        <is>
          <t>tiberiansun</t>
        </is>
      </c>
      <c r="B102" t="inlineStr">
        <is>
          <t>ts_gdi_carrier</t>
        </is>
      </c>
      <c r="C102" t="inlineStr">
        <is>
          <t>GDI Carrier</t>
        </is>
      </c>
      <c r="D102" s="6" t="inlineStr">
        <is>
          <t>ArtilleryShip</t>
        </is>
      </c>
      <c r="E102" s="6" t="n">
        <v>350000</v>
      </c>
      <c r="F102" s="6" t="n">
        <v>40</v>
      </c>
      <c r="G102" t="inlineStr">
        <is>
          <t>Superheavy</t>
        </is>
      </c>
      <c r="H102" s="6" t="n">
        <v>0.5789</v>
      </c>
      <c r="I102" s="6" t="n">
        <v>1</v>
      </c>
      <c r="J102" s="6" t="n">
        <v>1</v>
      </c>
      <c r="K102" s="6" t="n"/>
      <c r="P102">
        <f>MAX(P103,P104,P105,P106)</f>
        <v/>
      </c>
      <c r="S102">
        <f>S103+S104+S105+S106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4000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APCGun</t>
        </is>
      </c>
      <c r="C103" s="7" t="inlineStr">
        <is>
          <t>Armament@PRIMARY</t>
        </is>
      </c>
      <c r="L103" s="6" t="n">
        <v>4000</v>
      </c>
      <c r="M103" s="6" t="n">
        <v>10</v>
      </c>
      <c r="N103" s="6" t="n">
        <v>1</v>
      </c>
      <c r="O103" s="6" t="n"/>
      <c r="P103" s="6" t="n">
        <v>5668</v>
      </c>
      <c r="Q103" s="6" t="n">
        <v>1</v>
      </c>
      <c r="R103">
        <f>M103+IF(N103&gt;1,N(O103)*(N103-1),0)</f>
        <v/>
      </c>
      <c r="S103">
        <f>IFERROR(L103*MAX(N103,1)/R103*IF(ISBLANK(K102),1,K102),0)</f>
        <v/>
      </c>
      <c r="AB103" s="7" t="inlineStr">
        <is>
          <t>^Warhead_Bullet_Medium, ^Warhead_Flak_Medium</t>
        </is>
      </c>
    </row>
    <row r="104">
      <c r="B104" s="7" t="inlineStr">
        <is>
          <t xml:space="preserve">  ↳ APCGun</t>
        </is>
      </c>
      <c r="C104" s="7" t="inlineStr">
        <is>
          <t>Armament@SECONDARY</t>
        </is>
      </c>
      <c r="L104" s="6" t="n">
        <v>4000</v>
      </c>
      <c r="M104" s="6" t="n">
        <v>10</v>
      </c>
      <c r="N104" s="6" t="n">
        <v>1</v>
      </c>
      <c r="O104" s="6" t="n"/>
      <c r="P104" s="6" t="n">
        <v>5668</v>
      </c>
      <c r="Q104" s="6" t="n">
        <v>1</v>
      </c>
      <c r="R104">
        <f>M104+IF(N104&gt;1,N(O104)*(N104-1),0)</f>
        <v/>
      </c>
      <c r="S104">
        <f>IFERROR(L104*MAX(N104,1)/R104*IF(ISBLANK(K102),1,K102),0)</f>
        <v/>
      </c>
      <c r="AB104" s="7" t="inlineStr">
        <is>
          <t>^Warhead_Bullet_Medium, ^Warhead_Flak_Medium</t>
        </is>
      </c>
    </row>
    <row r="105">
      <c r="B105" s="7" t="inlineStr">
        <is>
          <t xml:space="preserve">  ↳ APCGun</t>
        </is>
      </c>
      <c r="C105" s="7" t="inlineStr">
        <is>
          <t>Armament@TERCERA</t>
        </is>
      </c>
      <c r="L105" s="6" t="n">
        <v>4000</v>
      </c>
      <c r="M105" s="6" t="n">
        <v>10</v>
      </c>
      <c r="N105" s="6" t="n">
        <v>1</v>
      </c>
      <c r="O105" s="6" t="n"/>
      <c r="P105" s="6" t="n">
        <v>5668</v>
      </c>
      <c r="Q105" s="6" t="n">
        <v>1</v>
      </c>
      <c r="R105">
        <f>M105+IF(N105&gt;1,N(O105)*(N105-1),0)</f>
        <v/>
      </c>
      <c r="S105">
        <f>IFERROR(L105*MAX(N105,1)/R105*IF(ISBLANK(K102),1,K102),0)</f>
        <v/>
      </c>
      <c r="AB105" s="7" t="inlineStr">
        <is>
          <t>^Warhead_Bullet_Medium, ^Warhead_Flak_Medium</t>
        </is>
      </c>
    </row>
    <row r="106">
      <c r="B106" s="7" t="inlineStr">
        <is>
          <t xml:space="preserve">  ↳ APCGun</t>
        </is>
      </c>
      <c r="C106" s="7" t="inlineStr">
        <is>
          <t>Armament@CUARTA</t>
        </is>
      </c>
      <c r="L106" s="6" t="n">
        <v>4000</v>
      </c>
      <c r="M106" s="6" t="n">
        <v>10</v>
      </c>
      <c r="N106" s="6" t="n">
        <v>1</v>
      </c>
      <c r="O106" s="6" t="n"/>
      <c r="P106" s="6" t="n">
        <v>5668</v>
      </c>
      <c r="Q106" s="6" t="n">
        <v>1</v>
      </c>
      <c r="R106">
        <f>M106+IF(N106&gt;1,N(O106)*(N106-1),0)</f>
        <v/>
      </c>
      <c r="S106">
        <f>IFERROR(L106*MAX(N106,1)/R106*IF(ISBLANK(K102),1,K102),0)</f>
        <v/>
      </c>
      <c r="AB106" s="7" t="inlineStr">
        <is>
          <t>^Warhead_Bullet_Medium, ^Warhead_Flak_Medium</t>
        </is>
      </c>
    </row>
    <row r="107">
      <c r="B107" s="7" t="inlineStr">
        <is>
          <t xml:space="preserve">  ↳ RA2CarrierTarget</t>
        </is>
      </c>
      <c r="C107" s="7" t="inlineStr">
        <is>
          <t>Armament@QUINTA</t>
        </is>
      </c>
      <c r="L107" s="6" t="n"/>
      <c r="M107" s="6" t="n">
        <v>50</v>
      </c>
      <c r="N107" s="6" t="n">
        <v>1</v>
      </c>
      <c r="O107" s="6" t="n"/>
      <c r="P107" s="6" t="n">
        <v>17500</v>
      </c>
      <c r="Q107" s="6" t="n">
        <v>1</v>
      </c>
      <c r="R107">
        <f>M107+IF(N107&gt;1,N(O107)*(N107-1),0)</f>
        <v/>
      </c>
      <c r="S107">
        <f>IFERROR(L107*MAX(N107,1)/R107*IF(ISBLANK(K102),1,K102),0)</f>
        <v/>
      </c>
      <c r="AB107" s="7" t="inlineStr"/>
    </row>
    <row r="108">
      <c r="A108" t="inlineStr">
        <is>
          <t>tiberiansun</t>
        </is>
      </c>
      <c r="B108" t="inlineStr">
        <is>
          <t>ts_gdi_cruiser</t>
        </is>
      </c>
      <c r="C108" t="inlineStr">
        <is>
          <t>GDI Battleship</t>
        </is>
      </c>
      <c r="D108" s="6" t="inlineStr">
        <is>
          <t>ArtilleryShip</t>
        </is>
      </c>
      <c r="E108" s="6" t="n">
        <v>350000</v>
      </c>
      <c r="F108" s="6" t="n">
        <v>40</v>
      </c>
      <c r="G108" t="inlineStr">
        <is>
          <t>Superheavy</t>
        </is>
      </c>
      <c r="H108" s="6" t="n">
        <v>0.5789</v>
      </c>
      <c r="I108" s="6" t="n">
        <v>1</v>
      </c>
      <c r="J108" s="6" t="n">
        <v>1</v>
      </c>
      <c r="K108" s="6" t="n"/>
      <c r="P108">
        <f>MAX(P109,P110,P111,P112,P113,P114)</f>
        <v/>
      </c>
      <c r="S108">
        <f>S109+S110+S111+S112+S113+S114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4000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8Inch</t>
        </is>
      </c>
      <c r="C109" s="7" t="inlineStr">
        <is>
          <t>Armament@PRIMARY</t>
        </is>
      </c>
      <c r="L109" s="6" t="n">
        <v>80000</v>
      </c>
      <c r="M109" s="6" t="n">
        <v>250</v>
      </c>
      <c r="N109" s="6" t="n">
        <v>2</v>
      </c>
      <c r="O109" s="6" t="n"/>
      <c r="P109" s="6" t="n">
        <v>15000</v>
      </c>
      <c r="Q109" s="6" t="n">
        <v>1</v>
      </c>
      <c r="R109">
        <f>M109+IF(N109&gt;1,N(O109)*(N109-1),0)</f>
        <v/>
      </c>
      <c r="S109">
        <f>IFERROR(L109*MAX(N109,1)/R109*IF(ISBLANK(K108),1,K108),0)</f>
        <v/>
      </c>
      <c r="AB109" s="7" t="inlineStr">
        <is>
          <t>^Warhead_Demolition_Heavy, ^Warhead_Demolition_Light</t>
        </is>
      </c>
    </row>
    <row r="110">
      <c r="B110" s="7" t="inlineStr">
        <is>
          <t xml:space="preserve">  ↳ 8Inch</t>
        </is>
      </c>
      <c r="C110" s="7" t="inlineStr">
        <is>
          <t>Armament@SECONDARY</t>
        </is>
      </c>
      <c r="L110" s="6" t="n">
        <v>80000</v>
      </c>
      <c r="M110" s="6" t="n">
        <v>250</v>
      </c>
      <c r="N110" s="6" t="n">
        <v>2</v>
      </c>
      <c r="O110" s="6" t="n"/>
      <c r="P110" s="6" t="n">
        <v>15000</v>
      </c>
      <c r="Q110" s="6" t="n">
        <v>1</v>
      </c>
      <c r="R110">
        <f>M110+IF(N110&gt;1,N(O110)*(N110-1),0)</f>
        <v/>
      </c>
      <c r="S110">
        <f>IFERROR(L110*MAX(N110,1)/R110*IF(ISBLANK(K108),1,K108),0)</f>
        <v/>
      </c>
      <c r="AB110" s="7" t="inlineStr">
        <is>
          <t>^Warhead_Demolition_Heavy, ^Warhead_Demolition_Light</t>
        </is>
      </c>
    </row>
    <row r="111">
      <c r="B111" s="7" t="inlineStr">
        <is>
          <t xml:space="preserve">  ↳ 8Inch</t>
        </is>
      </c>
      <c r="C111" s="7" t="inlineStr">
        <is>
          <t>Armament@TERCERA</t>
        </is>
      </c>
      <c r="L111" s="6" t="n">
        <v>80000</v>
      </c>
      <c r="M111" s="6" t="n">
        <v>250</v>
      </c>
      <c r="N111" s="6" t="n">
        <v>2</v>
      </c>
      <c r="O111" s="6" t="n"/>
      <c r="P111" s="6" t="n">
        <v>15000</v>
      </c>
      <c r="Q111" s="6" t="n">
        <v>1</v>
      </c>
      <c r="R111">
        <f>M111+IF(N111&gt;1,N(O111)*(N111-1),0)</f>
        <v/>
      </c>
      <c r="S111">
        <f>IFERROR(L111*MAX(N111,1)/R111*IF(ISBLANK(K108),1,K108),0)</f>
        <v/>
      </c>
      <c r="AB111" s="7" t="inlineStr">
        <is>
          <t>^Warhead_Demolition_Heavy, ^Warhead_Demolition_Light</t>
        </is>
      </c>
    </row>
    <row r="112">
      <c r="B112" s="7" t="inlineStr">
        <is>
          <t xml:space="preserve">  ↳ 8Inch</t>
        </is>
      </c>
      <c r="C112" s="7" t="inlineStr">
        <is>
          <t>Armament@CUARTA</t>
        </is>
      </c>
      <c r="L112" s="6" t="n">
        <v>80000</v>
      </c>
      <c r="M112" s="6" t="n">
        <v>250</v>
      </c>
      <c r="N112" s="6" t="n">
        <v>2</v>
      </c>
      <c r="O112" s="6" t="n"/>
      <c r="P112" s="6" t="n">
        <v>15000</v>
      </c>
      <c r="Q112" s="6" t="n">
        <v>1</v>
      </c>
      <c r="R112">
        <f>M112+IF(N112&gt;1,N(O112)*(N112-1),0)</f>
        <v/>
      </c>
      <c r="S112">
        <f>IFERROR(L112*MAX(N112,1)/R112*IF(ISBLANK(K108),1,K108),0)</f>
        <v/>
      </c>
      <c r="AB112" s="7" t="inlineStr">
        <is>
          <t>^Warhead_Demolition_Heavy, ^Warhead_Demolition_Light</t>
        </is>
      </c>
    </row>
    <row r="113">
      <c r="B113" s="7" t="inlineStr">
        <is>
          <t xml:space="preserve">  ↳ TSHoverMissile</t>
        </is>
      </c>
      <c r="C113" s="7" t="inlineStr">
        <is>
          <t>Armament@QUINTA</t>
        </is>
      </c>
      <c r="L113" s="6" t="n">
        <v>12000</v>
      </c>
      <c r="M113" s="6" t="n">
        <v>60</v>
      </c>
      <c r="N113" s="6" t="n">
        <v>2</v>
      </c>
      <c r="O113" s="6" t="n">
        <v>8</v>
      </c>
      <c r="P113" s="6" t="n">
        <v>8159</v>
      </c>
      <c r="Q113" s="6" t="n">
        <v>1</v>
      </c>
      <c r="R113">
        <f>M113+IF(N113&gt;1,N(O113)*(N113-1),0)</f>
        <v/>
      </c>
      <c r="S113">
        <f>IFERROR(L113*MAX(N113,1)/R113*IF(ISBLANK(K108),1,K108),0)</f>
        <v/>
      </c>
      <c r="AB113" s="7" t="inlineStr">
        <is>
          <t>^FlakWeapon, ^MediumMissile, ^ShrapnelWeapon</t>
        </is>
      </c>
    </row>
    <row r="114">
      <c r="B114" s="7" t="inlineStr">
        <is>
          <t xml:space="preserve">  ↳ TSHoverMissile</t>
        </is>
      </c>
      <c r="C114" s="7" t="inlineStr">
        <is>
          <t>Armament@SEXTA</t>
        </is>
      </c>
      <c r="L114" s="6" t="n">
        <v>12000</v>
      </c>
      <c r="M114" s="6" t="n">
        <v>60</v>
      </c>
      <c r="N114" s="6" t="n">
        <v>2</v>
      </c>
      <c r="O114" s="6" t="n">
        <v>8</v>
      </c>
      <c r="P114" s="6" t="n">
        <v>8159</v>
      </c>
      <c r="Q114" s="6" t="n">
        <v>1</v>
      </c>
      <c r="R114">
        <f>M114+IF(N114&gt;1,N(O114)*(N114-1),0)</f>
        <v/>
      </c>
      <c r="S114">
        <f>IFERROR(L114*MAX(N114,1)/R114*IF(ISBLANK(K108),1,K108),0)</f>
        <v/>
      </c>
      <c r="AB114" s="7" t="inlineStr">
        <is>
          <t>^FlakWeapon, ^MediumMissile, ^ShrapnelWeapon</t>
        </is>
      </c>
    </row>
    <row r="115">
      <c r="A115" t="inlineStr">
        <is>
          <t>tiberiansun</t>
        </is>
      </c>
      <c r="B115" t="inlineStr">
        <is>
          <t>ts_gdi_destroyer</t>
        </is>
      </c>
      <c r="C115" t="inlineStr">
        <is>
          <t>GDI Destroyer</t>
        </is>
      </c>
      <c r="D115" s="6" t="inlineStr">
        <is>
          <t>BattleShip</t>
        </is>
      </c>
      <c r="E115" s="6" t="n">
        <v>125000</v>
      </c>
      <c r="F115" s="6" t="n">
        <v>85</v>
      </c>
      <c r="G115" t="inlineStr">
        <is>
          <t>Heavy</t>
        </is>
      </c>
      <c r="H115" s="6" t="n">
        <v>1</v>
      </c>
      <c r="I115" s="6" t="n">
        <v>1</v>
      </c>
      <c r="J115" s="6" t="n">
        <v>1</v>
      </c>
      <c r="K115" s="6" t="n"/>
      <c r="P115">
        <f>MAX(P116,P117,P118)</f>
        <v/>
      </c>
      <c r="S115">
        <f>S116+S117+S118</f>
        <v/>
      </c>
      <c r="T115">
        <f>(E115/100000+F115/100+(P115/1000)*J115/5+S115/200)*200*I115*H115</f>
        <v/>
      </c>
      <c r="U115">
        <f>((E115*F115/25000)+((P115/1000)*J115*S115/2.5))*I115*H115</f>
        <v/>
      </c>
      <c r="V115">
        <f>(E115*F115*(P115/1000)*J115*S115*I115*H115)/12500000</f>
        <v/>
      </c>
      <c r="W115">
        <f>(T115+U115+V115)/3</f>
        <v/>
      </c>
      <c r="X115" s="6" t="n">
        <v>1600</v>
      </c>
      <c r="Y115">
        <f>IFERROR(W115-X115,"")</f>
        <v/>
      </c>
      <c r="Z115">
        <f>IFERROR(ABS(Y115)/MAX(X115,1),"")</f>
        <v/>
      </c>
      <c r="AA115">
        <f>IFERROR((X115-(((E115/100000+F115/100+S115/200)*200*I115*H115)+((E115*F115/25000)*I115*H115))/3)/(((J115/5)*200*I115*H115)+((J115*S115/2.5)*I115*H115)+((E115*F115*J115*S115*I115*H115)/12500000))/3*1000,"")</f>
        <v/>
      </c>
    </row>
    <row r="116">
      <c r="B116" s="7" t="inlineStr">
        <is>
          <t xml:space="preserve">  ↳ TSDestroyerMissiles</t>
        </is>
      </c>
      <c r="C116" s="7" t="inlineStr">
        <is>
          <t>Armament</t>
        </is>
      </c>
      <c r="L116" s="6" t="n">
        <v>12000</v>
      </c>
      <c r="M116" s="6" t="n">
        <v>60</v>
      </c>
      <c r="N116" s="6" t="n">
        <v>4</v>
      </c>
      <c r="O116" s="6" t="n">
        <v>4</v>
      </c>
      <c r="P116" s="6" t="n">
        <v>8159</v>
      </c>
      <c r="Q116" s="6" t="n">
        <v>1</v>
      </c>
      <c r="R116">
        <f>M116+IF(N116&gt;1,N(O116)*(N116-1),0)</f>
        <v/>
      </c>
      <c r="S116">
        <f>IFERROR(L116*MAX(N116,1)/R116*IF(ISBLANK(K115),1,K115),0)</f>
        <v/>
      </c>
      <c r="AB116" s="7" t="inlineStr">
        <is>
          <t>^FlakWeapon, ^MediumMissile, ^ShrapnelWeapon</t>
        </is>
      </c>
    </row>
    <row r="117">
      <c r="B117" s="7" t="inlineStr">
        <is>
          <t xml:space="preserve">  ↳ DepthCharge</t>
        </is>
      </c>
      <c r="C117" s="7" t="inlineStr">
        <is>
          <t>Armament@DC1</t>
        </is>
      </c>
      <c r="L117" s="6" t="n">
        <v>60000</v>
      </c>
      <c r="M117" s="6" t="n">
        <v>60</v>
      </c>
      <c r="N117" s="6" t="n">
        <v>1</v>
      </c>
      <c r="O117" s="6" t="n"/>
      <c r="P117" s="6" t="n">
        <v>6000</v>
      </c>
      <c r="Q117" s="6" t="n">
        <v>0.75</v>
      </c>
      <c r="R117">
        <f>M117+IF(N117&gt;1,N(O117)*(N117-1),0)</f>
        <v/>
      </c>
      <c r="S117">
        <f>IFERROR(L117*MAX(N117,1)/R117*IF(ISBLANK(K115),1,K115),0)</f>
        <v/>
      </c>
      <c r="AB117" s="7" t="inlineStr">
        <is>
          <t>^Warhead_Demolition_Light</t>
        </is>
      </c>
    </row>
    <row r="118">
      <c r="B118" s="7" t="inlineStr">
        <is>
          <t xml:space="preserve">  ↳ DepthCharge</t>
        </is>
      </c>
      <c r="C118" s="7" t="inlineStr">
        <is>
          <t>Armament@DC2</t>
        </is>
      </c>
      <c r="L118" s="6" t="n">
        <v>60000</v>
      </c>
      <c r="M118" s="6" t="n">
        <v>60</v>
      </c>
      <c r="N118" s="6" t="n">
        <v>1</v>
      </c>
      <c r="O118" s="6" t="n"/>
      <c r="P118" s="6" t="n">
        <v>6000</v>
      </c>
      <c r="Q118" s="6" t="n">
        <v>0.75</v>
      </c>
      <c r="R118">
        <f>M118+IF(N118&gt;1,N(O118)*(N118-1),0)</f>
        <v/>
      </c>
      <c r="S118">
        <f>IFERROR(L118*MAX(N118,1)/R118*IF(ISBLANK(K115),1,K115),0)</f>
        <v/>
      </c>
      <c r="AB118" s="7" t="inlineStr">
        <is>
          <t>^Warhead_Demolition_Light</t>
        </is>
      </c>
    </row>
    <row r="119">
      <c r="A119" t="inlineStr">
        <is>
          <t>tiberiansun</t>
        </is>
      </c>
      <c r="B119" t="inlineStr">
        <is>
          <t>ts_gdi_hover</t>
        </is>
      </c>
      <c r="C119" t="inlineStr">
        <is>
          <t>Transport Hovercraft</t>
        </is>
      </c>
      <c r="D119" s="6" t="inlineStr">
        <is>
          <t>Ship</t>
        </is>
      </c>
      <c r="E119" s="6" t="n">
        <v>100000</v>
      </c>
      <c r="F119" s="6" t="n">
        <v>60</v>
      </c>
      <c r="G119" t="inlineStr">
        <is>
          <t>Heavy</t>
        </is>
      </c>
      <c r="H119" s="6" t="n">
        <v>1</v>
      </c>
      <c r="I119" s="6" t="n">
        <v>1</v>
      </c>
      <c r="J119" s="6" t="n">
        <v>1</v>
      </c>
      <c r="K119" s="6" t="n"/>
      <c r="X119" s="6" t="n">
        <v>1200</v>
      </c>
    </row>
    <row r="120">
      <c r="A120" t="inlineStr">
        <is>
          <t>tiberiansun</t>
        </is>
      </c>
      <c r="B120" t="inlineStr">
        <is>
          <t>ts_gdi_strike_orca</t>
        </is>
      </c>
      <c r="C120" t="inlineStr">
        <is>
          <t>Strike Orca</t>
        </is>
      </c>
      <c r="D120" s="6" t="inlineStr">
        <is>
          <t>Bomber</t>
        </is>
      </c>
      <c r="E120" s="6" t="n">
        <v>10000</v>
      </c>
      <c r="F120" s="6" t="n">
        <v>200</v>
      </c>
      <c r="G120" t="inlineStr">
        <is>
          <t>Bomber</t>
        </is>
      </c>
      <c r="H120" s="6" t="n">
        <v>1</v>
      </c>
      <c r="I120" s="6" t="n">
        <v>1</v>
      </c>
      <c r="J120" s="6" t="n">
        <v>1</v>
      </c>
      <c r="K120" s="6" t="n"/>
      <c r="P120">
        <f>MAX(P121,P122,P123)</f>
        <v/>
      </c>
      <c r="S120">
        <f>S121+S122+S123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(T120+U120+V120)/3</f>
        <v/>
      </c>
      <c r="X120" s="6" t="n">
        <v>270</v>
      </c>
      <c r="Y120">
        <f>IFERROR(W120-X120,"")</f>
        <v/>
      </c>
      <c r="Z120">
        <f>IFERROR(ABS(Y120)/MAX(X120,1),"")</f>
        <v/>
      </c>
      <c r="AA120">
        <f>IFERROR((X120-(((E120/100000+F120/100+S120/200)*200*I120*H120)+((E120*F120/25000)*I120*H120))/3)/(((J120/5)*200*I120*H120)+((J120*S120/2.5)*I120*H120)+((E120*F120*J120*S120*I120*H120)/12500000))/3*1000,"")</f>
        <v/>
      </c>
    </row>
    <row r="121">
      <c r="B121" s="7" t="inlineStr">
        <is>
          <t xml:space="preserve">  ↳ TSZoneHellfire</t>
        </is>
      </c>
      <c r="C121" s="7" t="inlineStr">
        <is>
          <t>Armament@GUNS</t>
        </is>
      </c>
      <c r="L121" s="6" t="n">
        <v>24000</v>
      </c>
      <c r="M121" s="6" t="n">
        <v>28</v>
      </c>
      <c r="N121" s="6" t="n">
        <v>1</v>
      </c>
      <c r="O121" s="6" t="n"/>
      <c r="P121" s="6" t="n">
        <v>6138</v>
      </c>
      <c r="Q121" s="6" t="n">
        <v>1.25</v>
      </c>
      <c r="R121">
        <f>M121+IF(N121&gt;1,N(O121)*(N121-1),0)</f>
        <v/>
      </c>
      <c r="S121">
        <f>IFERROR(L121*MAX(N121,1)/R121*IF(ISBLANK(K120),1,K120),0)</f>
        <v/>
      </c>
      <c r="AB121" s="7" t="inlineStr">
        <is>
          <t>^Warhead_CannonHE_Heavy</t>
        </is>
      </c>
    </row>
    <row r="122">
      <c r="B122" s="7" t="inlineStr">
        <is>
          <t xml:space="preserve">  ↳ TSBomb</t>
        </is>
      </c>
      <c r="C122" s="7" t="inlineStr">
        <is>
          <t>Armament@BOMBS</t>
        </is>
      </c>
      <c r="L122" s="6" t="n">
        <v>20000</v>
      </c>
      <c r="M122" s="6" t="n">
        <v>38</v>
      </c>
      <c r="N122" s="6" t="n">
        <v>5</v>
      </c>
      <c r="O122" s="6" t="n">
        <v>3</v>
      </c>
      <c r="P122" s="6" t="n">
        <v>1500</v>
      </c>
      <c r="Q122" s="6" t="n">
        <v>1.125</v>
      </c>
      <c r="R122">
        <f>M122+IF(N122&gt;1,N(O122)*(N122-1),0)</f>
        <v/>
      </c>
      <c r="S122">
        <f>IFERROR(L122*MAX(N122,1)/R122*IF(ISBLANK(K120),1,K120),0)</f>
        <v/>
      </c>
      <c r="AB122" s="7" t="inlineStr">
        <is>
          <t>^Warhead_Concussion_Medium, ^Warhead_Demolition_Heavy</t>
        </is>
      </c>
    </row>
    <row r="123">
      <c r="B123" s="7" t="inlineStr">
        <is>
          <t xml:space="preserve">  ↳ TSZoneHellfire</t>
        </is>
      </c>
      <c r="C123" s="7" t="inlineStr">
        <is>
          <t>Armament@AA</t>
        </is>
      </c>
      <c r="L123" s="6" t="n">
        <v>24000</v>
      </c>
      <c r="M123" s="6" t="n">
        <v>28</v>
      </c>
      <c r="N123" s="6" t="n">
        <v>1</v>
      </c>
      <c r="O123" s="6" t="n"/>
      <c r="P123" s="6" t="n">
        <v>6138</v>
      </c>
      <c r="Q123" s="6" t="n">
        <v>1.25</v>
      </c>
      <c r="R123">
        <f>M123+IF(N123&gt;1,N(O123)*(N123-1),0)</f>
        <v/>
      </c>
      <c r="S123">
        <f>IFERROR(L123*MAX(N123,1)/R123*IF(ISBLANK(K120),1,K120),0)</f>
        <v/>
      </c>
      <c r="AB123" s="7" t="inlineStr">
        <is>
          <t>^Warhead_CannonHE_Heavy</t>
        </is>
      </c>
    </row>
    <row r="124">
      <c r="A124" s="4" t="inlineStr">
        <is>
          <t>DEFENSES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t="inlineStr">
        <is>
          <t>tiberiansun</t>
        </is>
      </c>
      <c r="B125" t="inlineStr">
        <is>
          <t>ts_gdi_empulsecannon</t>
        </is>
      </c>
      <c r="C125" t="inlineStr">
        <is>
          <t>E.M. Pulse Cannon</t>
        </is>
      </c>
      <c r="D125" s="6" t="inlineStr">
        <is>
          <t>AdvancedDefense</t>
        </is>
      </c>
      <c r="E125" s="6" t="n">
        <v>250000</v>
      </c>
      <c r="F125" s="6" t="n">
        <v>100</v>
      </c>
      <c r="G125" t="inlineStr">
        <is>
          <t>Concrete</t>
        </is>
      </c>
      <c r="H125" s="6" t="n">
        <v>0.7674</v>
      </c>
      <c r="I125" s="6" t="n">
        <v>1</v>
      </c>
      <c r="J125" s="6" t="n">
        <v>1</v>
      </c>
      <c r="K125" s="6" t="n"/>
      <c r="P125">
        <f>MAX(P126)</f>
        <v/>
      </c>
      <c r="S125">
        <f>S126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2000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TSPulseCannon_EMP</t>
        </is>
      </c>
      <c r="C126" s="7" t="inlineStr">
        <is>
          <t>Armament@PRIMARY</t>
        </is>
      </c>
      <c r="L126" s="6" t="n">
        <v>20000</v>
      </c>
      <c r="M126" s="6" t="n">
        <v>100</v>
      </c>
      <c r="N126" s="6" t="n">
        <v>1</v>
      </c>
      <c r="O126" s="6" t="n"/>
      <c r="P126" s="6" t="n"/>
      <c r="Q126" s="6" t="n">
        <v>1</v>
      </c>
      <c r="R126">
        <f>M126+IF(N126&gt;1,N(O126)*(N126-1),0)</f>
        <v/>
      </c>
      <c r="S126">
        <f>IFERROR(L126*MAX(N126,1)/R126*IF(ISBLANK(K125),1,K125),0)</f>
        <v/>
      </c>
      <c r="AB126" s="7" t="inlineStr"/>
    </row>
    <row r="127">
      <c r="A127" t="inlineStr">
        <is>
          <t>tiberiansun</t>
        </is>
      </c>
      <c r="B127" t="inlineStr">
        <is>
          <t>ts_gdi_rpgtower</t>
        </is>
      </c>
      <c r="C127" t="inlineStr">
        <is>
          <t>RPG Tower</t>
        </is>
      </c>
      <c r="D127" s="6" t="inlineStr">
        <is>
          <t>AdvancedDefense</t>
        </is>
      </c>
      <c r="E127" s="6" t="n">
        <v>150000</v>
      </c>
      <c r="F127" s="6" t="n">
        <v>100</v>
      </c>
      <c r="G127" t="inlineStr">
        <is>
          <t>Steel</t>
        </is>
      </c>
      <c r="H127" s="6" t="n">
        <v>0.7674</v>
      </c>
      <c r="I127" s="6" t="n">
        <v>1</v>
      </c>
      <c r="J127" s="6" t="n">
        <v>1</v>
      </c>
      <c r="K127" s="6" t="n"/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1400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TSRPGTower</t>
        </is>
      </c>
      <c r="C128" s="7" t="inlineStr">
        <is>
          <t>Armament@PRIMARY</t>
        </is>
      </c>
      <c r="L128" s="6" t="n">
        <v>32000</v>
      </c>
      <c r="M128" s="6" t="n">
        <v>46</v>
      </c>
      <c r="N128" s="6" t="n">
        <v>1</v>
      </c>
      <c r="O128" s="6" t="n"/>
      <c r="P128" s="6" t="n">
        <v>8544</v>
      </c>
      <c r="Q128" s="6" t="n">
        <v>1.125</v>
      </c>
      <c r="R128">
        <f>M128+IF(N128&gt;1,N(O128)*(N128-1),0)</f>
        <v/>
      </c>
      <c r="S128">
        <f>IFERROR(L128*MAX(N128,1)/R128*IF(ISBLANK(K127),1,K127),0)</f>
        <v/>
      </c>
      <c r="AB128" s="7" t="inlineStr">
        <is>
          <t>^Warhead_Concussion_Medium, ^Warhead_CannonHE_Heavy</t>
        </is>
      </c>
    </row>
    <row r="129">
      <c r="B129" s="7" t="inlineStr">
        <is>
          <t xml:space="preserve">  ↳ TSRPGTowerRail</t>
        </is>
      </c>
      <c r="C129" s="7" t="inlineStr">
        <is>
          <t>Armament@Upgrade</t>
        </is>
      </c>
      <c r="L129" s="6" t="n">
        <v>48000</v>
      </c>
      <c r="M129" s="6" t="n">
        <v>46</v>
      </c>
      <c r="N129" s="6" t="n">
        <v>1</v>
      </c>
      <c r="O129" s="6" t="n"/>
      <c r="P129" s="6" t="n">
        <v>8544</v>
      </c>
      <c r="Q129" s="6" t="n">
        <v>1.25</v>
      </c>
      <c r="R129">
        <f>M129+IF(N129&gt;1,N(O129)*(N129-1),0)</f>
        <v/>
      </c>
      <c r="S129">
        <f>IFERROR(L129*MAX(N129,1)/R129*IF(ISBLANK(K127),1,K127),0)</f>
        <v/>
      </c>
      <c r="AB129" s="7" t="inlineStr">
        <is>
          <t>^Warhead_CannonHE_Heavy</t>
        </is>
      </c>
    </row>
    <row r="130">
      <c r="A130" t="inlineStr">
        <is>
          <t>tiberiansun</t>
        </is>
      </c>
      <c r="B130" t="inlineStr">
        <is>
          <t>ts_gdi_samtower</t>
        </is>
      </c>
      <c r="C130" t="inlineStr">
        <is>
          <t>SAM Tower</t>
        </is>
      </c>
      <c r="D130" s="6" t="inlineStr">
        <is>
          <t>AntiAirDefense</t>
        </is>
      </c>
      <c r="E130" s="6" t="n">
        <v>100000</v>
      </c>
      <c r="F130" s="6" t="n">
        <v>100</v>
      </c>
      <c r="G130" t="inlineStr">
        <is>
          <t>Light</t>
        </is>
      </c>
      <c r="H130" s="6" t="n">
        <v>1</v>
      </c>
      <c r="I130" s="6" t="n">
        <v>1</v>
      </c>
      <c r="J130" s="6" t="n">
        <v>1</v>
      </c>
      <c r="K130" s="6" t="n"/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800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TSGDIRedEye</t>
        </is>
      </c>
      <c r="C131" s="7" t="inlineStr">
        <is>
          <t>Armament</t>
        </is>
      </c>
      <c r="L131" s="6" t="n">
        <v>8000</v>
      </c>
      <c r="M131" s="6" t="n">
        <v>30</v>
      </c>
      <c r="N131" s="6" t="n">
        <v>2</v>
      </c>
      <c r="O131" s="6" t="n">
        <v>4</v>
      </c>
      <c r="P131" s="6" t="n">
        <v>12440</v>
      </c>
      <c r="Q131" s="6" t="n">
        <v>1.25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^Warhead_MissileAP_Heavy</t>
        </is>
      </c>
    </row>
    <row r="132">
      <c r="A132" t="inlineStr">
        <is>
          <t>tiberiansun</t>
        </is>
      </c>
      <c r="B132" t="inlineStr">
        <is>
          <t>ts_gdi_vulcantower</t>
        </is>
      </c>
      <c r="C132" t="inlineStr">
        <is>
          <t>Vulcan Tower</t>
        </is>
      </c>
      <c r="D132" s="6" t="inlineStr">
        <is>
          <t>BasicDefense</t>
        </is>
      </c>
      <c r="E132" s="6" t="n">
        <v>80000</v>
      </c>
      <c r="F132" s="6" t="n">
        <v>100</v>
      </c>
      <c r="G132" t="inlineStr">
        <is>
          <t>Concrete</t>
        </is>
      </c>
      <c r="H132" s="6" t="n">
        <v>1</v>
      </c>
      <c r="I132" s="6" t="n">
        <v>1</v>
      </c>
      <c r="J132" s="6" t="n">
        <v>1</v>
      </c>
      <c r="K132" s="6" t="n"/>
      <c r="P132">
        <f>MAX(P133,P134)</f>
        <v/>
      </c>
      <c r="S132">
        <f>S133+S134</f>
        <v/>
      </c>
      <c r="T132">
        <f>(E132/100000+F132/100+(P132/1000)*J132/5+S132/200)*200*I132*H132</f>
        <v/>
      </c>
      <c r="U132">
        <f>((E132*F132/25000)+((P132/1000)*J132*S132/2.5))*I132*H132</f>
        <v/>
      </c>
      <c r="V132">
        <f>(E132*F132*(P132/1000)*J132*S132*I132*H132)/12500000</f>
        <v/>
      </c>
      <c r="W132">
        <f>(T132+U132+V132)/3</f>
        <v/>
      </c>
      <c r="X132" s="6" t="n">
        <v>600</v>
      </c>
      <c r="Y132">
        <f>IFERROR(W132-X132,"")</f>
        <v/>
      </c>
      <c r="Z132">
        <f>IFERROR(ABS(Y132)/MAX(X132,1),"")</f>
        <v/>
      </c>
      <c r="AA132">
        <f>IFERROR((X132-(((E132/100000+F132/100+S132/200)*200*I132*H132)+((E132*F132/25000)*I132*H132))/3)/(((J132/5)*200*I132*H132)+((J132*S132/2.5)*I132*H132)+((E132*F132*J132*S132*I132*H132)/12500000))/3*1000,"")</f>
        <v/>
      </c>
    </row>
    <row r="133">
      <c r="B133" s="7" t="inlineStr">
        <is>
          <t xml:space="preserve">  ↳ TSVulcanGun</t>
        </is>
      </c>
      <c r="C133" s="7" t="inlineStr">
        <is>
          <t>Armament@PRIMARY</t>
        </is>
      </c>
      <c r="L133" s="6" t="n">
        <v>8000</v>
      </c>
      <c r="M133" s="6" t="n">
        <v>48</v>
      </c>
      <c r="N133" s="6" t="n">
        <v>4</v>
      </c>
      <c r="O133" s="6" t="n">
        <v>2</v>
      </c>
      <c r="P133" s="6" t="n">
        <v>6809</v>
      </c>
      <c r="Q133" s="6" t="n">
        <v>0.875</v>
      </c>
      <c r="R133">
        <f>M133+IF(N133&gt;1,N(O133)*(N133-1),0)</f>
        <v/>
      </c>
      <c r="S133">
        <f>IFERROR(L133*MAX(N133,1)/R133*IF(ISBLANK(K132),1,K132),0)</f>
        <v/>
      </c>
      <c r="AB133" s="7" t="inlineStr">
        <is>
          <t>^Warhead_Bullet_Light, ^Warhead_Bullet_Medium</t>
        </is>
      </c>
    </row>
    <row r="134">
      <c r="B134" s="7" t="inlineStr">
        <is>
          <t xml:space="preserve">  ↳ TSVulcanGunSonic</t>
        </is>
      </c>
      <c r="C134" s="7" t="inlineStr">
        <is>
          <t>Armament@Upgrade</t>
        </is>
      </c>
      <c r="L134" s="6" t="n">
        <v>16000</v>
      </c>
      <c r="M134" s="6" t="n">
        <v>66</v>
      </c>
      <c r="N134" s="6" t="n">
        <v>4</v>
      </c>
      <c r="O134" s="6" t="n">
        <v>2</v>
      </c>
      <c r="P134" s="6" t="n">
        <v>6809</v>
      </c>
      <c r="Q134" s="6" t="n">
        <v>1</v>
      </c>
      <c r="R134">
        <f>M134+IF(N134&gt;1,N(O134)*(N134-1),0)</f>
        <v/>
      </c>
      <c r="S134">
        <f>IFERROR(L134*MAX(N134,1)/R134*IF(ISBLANK(K132),1,K132),0)</f>
        <v/>
      </c>
      <c r="AB134" s="7" t="inlineStr">
        <is>
          <t>^Warhead_Bullet_Medium, ^Warhead_Sonic_Medium</t>
        </is>
      </c>
    </row>
    <row r="135">
      <c r="A135" s="4" t="inlineStr">
        <is>
          <t>BUILDINGS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t="inlineStr">
        <is>
          <t>tiberiansun</t>
        </is>
      </c>
      <c r="B136" t="inlineStr">
        <is>
          <t>ts_gdi_barracks</t>
        </is>
      </c>
      <c r="C136" t="inlineStr">
        <is>
          <t>Barracks</t>
        </is>
      </c>
      <c r="D136" s="6" t="inlineStr">
        <is>
          <t>Building</t>
        </is>
      </c>
      <c r="E136" s="6" t="n">
        <v>200000</v>
      </c>
      <c r="F136" s="6" t="n"/>
      <c r="G136" t="inlineStr">
        <is>
          <t>Wood</t>
        </is>
      </c>
      <c r="H136" s="6" t="n">
        <v>1</v>
      </c>
      <c r="I136" s="6" t="n">
        <v>1</v>
      </c>
      <c r="J136" s="6" t="n">
        <v>1</v>
      </c>
      <c r="K136" s="6" t="n"/>
      <c r="X136" s="6" t="n">
        <v>500</v>
      </c>
    </row>
    <row r="137">
      <c r="A137" t="inlineStr">
        <is>
          <t>tiberiansun</t>
        </is>
      </c>
      <c r="B137" t="inlineStr">
        <is>
          <t>ts_gdi_constructionyard</t>
        </is>
      </c>
      <c r="C137" t="inlineStr">
        <is>
          <t>Construction Yard (GDI)</t>
        </is>
      </c>
      <c r="D137" s="6" t="inlineStr">
        <is>
          <t>Building</t>
        </is>
      </c>
      <c r="E137" s="6" t="n">
        <v>1000000</v>
      </c>
      <c r="F137" s="6" t="n"/>
      <c r="G137" t="inlineStr">
        <is>
          <t>Concrete</t>
        </is>
      </c>
      <c r="H137" s="6" t="n">
        <v>1</v>
      </c>
      <c r="I137" s="6" t="n">
        <v>1</v>
      </c>
      <c r="J137" s="6" t="n">
        <v>1</v>
      </c>
      <c r="K137" s="6" t="n"/>
      <c r="X137" s="6" t="n">
        <v>2500</v>
      </c>
    </row>
    <row r="138">
      <c r="A138" t="inlineStr">
        <is>
          <t>tiberiansun</t>
        </is>
      </c>
      <c r="B138" t="inlineStr">
        <is>
          <t>ts_gdi_droppoduplink</t>
        </is>
      </c>
      <c r="C138" t="inlineStr">
        <is>
          <t>Drop Pod Uplink</t>
        </is>
      </c>
      <c r="D138" s="6" t="inlineStr">
        <is>
          <t>Building</t>
        </is>
      </c>
      <c r="E138" s="6" t="n"/>
      <c r="F138" s="6" t="n"/>
      <c r="H138" s="6" t="n">
        <v>0.3976</v>
      </c>
      <c r="I138" s="6" t="n">
        <v>1</v>
      </c>
      <c r="J138" s="6" t="n">
        <v>1</v>
      </c>
      <c r="K138" s="6" t="n"/>
      <c r="X138" s="6" t="n">
        <v>1000</v>
      </c>
    </row>
    <row r="139">
      <c r="A139" t="inlineStr">
        <is>
          <t>tiberiansun</t>
        </is>
      </c>
      <c r="B139" t="inlineStr">
        <is>
          <t>ts_gdi_helipad</t>
        </is>
      </c>
      <c r="C139" t="inlineStr">
        <is>
          <t>Helipad (GDI)</t>
        </is>
      </c>
      <c r="D139" s="6" t="inlineStr">
        <is>
          <t>Building</t>
        </is>
      </c>
      <c r="E139" s="6" t="n">
        <v>300000</v>
      </c>
      <c r="F139" s="6" t="n"/>
      <c r="G139" t="inlineStr">
        <is>
          <t>Wood</t>
        </is>
      </c>
      <c r="H139" s="6" t="n">
        <v>1</v>
      </c>
      <c r="I139" s="6" t="n">
        <v>1</v>
      </c>
      <c r="J139" s="6" t="n">
        <v>1</v>
      </c>
      <c r="K139" s="6" t="n"/>
      <c r="X139" s="6" t="n">
        <v>1000</v>
      </c>
    </row>
    <row r="140">
      <c r="A140" t="inlineStr">
        <is>
          <t>tiberiansun</t>
        </is>
      </c>
      <c r="B140" t="inlineStr">
        <is>
          <t>ts_gdi_ioncannonuplink</t>
        </is>
      </c>
      <c r="C140" t="inlineStr">
        <is>
          <t>Ion Cannon Uplink</t>
        </is>
      </c>
      <c r="D140" s="6" t="inlineStr">
        <is>
          <t>Building</t>
        </is>
      </c>
      <c r="E140" s="6" t="n"/>
      <c r="F140" s="6" t="n"/>
      <c r="H140" s="6" t="n">
        <v>0.3976</v>
      </c>
      <c r="I140" s="6" t="n">
        <v>1</v>
      </c>
      <c r="J140" s="6" t="n">
        <v>1</v>
      </c>
      <c r="K140" s="6" t="n"/>
      <c r="X140" s="6" t="n">
        <v>1500</v>
      </c>
    </row>
    <row r="141">
      <c r="A141" t="inlineStr">
        <is>
          <t>tiberiansun</t>
        </is>
      </c>
      <c r="B141" t="inlineStr">
        <is>
          <t>ts_gdi_navalyard</t>
        </is>
      </c>
      <c r="C141" t="inlineStr">
        <is>
          <t>GDI Naval Yard</t>
        </is>
      </c>
      <c r="D141" s="6" t="inlineStr">
        <is>
          <t>Building</t>
        </is>
      </c>
      <c r="E141" s="6" t="n">
        <v>600000</v>
      </c>
      <c r="F141" s="6" t="n"/>
      <c r="G141" t="inlineStr">
        <is>
          <t>Concrete</t>
        </is>
      </c>
      <c r="H141" s="6" t="n">
        <v>1</v>
      </c>
      <c r="I141" s="6" t="n">
        <v>1</v>
      </c>
      <c r="J141" s="6" t="n">
        <v>1</v>
      </c>
      <c r="K141" s="6" t="n"/>
      <c r="X141" s="6" t="n">
        <v>3000</v>
      </c>
    </row>
    <row r="142">
      <c r="A142" t="inlineStr">
        <is>
          <t>tiberiansun</t>
        </is>
      </c>
      <c r="B142" t="inlineStr">
        <is>
          <t>ts_gdi_powerplant</t>
        </is>
      </c>
      <c r="C142" t="inlineStr">
        <is>
          <t>GDI Power Plant</t>
        </is>
      </c>
      <c r="D142" s="6" t="inlineStr">
        <is>
          <t>Building</t>
        </is>
      </c>
      <c r="E142" s="6" t="n">
        <v>150000</v>
      </c>
      <c r="F142" s="6" t="n"/>
      <c r="G142" t="inlineStr">
        <is>
          <t>Wood</t>
        </is>
      </c>
      <c r="H142" s="6" t="n">
        <v>1</v>
      </c>
      <c r="I142" s="6" t="n">
        <v>1</v>
      </c>
      <c r="J142" s="6" t="n">
        <v>1</v>
      </c>
      <c r="K142" s="6" t="n"/>
      <c r="X142" s="6" t="n">
        <v>500</v>
      </c>
    </row>
    <row r="143">
      <c r="A143" t="inlineStr">
        <is>
          <t>tiberiansun</t>
        </is>
      </c>
      <c r="B143" t="inlineStr">
        <is>
          <t>ts_gdi_powerturbine</t>
        </is>
      </c>
      <c r="C143" t="inlineStr">
        <is>
          <t>Power Turbine</t>
        </is>
      </c>
      <c r="D143" s="6" t="inlineStr">
        <is>
          <t>Building</t>
        </is>
      </c>
      <c r="E143" s="6" t="n"/>
      <c r="F143" s="6" t="n"/>
      <c r="H143" s="6" t="n">
        <v>1</v>
      </c>
      <c r="I143" s="6" t="n">
        <v>1</v>
      </c>
      <c r="J143" s="6" t="n">
        <v>1</v>
      </c>
      <c r="K143" s="6" t="n"/>
      <c r="X143" s="6" t="n">
        <v>500</v>
      </c>
    </row>
    <row r="144">
      <c r="A144" t="inlineStr">
        <is>
          <t>tiberiansun</t>
        </is>
      </c>
      <c r="B144" t="inlineStr">
        <is>
          <t>ts_gdi_radar</t>
        </is>
      </c>
      <c r="C144" t="inlineStr">
        <is>
          <t>Radar</t>
        </is>
      </c>
      <c r="D144" s="6" t="inlineStr">
        <is>
          <t>Building</t>
        </is>
      </c>
      <c r="E144" s="6" t="n">
        <v>250000</v>
      </c>
      <c r="F144" s="6" t="n"/>
      <c r="G144" t="inlineStr">
        <is>
          <t>Wood</t>
        </is>
      </c>
      <c r="H144" s="6" t="n">
        <v>1</v>
      </c>
      <c r="I144" s="6" t="n">
        <v>1</v>
      </c>
      <c r="J144" s="6" t="n">
        <v>1</v>
      </c>
      <c r="K144" s="6" t="n"/>
      <c r="X144" s="6" t="n">
        <v>1000</v>
      </c>
    </row>
    <row r="145">
      <c r="A145" t="inlineStr">
        <is>
          <t>tiberiansun</t>
        </is>
      </c>
      <c r="B145" t="inlineStr">
        <is>
          <t>ts_gdi_servicedepot</t>
        </is>
      </c>
      <c r="C145" t="inlineStr">
        <is>
          <t>Service Depot</t>
        </is>
      </c>
      <c r="D145" s="6" t="inlineStr">
        <is>
          <t>Building</t>
        </is>
      </c>
      <c r="E145" s="6" t="n">
        <v>250000</v>
      </c>
      <c r="F145" s="6" t="n"/>
      <c r="G145" t="inlineStr">
        <is>
          <t>Concrete</t>
        </is>
      </c>
      <c r="H145" s="6" t="n">
        <v>1</v>
      </c>
      <c r="I145" s="6" t="n">
        <v>1</v>
      </c>
      <c r="J145" s="6" t="n">
        <v>1</v>
      </c>
      <c r="K145" s="6" t="n"/>
      <c r="X145" s="6" t="n">
        <v>800</v>
      </c>
    </row>
    <row r="146">
      <c r="A146" t="inlineStr">
        <is>
          <t>tiberiansun</t>
        </is>
      </c>
      <c r="B146" t="inlineStr">
        <is>
          <t>ts_gdi_silo</t>
        </is>
      </c>
      <c r="C146" t="inlineStr">
        <is>
          <t>Silo</t>
        </is>
      </c>
      <c r="D146" s="6" t="inlineStr">
        <is>
          <t>Building</t>
        </is>
      </c>
      <c r="E146" s="6" t="n">
        <v>100000</v>
      </c>
      <c r="F146" s="6" t="n"/>
      <c r="G146" t="inlineStr">
        <is>
          <t>Wood</t>
        </is>
      </c>
      <c r="H146" s="6" t="n">
        <v>1</v>
      </c>
      <c r="I146" s="6" t="n">
        <v>1</v>
      </c>
      <c r="J146" s="6" t="n">
        <v>1</v>
      </c>
      <c r="K146" s="6" t="n"/>
      <c r="X146" s="6" t="n">
        <v>150</v>
      </c>
    </row>
    <row r="147">
      <c r="A147" t="inlineStr">
        <is>
          <t>tiberiansun</t>
        </is>
      </c>
      <c r="B147" t="inlineStr">
        <is>
          <t>ts_gdi_techcenter</t>
        </is>
      </c>
      <c r="C147" t="inlineStr">
        <is>
          <t>GDI Tech Center</t>
        </is>
      </c>
      <c r="D147" s="6" t="inlineStr">
        <is>
          <t>Building</t>
        </is>
      </c>
      <c r="E147" s="6" t="n">
        <v>500000</v>
      </c>
      <c r="F147" s="6" t="n"/>
      <c r="G147" t="inlineStr">
        <is>
          <t>Wood</t>
        </is>
      </c>
      <c r="H147" s="6" t="n">
        <v>1</v>
      </c>
      <c r="I147" s="6" t="n">
        <v>1</v>
      </c>
      <c r="J147" s="6" t="n">
        <v>1</v>
      </c>
      <c r="K147" s="6" t="n"/>
      <c r="X147" s="6" t="n">
        <v>5000</v>
      </c>
    </row>
    <row r="148">
      <c r="A148" t="inlineStr">
        <is>
          <t>tiberiansun</t>
        </is>
      </c>
      <c r="B148" t="inlineStr">
        <is>
          <t>ts_gdi_tiberiumrefinery</t>
        </is>
      </c>
      <c r="C148" t="inlineStr">
        <is>
          <t>Tiberium Refinery</t>
        </is>
      </c>
      <c r="D148" s="6" t="inlineStr">
        <is>
          <t>Building</t>
        </is>
      </c>
      <c r="E148" s="6" t="n">
        <v>300000</v>
      </c>
      <c r="F148" s="6" t="n"/>
      <c r="G148" t="inlineStr">
        <is>
          <t>Concrete</t>
        </is>
      </c>
      <c r="H148" s="6" t="n">
        <v>1</v>
      </c>
      <c r="I148" s="6" t="n">
        <v>1</v>
      </c>
      <c r="J148" s="6" t="n">
        <v>1</v>
      </c>
      <c r="K148" s="6" t="n"/>
      <c r="X148" s="6" t="n">
        <v>3000</v>
      </c>
    </row>
    <row r="149">
      <c r="A149" t="inlineStr">
        <is>
          <t>tiberiansun</t>
        </is>
      </c>
      <c r="B149" t="inlineStr">
        <is>
          <t>ts_gdi_upgradecenter</t>
        </is>
      </c>
      <c r="C149" t="inlineStr">
        <is>
          <t>Upgrade Center</t>
        </is>
      </c>
      <c r="D149" s="6" t="inlineStr">
        <is>
          <t>Building</t>
        </is>
      </c>
      <c r="E149" s="6" t="n">
        <v>1000000</v>
      </c>
      <c r="F149" s="6" t="n"/>
      <c r="G149" t="inlineStr">
        <is>
          <t>Concrete</t>
        </is>
      </c>
      <c r="H149" s="6" t="n">
        <v>0.7674</v>
      </c>
      <c r="I149" s="6" t="n">
        <v>1</v>
      </c>
      <c r="J149" s="6" t="n">
        <v>1</v>
      </c>
      <c r="K149" s="6" t="n"/>
      <c r="X149" s="6" t="n">
        <v>10000</v>
      </c>
    </row>
    <row r="150">
      <c r="A150" t="inlineStr">
        <is>
          <t>tiberiansun</t>
        </is>
      </c>
      <c r="B150" t="inlineStr">
        <is>
          <t>ts_gdi_warfactory</t>
        </is>
      </c>
      <c r="C150" t="inlineStr">
        <is>
          <t>GDI War Factory</t>
        </is>
      </c>
      <c r="D150" s="6" t="inlineStr">
        <is>
          <t>Building</t>
        </is>
      </c>
      <c r="E150" s="6" t="n">
        <v>400000</v>
      </c>
      <c r="F150" s="6" t="n"/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K150" s="6" t="n"/>
      <c r="X150" s="6" t="n">
        <v>2000</v>
      </c>
    </row>
    <row r="151">
      <c r="A151" s="4" t="inlineStr">
        <is>
          <t>UPGRADES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t="inlineStr">
        <is>
          <t>tiberiansun</t>
        </is>
      </c>
      <c r="B152" t="inlineStr">
        <is>
          <t>ts_gdi_upgrade_ceramicarmor</t>
        </is>
      </c>
      <c r="C152" t="inlineStr">
        <is>
          <t>Ceramic Armor</t>
        </is>
      </c>
      <c r="D152" s="6" t="inlineStr">
        <is>
          <t>ResearchedUpgrade</t>
        </is>
      </c>
      <c r="E152" s="6" t="n"/>
      <c r="F152" s="6" t="n"/>
      <c r="H152" s="6" t="n">
        <v>0.7674</v>
      </c>
      <c r="I152" s="6" t="n">
        <v>1</v>
      </c>
      <c r="J152" s="6" t="n">
        <v>1</v>
      </c>
      <c r="K152" s="6" t="n"/>
      <c r="X152" s="6" t="n">
        <v>7500</v>
      </c>
    </row>
    <row r="153">
      <c r="A153" t="inlineStr">
        <is>
          <t>tiberiansun</t>
        </is>
      </c>
      <c r="B153" t="inlineStr">
        <is>
          <t>ts_gdi_upgrade_fieldmaintenance</t>
        </is>
      </c>
      <c r="C153" t="inlineStr">
        <is>
          <t>Field Maintenance</t>
        </is>
      </c>
      <c r="D153" s="6" t="inlineStr">
        <is>
          <t>ResearchedUpgrade</t>
        </is>
      </c>
      <c r="E153" s="6" t="n"/>
      <c r="F153" s="6" t="n"/>
      <c r="H153" s="6" t="n">
        <v>1</v>
      </c>
      <c r="I153" s="6" t="n">
        <v>1</v>
      </c>
      <c r="J153" s="6" t="n">
        <v>1</v>
      </c>
      <c r="K153" s="6" t="n"/>
      <c r="X153" s="6" t="n">
        <v>5000</v>
      </c>
    </row>
    <row r="154">
      <c r="A154" t="inlineStr">
        <is>
          <t>tiberiansun</t>
        </is>
      </c>
      <c r="B154" t="inlineStr">
        <is>
          <t>ts_gdi_upgrade_mechengineering</t>
        </is>
      </c>
      <c r="C154" t="inlineStr">
        <is>
          <t>Mech Engineering</t>
        </is>
      </c>
      <c r="D154" s="6" t="inlineStr">
        <is>
          <t>ResearchedUpgrade</t>
        </is>
      </c>
      <c r="E154" s="6" t="n"/>
      <c r="F154" s="6" t="n"/>
      <c r="H154" s="6" t="n">
        <v>0.7674</v>
      </c>
      <c r="I154" s="6" t="n">
        <v>1</v>
      </c>
      <c r="J154" s="6" t="n">
        <v>1</v>
      </c>
      <c r="K154" s="6" t="n"/>
      <c r="X154" s="6" t="n">
        <v>7500</v>
      </c>
    </row>
    <row r="155">
      <c r="A155" t="inlineStr">
        <is>
          <t>tiberiansun</t>
        </is>
      </c>
      <c r="B155" t="inlineStr">
        <is>
          <t>ts_gdi_upgrade_modernfirecontrolsystems</t>
        </is>
      </c>
      <c r="C155" t="inlineStr">
        <is>
          <t>Modern Fire Control Systems</t>
        </is>
      </c>
      <c r="D155" s="6" t="inlineStr">
        <is>
          <t>ResearchedUpgrade</t>
        </is>
      </c>
      <c r="E155" s="6" t="n"/>
      <c r="F155" s="6" t="n"/>
      <c r="H155" s="6" t="n">
        <v>0.7674</v>
      </c>
      <c r="I155" s="6" t="n">
        <v>1</v>
      </c>
      <c r="J155" s="6" t="n">
        <v>1</v>
      </c>
      <c r="K155" s="6" t="n"/>
      <c r="X155" s="6" t="n">
        <v>12500</v>
      </c>
    </row>
    <row r="156">
      <c r="A156" t="inlineStr">
        <is>
          <t>tiberiansun</t>
        </is>
      </c>
      <c r="B156" t="inlineStr">
        <is>
          <t>ts_gdi_upgrade_modernfirecontrolsystems_proxy_actor</t>
        </is>
      </c>
      <c r="C156" t="inlineStr">
        <is>
          <t>Modern Fire Control Systems</t>
        </is>
      </c>
      <c r="D156" s="6" t="inlineStr">
        <is>
          <t>ResearchedUpgrade</t>
        </is>
      </c>
      <c r="E156" s="6" t="n"/>
      <c r="F156" s="6" t="n"/>
      <c r="H156" s="6" t="n">
        <v>1</v>
      </c>
      <c r="I156" s="6" t="n">
        <v>1</v>
      </c>
      <c r="J156" s="6" t="n">
        <v>1</v>
      </c>
      <c r="K156" s="6" t="n"/>
      <c r="X156" s="6" t="n"/>
    </row>
    <row r="157">
      <c r="A157" t="inlineStr">
        <is>
          <t>tiberiansun</t>
        </is>
      </c>
      <c r="B157" t="inlineStr">
        <is>
          <t>ts_gdi_upgrade_projectileimprovements</t>
        </is>
      </c>
      <c r="C157" t="inlineStr">
        <is>
          <t>Projectile Improvements</t>
        </is>
      </c>
      <c r="D157" s="6" t="inlineStr">
        <is>
          <t>ResearchedUpgrade</t>
        </is>
      </c>
      <c r="E157" s="6" t="n"/>
      <c r="F157" s="6" t="n"/>
      <c r="H157" s="6" t="n">
        <v>1</v>
      </c>
      <c r="I157" s="6" t="n">
        <v>1</v>
      </c>
      <c r="J157" s="6" t="n">
        <v>1</v>
      </c>
      <c r="K157" s="6" t="n"/>
      <c r="X157" s="6" t="n">
        <v>5000</v>
      </c>
    </row>
    <row r="158">
      <c r="A158" t="inlineStr">
        <is>
          <t>tiberiansun</t>
        </is>
      </c>
      <c r="B158" t="inlineStr">
        <is>
          <t>ts_gdi_upgrade_railgunweaponry</t>
        </is>
      </c>
      <c r="C158" t="inlineStr">
        <is>
          <t>Railgun Weaponry</t>
        </is>
      </c>
      <c r="D158" s="6" t="inlineStr">
        <is>
          <t>ResearchedUpgrade</t>
        </is>
      </c>
      <c r="E158" s="6" t="n"/>
      <c r="F158" s="6" t="n"/>
      <c r="H158" s="6" t="n">
        <v>0.7674</v>
      </c>
      <c r="I158" s="6" t="n">
        <v>1</v>
      </c>
      <c r="J158" s="6" t="n">
        <v>1</v>
      </c>
      <c r="K158" s="6" t="n"/>
      <c r="X158" s="6" t="n">
        <v>10000</v>
      </c>
    </row>
    <row r="159">
      <c r="A159" t="inlineStr">
        <is>
          <t>tiberiansun</t>
        </is>
      </c>
      <c r="B159" t="inlineStr">
        <is>
          <t>ts_gdi_upgrade_seretraining</t>
        </is>
      </c>
      <c r="C159" t="inlineStr">
        <is>
          <t>SERE Training</t>
        </is>
      </c>
      <c r="D159" s="6" t="inlineStr">
        <is>
          <t>ResearchedUpgrade</t>
        </is>
      </c>
      <c r="E159" s="6" t="n"/>
      <c r="F159" s="6" t="n"/>
      <c r="H159" s="6" t="n">
        <v>1</v>
      </c>
      <c r="I159" s="6" t="n">
        <v>1</v>
      </c>
      <c r="J159" s="6" t="n">
        <v>1</v>
      </c>
      <c r="K159" s="6" t="n"/>
      <c r="X159" s="6" t="n">
        <v>5000</v>
      </c>
    </row>
    <row r="160">
      <c r="A160" t="inlineStr">
        <is>
          <t>tiberiansun</t>
        </is>
      </c>
      <c r="B160" t="inlineStr">
        <is>
          <t>ts_gdi_upgrade_sonicweaponry</t>
        </is>
      </c>
      <c r="C160" t="inlineStr">
        <is>
          <t>Sonic Weaponry</t>
        </is>
      </c>
      <c r="D160" s="6" t="inlineStr">
        <is>
          <t>ResearchedUpgrade</t>
        </is>
      </c>
      <c r="E160" s="6" t="n"/>
      <c r="F160" s="6" t="n"/>
      <c r="H160" s="6" t="n">
        <v>0.7674</v>
      </c>
      <c r="I160" s="6" t="n">
        <v>1</v>
      </c>
      <c r="J160" s="6" t="n">
        <v>1</v>
      </c>
      <c r="K160" s="6" t="n"/>
      <c r="X160" s="6" t="n">
        <v>7500</v>
      </c>
    </row>
    <row r="161">
      <c r="A161" s="4" t="inlineStr">
        <is>
          <t>PROMOTIONS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t="inlineStr">
        <is>
          <t>tiberiansun</t>
        </is>
      </c>
      <c r="B162" t="inlineStr">
        <is>
          <t>ts_gdi_promotion_hammerhead</t>
        </is>
      </c>
      <c r="C162" t="inlineStr">
        <is>
          <t>Unlock Hammerhead</t>
        </is>
      </c>
      <c r="D162" s="6" t="inlineStr">
        <is>
          <t>PromotionUpgrade</t>
        </is>
      </c>
      <c r="E162" s="6" t="n"/>
      <c r="F162" s="6" t="n"/>
      <c r="H162" s="6" t="n">
        <v>1</v>
      </c>
      <c r="I162" s="6" t="n">
        <v>1</v>
      </c>
      <c r="J162" s="6" t="n">
        <v>1</v>
      </c>
      <c r="K162" s="6" t="n"/>
      <c r="X162" s="6" t="n"/>
    </row>
    <row r="163">
      <c r="A163" t="inlineStr">
        <is>
          <t>tiberiansun</t>
        </is>
      </c>
      <c r="B163" t="inlineStr">
        <is>
          <t>ts_gdi_promotion_juggernautmkii</t>
        </is>
      </c>
      <c r="C163" t="inlineStr">
        <is>
          <t>Unlock Juggernaut MKII</t>
        </is>
      </c>
      <c r="D163" s="6" t="inlineStr">
        <is>
          <t>PromotionUpgrade</t>
        </is>
      </c>
      <c r="E163" s="6" t="n"/>
      <c r="F163" s="6" t="n"/>
      <c r="H163" s="6" t="n">
        <v>1</v>
      </c>
      <c r="I163" s="6" t="n">
        <v>1</v>
      </c>
      <c r="J163" s="6" t="n">
        <v>1</v>
      </c>
      <c r="K163" s="6" t="n"/>
      <c r="X163" s="6" t="n"/>
    </row>
    <row r="164">
      <c r="A164" t="inlineStr">
        <is>
          <t>tiberiansun</t>
        </is>
      </c>
      <c r="B164" t="inlineStr">
        <is>
          <t>ts_gdi_promotion_kodiak</t>
        </is>
      </c>
      <c r="C164" t="inlineStr">
        <is>
          <t>Unlock Kodiak</t>
        </is>
      </c>
      <c r="D164" s="6" t="inlineStr">
        <is>
          <t>PromotionUpgrade</t>
        </is>
      </c>
      <c r="E164" s="6" t="n"/>
      <c r="F164" s="6" t="n"/>
      <c r="H164" s="6" t="n">
        <v>1</v>
      </c>
      <c r="I164" s="6" t="n">
        <v>1</v>
      </c>
      <c r="J164" s="6" t="n">
        <v>1</v>
      </c>
      <c r="K164" s="6" t="n"/>
      <c r="X164" s="6" t="n"/>
    </row>
    <row r="165">
      <c r="A165" t="inlineStr">
        <is>
          <t>tiberiansun</t>
        </is>
      </c>
      <c r="B165" t="inlineStr">
        <is>
          <t>ts_gdi_promotion_mammothmkii</t>
        </is>
      </c>
      <c r="C165" t="inlineStr">
        <is>
          <t>Unlock Mammoth MKII</t>
        </is>
      </c>
      <c r="D165" s="6" t="inlineStr">
        <is>
          <t>PromotionUpgrade</t>
        </is>
      </c>
      <c r="E165" s="6" t="n"/>
      <c r="F165" s="6" t="n"/>
      <c r="H165" s="6" t="n">
        <v>1</v>
      </c>
      <c r="I165" s="6" t="n">
        <v>1</v>
      </c>
      <c r="J165" s="6" t="n">
        <v>1</v>
      </c>
      <c r="K165" s="6" t="n"/>
      <c r="X165" s="6" t="n"/>
    </row>
    <row r="166">
      <c r="A166" t="inlineStr">
        <is>
          <t>tiberiansun</t>
        </is>
      </c>
      <c r="B166" t="inlineStr">
        <is>
          <t>ts_gdi_promotion_titanmkii</t>
        </is>
      </c>
      <c r="C166" t="inlineStr">
        <is>
          <t>Unlock Titan MKII</t>
        </is>
      </c>
      <c r="D166" s="6" t="inlineStr">
        <is>
          <t>PromotionUpgrade</t>
        </is>
      </c>
      <c r="E166" s="6" t="n"/>
      <c r="F166" s="6" t="n"/>
      <c r="H166" s="6" t="n">
        <v>1</v>
      </c>
      <c r="I166" s="6" t="n">
        <v>1</v>
      </c>
      <c r="J166" s="6" t="n">
        <v>1</v>
      </c>
      <c r="K166" s="6" t="n"/>
      <c r="X166" s="6" t="n"/>
    </row>
    <row r="167">
      <c r="A167" t="inlineStr">
        <is>
          <t>tiberiansun</t>
        </is>
      </c>
      <c r="B167" t="inlineStr">
        <is>
          <t>ts_gdi_promotion_wolverinemkii</t>
        </is>
      </c>
      <c r="C167" t="inlineStr">
        <is>
          <t>Unlock Wolverine MKII</t>
        </is>
      </c>
      <c r="D167" s="6" t="inlineStr">
        <is>
          <t>PromotionUpgrade</t>
        </is>
      </c>
      <c r="E167" s="6" t="n"/>
      <c r="F167" s="6" t="n"/>
      <c r="H167" s="6" t="n">
        <v>1</v>
      </c>
      <c r="I167" s="6" t="n">
        <v>1</v>
      </c>
      <c r="J167" s="6" t="n">
        <v>1</v>
      </c>
      <c r="K167" s="6" t="n"/>
      <c r="X167" s="6" t="n"/>
    </row>
    <row r="168">
      <c r="A168" t="inlineStr">
        <is>
          <t>tiberiansun</t>
        </is>
      </c>
      <c r="B168" t="inlineStr">
        <is>
          <t>ts_gdi_promotion_zoneorca</t>
        </is>
      </c>
      <c r="C168" t="inlineStr">
        <is>
          <t>Unlock Zone Orca</t>
        </is>
      </c>
      <c r="D168" s="6" t="inlineStr">
        <is>
          <t>PromotionUpgrade</t>
        </is>
      </c>
      <c r="E168" s="6" t="n"/>
      <c r="F168" s="6" t="n"/>
      <c r="H168" s="6" t="n">
        <v>1</v>
      </c>
      <c r="I168" s="6" t="n">
        <v>1</v>
      </c>
      <c r="J168" s="6" t="n">
        <v>1</v>
      </c>
      <c r="K168" s="6" t="n"/>
      <c r="X168" s="6" t="n"/>
    </row>
    <row r="169">
      <c r="A169" t="inlineStr">
        <is>
          <t>tiberiansun</t>
        </is>
      </c>
      <c r="B169" t="inlineStr">
        <is>
          <t>ts_gdi_promotion_zonetrooper</t>
        </is>
      </c>
      <c r="C169" t="inlineStr">
        <is>
          <t>Unlock Zone Trooper</t>
        </is>
      </c>
      <c r="D169" s="6" t="inlineStr">
        <is>
          <t>PromotionUpgrade</t>
        </is>
      </c>
      <c r="E169" s="6" t="n"/>
      <c r="F169" s="6" t="n"/>
      <c r="H169" s="6" t="n">
        <v>1</v>
      </c>
      <c r="I169" s="6" t="n">
        <v>1</v>
      </c>
      <c r="J169" s="6" t="n">
        <v>1</v>
      </c>
      <c r="K169" s="6" t="n"/>
      <c r="X169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tiberiansun</t>
        </is>
      </c>
      <c r="B3" t="inlineStr">
        <is>
          <t>forgotten_chemsprayinfantry</t>
        </is>
      </c>
      <c r="C3" t="inlineStr">
        <is>
          <t>actor_forgotten_chemsprayinfantry.name</t>
        </is>
      </c>
      <c r="D3" s="6" t="inlineStr">
        <is>
          <t>MeleeInfantry</t>
        </is>
      </c>
      <c r="E3" s="6" t="n">
        <v>64000</v>
      </c>
      <c r="F3" s="6" t="n">
        <v>55</v>
      </c>
      <c r="G3" t="inlineStr">
        <is>
          <t>Plate</t>
        </is>
      </c>
      <c r="H3" s="6" t="n">
        <v>0.8376</v>
      </c>
      <c r="I3" s="6" t="n">
        <v>1</v>
      </c>
      <c r="J3" s="6" t="n">
        <v>1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700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TSChemspray</t>
        </is>
      </c>
      <c r="C4" s="7" t="inlineStr">
        <is>
          <t>Armament@PRIMARY</t>
        </is>
      </c>
      <c r="L4" s="6" t="n">
        <v>32000</v>
      </c>
      <c r="M4" s="6" t="n">
        <v>55</v>
      </c>
      <c r="N4" s="6" t="n">
        <v>1</v>
      </c>
      <c r="O4" s="6" t="n"/>
      <c r="P4" s="6" t="n">
        <v>3183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^Warhead_Chemical_Light</t>
        </is>
      </c>
    </row>
    <row r="5">
      <c r="B5" s="7" t="inlineStr">
        <is>
          <t xml:space="preserve">  ↳ TSChemsprayUp</t>
        </is>
      </c>
      <c r="C5" s="7" t="inlineStr">
        <is>
          <t>Armament@UPGRADE</t>
        </is>
      </c>
      <c r="L5" s="6" t="n">
        <v>96000</v>
      </c>
      <c r="M5" s="6" t="n">
        <v>55</v>
      </c>
      <c r="N5" s="6" t="n">
        <v>1</v>
      </c>
      <c r="O5" s="6" t="n"/>
      <c r="P5" s="6" t="n">
        <v>3183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^LightChemicalWeapon, ^MediumChemicalWeapon, ^HeavyChemicalWeapon</t>
        </is>
      </c>
    </row>
    <row r="6">
      <c r="B6" s="7" t="inlineStr">
        <is>
          <t xml:space="preserve">  ↳ TSChemspray</t>
        </is>
      </c>
      <c r="C6" s="7" t="inlineStr">
        <is>
          <t>Armament@GARRISONED</t>
        </is>
      </c>
      <c r="L6" s="6" t="n">
        <v>32000</v>
      </c>
      <c r="M6" s="6" t="n">
        <v>55</v>
      </c>
      <c r="N6" s="6" t="n">
        <v>1</v>
      </c>
      <c r="O6" s="6" t="n"/>
      <c r="P6" s="6" t="n">
        <v>3183</v>
      </c>
      <c r="Q6" s="6" t="n">
        <v>0.75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^Warhead_Chemical_Light</t>
        </is>
      </c>
    </row>
    <row r="7">
      <c r="B7" s="7" t="inlineStr">
        <is>
          <t xml:space="preserve">  ↳ TSChemsprayUP</t>
        </is>
      </c>
      <c r="C7" s="7" t="inlineStr">
        <is>
          <t>Armament@GARRISONEDUPGRADE</t>
        </is>
      </c>
      <c r="L7" s="6" t="n">
        <v>96000</v>
      </c>
      <c r="M7" s="6" t="n">
        <v>55</v>
      </c>
      <c r="N7" s="6" t="n">
        <v>1</v>
      </c>
      <c r="O7" s="6" t="n"/>
      <c r="P7" s="6" t="n">
        <v>3183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^LightChemicalWeapon, ^MediumChemicalWeapon, ^HeavyChemicalWeapon</t>
        </is>
      </c>
    </row>
    <row r="8">
      <c r="A8" t="inlineStr">
        <is>
          <t>tiberiansun</t>
        </is>
      </c>
      <c r="B8" t="inlineStr">
        <is>
          <t>forgotten_engineer</t>
        </is>
      </c>
      <c r="C8" t="inlineStr">
        <is>
          <t>actor_forgotten_engineer.name</t>
        </is>
      </c>
      <c r="D8" s="6" t="inlineStr">
        <is>
          <t>SniperInfantry</t>
        </is>
      </c>
      <c r="E8" s="6" t="n">
        <v>10000</v>
      </c>
      <c r="F8" s="6" t="n">
        <v>55</v>
      </c>
      <c r="G8" t="inlineStr">
        <is>
          <t>Flak</t>
        </is>
      </c>
      <c r="H8" s="6" t="n">
        <v>1</v>
      </c>
      <c r="I8" s="6" t="n">
        <v>1</v>
      </c>
      <c r="J8" s="6" t="n">
        <v>1</v>
      </c>
      <c r="K8" s="6" t="n"/>
      <c r="P8">
        <f>MAX(P11)</f>
        <v/>
      </c>
      <c r="S8">
        <f>S11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(((E8/5000)+(F8/50)+(S8/0)+((P8/0)*J8))*500/4+(((E8/5000)*(F8/50))+(((P8/0)*J8)*(S8/0)))*500/2+((E8/5000)*(F8/50)*((P8/0)*J8)*(S8/0))*500)*(H8/1.0)/3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IFERROR(ROUND(((3*X8-(((E8/5000)+(F8/50)+(S8/0))*500/4+((E8/5000)*(F8/50))*500/2)*(H8/1.0))/(500/4+((S8/0))*500/2+((E8/5000)*(F8/50)*(S8/0))*500)*(H8/1.0)*0)/J8,-1),"")</f>
        <v/>
      </c>
    </row>
    <row r="9">
      <c r="B9" s="7" t="inlineStr">
        <is>
          <t xml:space="preserve">  ↳ DefuseKit</t>
        </is>
      </c>
      <c r="C9" s="7" t="inlineStr">
        <is>
          <t>Armament@defuse</t>
        </is>
      </c>
      <c r="L9" s="6" t="n"/>
      <c r="M9" s="6" t="n">
        <v>20</v>
      </c>
      <c r="N9" s="6" t="n">
        <v>1</v>
      </c>
      <c r="O9" s="6" t="n"/>
      <c r="P9" s="6" t="n">
        <v>1536</v>
      </c>
      <c r="Q9" s="6" t="n">
        <v>1</v>
      </c>
      <c r="R9">
        <f>M9+IF(N9&gt;1,N(O9)*(N9-1),0)</f>
        <v/>
      </c>
      <c r="S9">
        <f>IFERROR(L9*MAX(N9,1)/R9*IF(ISBLANK(K8),1,K8),0)</f>
        <v/>
      </c>
      <c r="AB9" s="7" t="inlineStr">
        <is>
          <t>^RemovesIvanBombs, ^RemovesTerrorDrone</t>
        </is>
      </c>
    </row>
    <row r="10">
      <c r="B10" s="7" t="inlineStr">
        <is>
          <t xml:space="preserve">  ↳ LeechDisinfect</t>
        </is>
      </c>
      <c r="C10" s="7" t="inlineStr">
        <is>
          <t>Armament@leechdisinfect</t>
        </is>
      </c>
      <c r="L10" s="6" t="n"/>
      <c r="M10" s="6" t="n">
        <v>100</v>
      </c>
      <c r="N10" s="6" t="n">
        <v>1</v>
      </c>
      <c r="O10" s="6" t="n"/>
      <c r="P10" s="6" t="n">
        <v>1536</v>
      </c>
      <c r="Q10" s="6" t="n">
        <v>1</v>
      </c>
      <c r="R10">
        <f>M10+IF(N10&gt;1,N(O10)*(N10-1),0)</f>
        <v/>
      </c>
      <c r="S10">
        <f>IFERROR(L10*MAX(N10,1)/R10*IF(ISBLANK(K8),1,K8),0)</f>
        <v/>
      </c>
      <c r="AB10" s="7" t="inlineStr"/>
    </row>
    <row r="11">
      <c r="B11" s="7" t="inlineStr">
        <is>
          <t xml:space="preserve">  ↳ TSEngineerPistol</t>
        </is>
      </c>
      <c r="C11" s="7" t="inlineStr">
        <is>
          <t>Armament@PRIMARY</t>
        </is>
      </c>
      <c r="L11" s="6" t="n">
        <v>20000</v>
      </c>
      <c r="M11" s="6" t="n">
        <v>25</v>
      </c>
      <c r="N11" s="6" t="n">
        <v>1</v>
      </c>
      <c r="O11" s="6" t="n"/>
      <c r="P11" s="6" t="n">
        <v>4303</v>
      </c>
      <c r="Q11" s="6" t="n">
        <v>0.75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^Warhead_Sniper_Light</t>
        </is>
      </c>
    </row>
    <row r="12">
      <c r="B12" s="7" t="inlineStr">
        <is>
          <t xml:space="preserve">  ↳ TSEngineerPistol</t>
        </is>
      </c>
      <c r="C12" s="7" t="inlineStr">
        <is>
          <t>Armament@GARRISONED</t>
        </is>
      </c>
      <c r="L12" s="6" t="n">
        <v>20000</v>
      </c>
      <c r="M12" s="6" t="n">
        <v>25</v>
      </c>
      <c r="N12" s="6" t="n">
        <v>1</v>
      </c>
      <c r="O12" s="6" t="n"/>
      <c r="P12" s="6" t="n">
        <v>4303</v>
      </c>
      <c r="Q12" s="6" t="n">
        <v>0.75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^Warhead_Sniper_Light</t>
        </is>
      </c>
    </row>
    <row r="13">
      <c r="A13" t="inlineStr">
        <is>
          <t>tiberiansun</t>
        </is>
      </c>
      <c r="B13" t="inlineStr">
        <is>
          <t>forgotten_ghoststalker</t>
        </is>
      </c>
      <c r="C13" t="inlineStr">
        <is>
          <t>actor_forgotten_ghoststalker.name</t>
        </is>
      </c>
      <c r="D13" s="6" t="inlineStr">
        <is>
          <t>HeroInfantry</t>
        </is>
      </c>
      <c r="E13" s="6" t="n">
        <v>100000</v>
      </c>
      <c r="F13" s="6" t="n">
        <v>62</v>
      </c>
      <c r="G13" t="inlineStr">
        <is>
          <t>Heroic</t>
        </is>
      </c>
      <c r="H13" s="6" t="n">
        <v>0.8376</v>
      </c>
      <c r="I13" s="6" t="n">
        <v>1</v>
      </c>
      <c r="J13" s="6" t="n">
        <v>1</v>
      </c>
      <c r="K13" s="6" t="n"/>
      <c r="P13">
        <f>MAX(P14,P15)</f>
        <v/>
      </c>
      <c r="S13">
        <f>S14+S15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4000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TSGhostGun</t>
        </is>
      </c>
      <c r="C14" s="7" t="inlineStr">
        <is>
          <t>Armament@PRIMARY</t>
        </is>
      </c>
      <c r="L14" s="6" t="n">
        <v>20000</v>
      </c>
      <c r="M14" s="6" t="n">
        <v>25</v>
      </c>
      <c r="N14" s="6" t="n">
        <v>1</v>
      </c>
      <c r="O14" s="6" t="n"/>
      <c r="P14" s="6" t="n">
        <v>9557</v>
      </c>
      <c r="Q14" s="6" t="n">
        <v>0.75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^Warhead_Chemical_Light</t>
        </is>
      </c>
    </row>
    <row r="15">
      <c r="B15" s="7" t="inlineStr">
        <is>
          <t xml:space="preserve">  ↳ TSChemGhostGun</t>
        </is>
      </c>
      <c r="C15" s="7" t="inlineStr">
        <is>
          <t>Armament@UPGRADE</t>
        </is>
      </c>
      <c r="L15" s="6" t="n">
        <v>20000</v>
      </c>
      <c r="M15" s="6" t="n">
        <v>25</v>
      </c>
      <c r="N15" s="6" t="n">
        <v>1</v>
      </c>
      <c r="O15" s="6" t="n"/>
      <c r="P15" s="6" t="n">
        <v>9557</v>
      </c>
      <c r="Q15" s="6" t="n">
        <v>0.75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^Warhead_Chemical_Light</t>
        </is>
      </c>
    </row>
    <row r="16">
      <c r="B16" s="7" t="inlineStr">
        <is>
          <t xml:space="preserve">  ↳ GenericC4</t>
        </is>
      </c>
      <c r="C16" s="7" t="inlineStr">
        <is>
          <t>Armament@c4</t>
        </is>
      </c>
      <c r="L16" s="6" t="n"/>
      <c r="M16" s="6" t="n">
        <v>20</v>
      </c>
      <c r="N16" s="6" t="n">
        <v>1</v>
      </c>
      <c r="O16" s="6" t="n"/>
      <c r="P16" s="6" t="n">
        <v>2000</v>
      </c>
      <c r="Q16" s="6" t="n">
        <v>1</v>
      </c>
      <c r="R16">
        <f>M16+IF(N16&gt;1,N(O16)*(N16-1),0)</f>
        <v/>
      </c>
      <c r="S16">
        <f>IFERROR(L16*MAX(N16,1)/R16*IF(ISBLANK(K13),1,K13),0)</f>
        <v/>
      </c>
      <c r="AB16" s="7" t="inlineStr"/>
    </row>
    <row r="17">
      <c r="B17" s="7" t="inlineStr">
        <is>
          <t xml:space="preserve">  ↳ TSGhostGun</t>
        </is>
      </c>
      <c r="C17" s="7" t="inlineStr">
        <is>
          <t>Armament@GARRISONED</t>
        </is>
      </c>
      <c r="L17" s="6" t="n">
        <v>20000</v>
      </c>
      <c r="M17" s="6" t="n">
        <v>25</v>
      </c>
      <c r="N17" s="6" t="n">
        <v>1</v>
      </c>
      <c r="O17" s="6" t="n"/>
      <c r="P17" s="6" t="n">
        <v>9557</v>
      </c>
      <c r="Q17" s="6" t="n">
        <v>0.75</v>
      </c>
      <c r="R17">
        <f>M17+IF(N17&gt;1,N(O17)*(N17-1),0)</f>
        <v/>
      </c>
      <c r="S17">
        <f>IFERROR(L17*MAX(N17,1)/R17*IF(ISBLANK(K13),1,K13),0)</f>
        <v/>
      </c>
      <c r="AB17" s="7" t="inlineStr">
        <is>
          <t>^Warhead_Chemical_Light</t>
        </is>
      </c>
    </row>
    <row r="18">
      <c r="B18" s="7" t="inlineStr">
        <is>
          <t xml:space="preserve">  ↳ TSChemGhostGun</t>
        </is>
      </c>
      <c r="C18" s="7" t="inlineStr">
        <is>
          <t>Armament@UPGRADEGARRISONED</t>
        </is>
      </c>
      <c r="L18" s="6" t="n">
        <v>20000</v>
      </c>
      <c r="M18" s="6" t="n">
        <v>25</v>
      </c>
      <c r="N18" s="6" t="n">
        <v>1</v>
      </c>
      <c r="O18" s="6" t="n"/>
      <c r="P18" s="6" t="n">
        <v>9557</v>
      </c>
      <c r="Q18" s="6" t="n">
        <v>0.75</v>
      </c>
      <c r="R18">
        <f>M18+IF(N18&gt;1,N(O18)*(N18-1),0)</f>
        <v/>
      </c>
      <c r="S18">
        <f>IFERROR(L18*MAX(N18,1)/R18*IF(ISBLANK(K13),1,K13),0)</f>
        <v/>
      </c>
      <c r="AB18" s="7" t="inlineStr">
        <is>
          <t>^Warhead_Chemical_Light</t>
        </is>
      </c>
    </row>
    <row r="19">
      <c r="A19" t="inlineStr">
        <is>
          <t>tiberiansun</t>
        </is>
      </c>
      <c r="B19" t="inlineStr">
        <is>
          <t>forgotten_ghoststalker_r4</t>
        </is>
      </c>
      <c r="C19" t="inlineStr">
        <is>
          <t>actor_forgotten_ghoststalker.name</t>
        </is>
      </c>
      <c r="D19" s="6" t="inlineStr">
        <is>
          <t>HeroInfantry</t>
        </is>
      </c>
      <c r="E19" s="6" t="n">
        <v>100000</v>
      </c>
      <c r="F19" s="6" t="n">
        <v>62</v>
      </c>
      <c r="G19" t="inlineStr">
        <is>
          <t>Heroic</t>
        </is>
      </c>
      <c r="H19" s="6" t="n">
        <v>1</v>
      </c>
      <c r="I19" s="6" t="n">
        <v>1</v>
      </c>
      <c r="J19" s="6" t="n">
        <v>1</v>
      </c>
      <c r="K19" s="6" t="n"/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4000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TSGhostGun</t>
        </is>
      </c>
      <c r="C20" s="7" t="inlineStr">
        <is>
          <t>Armament@PRIMARY</t>
        </is>
      </c>
      <c r="L20" s="6" t="n">
        <v>20000</v>
      </c>
      <c r="M20" s="6" t="n">
        <v>25</v>
      </c>
      <c r="N20" s="6" t="n">
        <v>1</v>
      </c>
      <c r="O20" s="6" t="n"/>
      <c r="P20" s="6" t="n">
        <v>9557</v>
      </c>
      <c r="Q20" s="6" t="n">
        <v>0.75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^Warhead_Chemical_Light</t>
        </is>
      </c>
    </row>
    <row r="21">
      <c r="B21" s="7" t="inlineStr">
        <is>
          <t xml:space="preserve">  ↳ TSChemGhostGun</t>
        </is>
      </c>
      <c r="C21" s="7" t="inlineStr">
        <is>
          <t>Armament@UPGRADE</t>
        </is>
      </c>
      <c r="L21" s="6" t="n">
        <v>20000</v>
      </c>
      <c r="M21" s="6" t="n">
        <v>25</v>
      </c>
      <c r="N21" s="6" t="n">
        <v>1</v>
      </c>
      <c r="O21" s="6" t="n"/>
      <c r="P21" s="6" t="n">
        <v>9557</v>
      </c>
      <c r="Q21" s="6" t="n">
        <v>0.75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^Warhead_Chemical_Light</t>
        </is>
      </c>
    </row>
    <row r="22">
      <c r="B22" s="7" t="inlineStr">
        <is>
          <t xml:space="preserve">  ↳ GenericC4</t>
        </is>
      </c>
      <c r="C22" s="7" t="inlineStr">
        <is>
          <t>Armament@c4</t>
        </is>
      </c>
      <c r="L22" s="6" t="n"/>
      <c r="M22" s="6" t="n">
        <v>20</v>
      </c>
      <c r="N22" s="6" t="n">
        <v>1</v>
      </c>
      <c r="O22" s="6" t="n"/>
      <c r="P22" s="6" t="n">
        <v>2000</v>
      </c>
      <c r="Q22" s="6" t="n">
        <v>1</v>
      </c>
      <c r="R22">
        <f>M22+IF(N22&gt;1,N(O22)*(N22-1),0)</f>
        <v/>
      </c>
      <c r="S22">
        <f>IFERROR(L22*MAX(N22,1)/R22*IF(ISBLANK(K19),1,K19),0)</f>
        <v/>
      </c>
      <c r="AB22" s="7" t="inlineStr"/>
    </row>
    <row r="23">
      <c r="B23" s="7" t="inlineStr">
        <is>
          <t xml:space="preserve">  ↳ TSGhostGun</t>
        </is>
      </c>
      <c r="C23" s="7" t="inlineStr">
        <is>
          <t>Armament@GARRISONED</t>
        </is>
      </c>
      <c r="L23" s="6" t="n">
        <v>20000</v>
      </c>
      <c r="M23" s="6" t="n">
        <v>25</v>
      </c>
      <c r="N23" s="6" t="n">
        <v>1</v>
      </c>
      <c r="O23" s="6" t="n"/>
      <c r="P23" s="6" t="n">
        <v>9557</v>
      </c>
      <c r="Q23" s="6" t="n">
        <v>0.75</v>
      </c>
      <c r="R23">
        <f>M23+IF(N23&gt;1,N(O23)*(N23-1),0)</f>
        <v/>
      </c>
      <c r="S23">
        <f>IFERROR(L23*MAX(N23,1)/R23*IF(ISBLANK(K19),1,K19),0)</f>
        <v/>
      </c>
      <c r="AB23" s="7" t="inlineStr">
        <is>
          <t>^Warhead_Chemical_Light</t>
        </is>
      </c>
    </row>
    <row r="24">
      <c r="B24" s="7" t="inlineStr">
        <is>
          <t xml:space="preserve">  ↳ TSChemGhostGun</t>
        </is>
      </c>
      <c r="C24" s="7" t="inlineStr">
        <is>
          <t>Armament@UPGRADEGARRISONED</t>
        </is>
      </c>
      <c r="L24" s="6" t="n">
        <v>20000</v>
      </c>
      <c r="M24" s="6" t="n">
        <v>25</v>
      </c>
      <c r="N24" s="6" t="n">
        <v>1</v>
      </c>
      <c r="O24" s="6" t="n"/>
      <c r="P24" s="6" t="n">
        <v>9557</v>
      </c>
      <c r="Q24" s="6" t="n">
        <v>0.75</v>
      </c>
      <c r="R24">
        <f>M24+IF(N24&gt;1,N(O24)*(N24-1),0)</f>
        <v/>
      </c>
      <c r="S24">
        <f>IFERROR(L24*MAX(N24,1)/R24*IF(ISBLANK(K19),1,K19),0)</f>
        <v/>
      </c>
      <c r="AB24" s="7" t="inlineStr">
        <is>
          <t>^Warhead_Chemical_Light</t>
        </is>
      </c>
    </row>
    <row r="25">
      <c r="A25" t="inlineStr">
        <is>
          <t>tiberiansun</t>
        </is>
      </c>
      <c r="B25" t="inlineStr">
        <is>
          <t>forgotten_ghoststalker_sp</t>
        </is>
      </c>
      <c r="C25" t="inlineStr">
        <is>
          <t>actor_forgotten_ghoststalker.name</t>
        </is>
      </c>
      <c r="D25" s="6" t="inlineStr">
        <is>
          <t>HeroInfantry</t>
        </is>
      </c>
      <c r="E25" s="6" t="n">
        <v>100000</v>
      </c>
      <c r="F25" s="6" t="n">
        <v>62</v>
      </c>
      <c r="G25" t="inlineStr">
        <is>
          <t>Heroic</t>
        </is>
      </c>
      <c r="H25" s="6" t="n">
        <v>1</v>
      </c>
      <c r="I25" s="6" t="n">
        <v>1</v>
      </c>
      <c r="J25" s="6" t="n">
        <v>1</v>
      </c>
      <c r="K25" s="6" t="n"/>
      <c r="P25">
        <f>MAX(P26,P27)</f>
        <v/>
      </c>
      <c r="S25">
        <f>S26+S27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4000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TSGhostGun</t>
        </is>
      </c>
      <c r="C26" s="7" t="inlineStr">
        <is>
          <t>Armament@PRIMARY</t>
        </is>
      </c>
      <c r="L26" s="6" t="n">
        <v>20000</v>
      </c>
      <c r="M26" s="6" t="n">
        <v>25</v>
      </c>
      <c r="N26" s="6" t="n">
        <v>1</v>
      </c>
      <c r="O26" s="6" t="n"/>
      <c r="P26" s="6" t="n">
        <v>9557</v>
      </c>
      <c r="Q26" s="6" t="n">
        <v>0.75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^Warhead_Chemical_Light</t>
        </is>
      </c>
    </row>
    <row r="27">
      <c r="B27" s="7" t="inlineStr">
        <is>
          <t xml:space="preserve">  ↳ TSChemGhostGun</t>
        </is>
      </c>
      <c r="C27" s="7" t="inlineStr">
        <is>
          <t>Armament@UPGRADE</t>
        </is>
      </c>
      <c r="L27" s="6" t="n">
        <v>20000</v>
      </c>
      <c r="M27" s="6" t="n">
        <v>25</v>
      </c>
      <c r="N27" s="6" t="n">
        <v>1</v>
      </c>
      <c r="O27" s="6" t="n"/>
      <c r="P27" s="6" t="n">
        <v>9557</v>
      </c>
      <c r="Q27" s="6" t="n">
        <v>0.75</v>
      </c>
      <c r="R27">
        <f>M27+IF(N27&gt;1,N(O27)*(N27-1),0)</f>
        <v/>
      </c>
      <c r="S27">
        <f>IFERROR(L27*MAX(N27,1)/R27*IF(ISBLANK(K25),1,K25),0)</f>
        <v/>
      </c>
      <c r="AB27" s="7" t="inlineStr">
        <is>
          <t>^Warhead_Chemical_Light</t>
        </is>
      </c>
    </row>
    <row r="28">
      <c r="B28" s="7" t="inlineStr">
        <is>
          <t xml:space="preserve">  ↳ TSGhostGun</t>
        </is>
      </c>
      <c r="C28" s="7" t="inlineStr">
        <is>
          <t>Armament@GARRISONED</t>
        </is>
      </c>
      <c r="L28" s="6" t="n">
        <v>20000</v>
      </c>
      <c r="M28" s="6" t="n">
        <v>25</v>
      </c>
      <c r="N28" s="6" t="n">
        <v>1</v>
      </c>
      <c r="O28" s="6" t="n"/>
      <c r="P28" s="6" t="n">
        <v>9557</v>
      </c>
      <c r="Q28" s="6" t="n">
        <v>0.75</v>
      </c>
      <c r="R28">
        <f>M28+IF(N28&gt;1,N(O28)*(N28-1),0)</f>
        <v/>
      </c>
      <c r="S28">
        <f>IFERROR(L28*MAX(N28,1)/R28*IF(ISBLANK(K25),1,K25),0)</f>
        <v/>
      </c>
      <c r="AB28" s="7" t="inlineStr">
        <is>
          <t>^Warhead_Chemical_Light</t>
        </is>
      </c>
    </row>
    <row r="29">
      <c r="B29" s="7" t="inlineStr">
        <is>
          <t xml:space="preserve">  ↳ TSChemGhostGun</t>
        </is>
      </c>
      <c r="C29" s="7" t="inlineStr">
        <is>
          <t>Armament@UPGRADEGARRISONED</t>
        </is>
      </c>
      <c r="L29" s="6" t="n">
        <v>20000</v>
      </c>
      <c r="M29" s="6" t="n">
        <v>25</v>
      </c>
      <c r="N29" s="6" t="n">
        <v>1</v>
      </c>
      <c r="O29" s="6" t="n"/>
      <c r="P29" s="6" t="n">
        <v>9557</v>
      </c>
      <c r="Q29" s="6" t="n">
        <v>0.75</v>
      </c>
      <c r="R29">
        <f>M29+IF(N29&gt;1,N(O29)*(N29-1),0)</f>
        <v/>
      </c>
      <c r="S29">
        <f>IFERROR(L29*MAX(N29,1)/R29*IF(ISBLANK(K25),1,K25),0)</f>
        <v/>
      </c>
      <c r="AB29" s="7" t="inlineStr">
        <is>
          <t>^Warhead_Chemical_Light</t>
        </is>
      </c>
    </row>
    <row r="30">
      <c r="A30" t="inlineStr">
        <is>
          <t>tiberiansun</t>
        </is>
      </c>
      <c r="B30" t="inlineStr">
        <is>
          <t>forgotten_mutant</t>
        </is>
      </c>
      <c r="C30" t="inlineStr">
        <is>
          <t>actor_forgotten_mutant.name</t>
        </is>
      </c>
      <c r="D30" s="6" t="inlineStr">
        <is>
          <t>ScoutInfantry</t>
        </is>
      </c>
      <c r="E30" s="6" t="n">
        <v>45000</v>
      </c>
      <c r="F30" s="6" t="n">
        <v>65</v>
      </c>
      <c r="G30" t="inlineStr">
        <is>
          <t>None</t>
        </is>
      </c>
      <c r="H30" s="6" t="n">
        <v>1</v>
      </c>
      <c r="I30" s="6" t="n">
        <v>1</v>
      </c>
      <c r="J30" s="6" t="n">
        <v>1</v>
      </c>
      <c r="K30" s="6" t="n">
        <v>0.003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(((E30/20000)+(F30/60)+(S30/60)+((P30/5000)*J30))*100/4+(((E30/20000)*(F30/60))+(((P30/5000)*J30)*(S30/60)))*100/2+((E30/20000)*(F30/60)*((P30/5000)*J30)*(S30/60))*100)*(H30/1.0)/3</f>
        <v/>
      </c>
      <c r="X30" s="6" t="n">
        <v>160</v>
      </c>
      <c r="Y30">
        <f>IFERROR(W30-X30,"")</f>
        <v/>
      </c>
      <c r="Z30">
        <f>IFERROR(ABS(Y30)/MAX(X30,1),"")</f>
        <v/>
      </c>
      <c r="AA30">
        <f>IFERROR(ROUND(((3*X30-(((E30/20000)+(F30/60)+(S30/60))*100/4+((E30/20000)*(F30/60))*100/2)*(H30/1.0))/(100/4+((S30/60))*100/2+((E30/20000)*(F30/60)*(S30/60))*100)*(H30/1.0)*5000)/J30,-1),"")</f>
        <v/>
      </c>
    </row>
    <row r="31">
      <c r="B31" s="7" t="inlineStr">
        <is>
          <t xml:space="preserve">  ↳ forgotten_mutant_dualwield</t>
        </is>
      </c>
      <c r="C31" s="7" t="inlineStr">
        <is>
          <t>Armament@PRIMARY</t>
        </is>
      </c>
      <c r="L31" s="6" t="n">
        <v>2000</v>
      </c>
      <c r="M31" s="6" t="n">
        <v>18</v>
      </c>
      <c r="N31" s="6" t="n">
        <v>2</v>
      </c>
      <c r="O31" s="6" t="n"/>
      <c r="P31" s="6" t="n">
        <v>5219</v>
      </c>
      <c r="Q31" s="6" t="n">
        <v>0.75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^Warhead_Bullet_Light</t>
        </is>
      </c>
    </row>
    <row r="32">
      <c r="B32" s="7" t="inlineStr">
        <is>
          <t xml:space="preserve">  ↳ forgotten_mutant_dualwield</t>
        </is>
      </c>
      <c r="C32" s="7" t="inlineStr">
        <is>
          <t>Armament@GARRISONED</t>
        </is>
      </c>
      <c r="L32" s="6" t="n">
        <v>2000</v>
      </c>
      <c r="M32" s="6" t="n">
        <v>18</v>
      </c>
      <c r="N32" s="6" t="n">
        <v>2</v>
      </c>
      <c r="O32" s="6" t="n"/>
      <c r="P32" s="6" t="n">
        <v>5219</v>
      </c>
      <c r="Q32" s="6" t="n">
        <v>0.75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^Warhead_Bullet_Light</t>
        </is>
      </c>
    </row>
    <row r="33">
      <c r="A33" t="inlineStr">
        <is>
          <t>tiberiansun</t>
        </is>
      </c>
      <c r="B33" t="inlineStr">
        <is>
          <t>forgotten_mutant_sp</t>
        </is>
      </c>
      <c r="C33" t="inlineStr">
        <is>
          <t>actor_forgotten_mutant.name</t>
        </is>
      </c>
      <c r="D33" s="6" t="inlineStr">
        <is>
          <t>ScoutInfantry</t>
        </is>
      </c>
      <c r="E33" s="6" t="n">
        <v>45000</v>
      </c>
      <c r="F33" s="6" t="n">
        <v>65</v>
      </c>
      <c r="G33" t="inlineStr">
        <is>
          <t>None</t>
        </is>
      </c>
      <c r="H33" s="6" t="n">
        <v>1</v>
      </c>
      <c r="I33" s="6" t="n">
        <v>1</v>
      </c>
      <c r="J33" s="6" t="n">
        <v>1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(((E33/20000)+(F33/60)+(S33/60)+((P33/5000)*J33))*100/4+(((E33/20000)*(F33/60))+(((P33/5000)*J33)*(S33/60)))*100/2+((E33/20000)*(F33/60)*((P33/5000)*J33)*(S33/60))*100)*(H33/1.0)/3</f>
        <v/>
      </c>
      <c r="X33" s="6" t="n">
        <v>160</v>
      </c>
      <c r="Y33">
        <f>IFERROR(W33-X33,"")</f>
        <v/>
      </c>
      <c r="Z33">
        <f>IFERROR(ABS(Y33)/MAX(X33,1),"")</f>
        <v/>
      </c>
      <c r="AA33">
        <f>IFERROR(ROUND(((3*X33-(((E33/20000)+(F33/60)+(S33/60))*100/4+((E33/20000)*(F33/60))*100/2)*(H33/1.0))/(100/4+((S33/60))*100/2+((E33/20000)*(F33/60)*(S33/60))*100)*(H33/1.0)*5000)/J33,-1),"")</f>
        <v/>
      </c>
    </row>
    <row r="34">
      <c r="B34" s="7" t="inlineStr">
        <is>
          <t xml:space="preserve">  ↳ forgotten_mutant_dualwield</t>
        </is>
      </c>
      <c r="C34" s="7" t="inlineStr">
        <is>
          <t>Armament@PRIMARY</t>
        </is>
      </c>
      <c r="L34" s="6" t="n">
        <v>2000</v>
      </c>
      <c r="M34" s="6" t="n">
        <v>18</v>
      </c>
      <c r="N34" s="6" t="n">
        <v>2</v>
      </c>
      <c r="O34" s="6" t="n"/>
      <c r="P34" s="6" t="n">
        <v>5219</v>
      </c>
      <c r="Q34" s="6" t="n">
        <v>0.75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^Warhead_Bullet_Light</t>
        </is>
      </c>
    </row>
    <row r="35">
      <c r="B35" s="7" t="inlineStr">
        <is>
          <t xml:space="preserve">  ↳ forgotten_mutant_dualwield</t>
        </is>
      </c>
      <c r="C35" s="7" t="inlineStr">
        <is>
          <t>Armament@GARRISONED</t>
        </is>
      </c>
      <c r="L35" s="6" t="n">
        <v>2000</v>
      </c>
      <c r="M35" s="6" t="n">
        <v>18</v>
      </c>
      <c r="N35" s="6" t="n">
        <v>2</v>
      </c>
      <c r="O35" s="6" t="n"/>
      <c r="P35" s="6" t="n">
        <v>5219</v>
      </c>
      <c r="Q35" s="6" t="n">
        <v>0.75</v>
      </c>
      <c r="R35">
        <f>M35+IF(N35&gt;1,N(O35)*(N35-1),0)</f>
        <v/>
      </c>
      <c r="S35">
        <f>IFERROR(L35*MAX(N35,1)/R35*IF(ISBLANK(K33),1,K33),0)</f>
        <v/>
      </c>
      <c r="AB35" s="7" t="inlineStr">
        <is>
          <t>^Warhead_Bullet_Light</t>
        </is>
      </c>
    </row>
    <row r="36">
      <c r="A36" t="inlineStr">
        <is>
          <t>tiberiansun</t>
        </is>
      </c>
      <c r="B36" t="inlineStr">
        <is>
          <t>forgotten_mutant_wild</t>
        </is>
      </c>
      <c r="C36" t="inlineStr">
        <is>
          <t>actor_forgotten_mutant.name</t>
        </is>
      </c>
      <c r="D36" s="6" t="inlineStr">
        <is>
          <t>ScoutInfantry</t>
        </is>
      </c>
      <c r="E36" s="6" t="n">
        <v>45000</v>
      </c>
      <c r="F36" s="6" t="n">
        <v>65</v>
      </c>
      <c r="G36" t="inlineStr">
        <is>
          <t>None</t>
        </is>
      </c>
      <c r="H36" s="6" t="n">
        <v>1</v>
      </c>
      <c r="I36" s="6" t="n">
        <v>1</v>
      </c>
      <c r="J36" s="6" t="n">
        <v>1</v>
      </c>
      <c r="K36" s="6" t="n"/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(((E36/20000)+(F36/60)+(S36/60)+((P36/5000)*J36))*100/4+(((E36/20000)*(F36/60))+(((P36/5000)*J36)*(S36/60)))*100/2+((E36/20000)*(F36/60)*((P36/5000)*J36)*(S36/60))*100)*(H36/1.0)/3</f>
        <v/>
      </c>
      <c r="X36" s="6" t="n">
        <v>160</v>
      </c>
      <c r="Y36">
        <f>IFERROR(W36-X36,"")</f>
        <v/>
      </c>
      <c r="Z36">
        <f>IFERROR(ABS(Y36)/MAX(X36,1),"")</f>
        <v/>
      </c>
      <c r="AA36">
        <f>IFERROR(ROUND(((3*X36-(((E36/20000)+(F36/60)+(S36/60))*100/4+((E36/20000)*(F36/60))*100/2)*(H36/1.0))/(100/4+((S36/60))*100/2+((E36/20000)*(F36/60)*(S36/60))*100)*(H36/1.0)*5000)/J36,-1),"")</f>
        <v/>
      </c>
    </row>
    <row r="37">
      <c r="B37" s="7" t="inlineStr">
        <is>
          <t xml:space="preserve">  ↳ forgotten_mutant_dualwield</t>
        </is>
      </c>
      <c r="C37" s="7" t="inlineStr">
        <is>
          <t>Armament@PRIMARY</t>
        </is>
      </c>
      <c r="L37" s="6" t="n">
        <v>2000</v>
      </c>
      <c r="M37" s="6" t="n">
        <v>18</v>
      </c>
      <c r="N37" s="6" t="n">
        <v>2</v>
      </c>
      <c r="O37" s="6" t="n"/>
      <c r="P37" s="6" t="n">
        <v>5219</v>
      </c>
      <c r="Q37" s="6" t="n">
        <v>0.75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^Warhead_Bullet_Light</t>
        </is>
      </c>
    </row>
    <row r="38">
      <c r="B38" s="7" t="inlineStr">
        <is>
          <t xml:space="preserve">  ↳ forgotten_mutant_dualwield</t>
        </is>
      </c>
      <c r="C38" s="7" t="inlineStr">
        <is>
          <t>Armament@GARRISONED</t>
        </is>
      </c>
      <c r="L38" s="6" t="n">
        <v>2000</v>
      </c>
      <c r="M38" s="6" t="n">
        <v>18</v>
      </c>
      <c r="N38" s="6" t="n">
        <v>2</v>
      </c>
      <c r="O38" s="6" t="n"/>
      <c r="P38" s="6" t="n">
        <v>5219</v>
      </c>
      <c r="Q38" s="6" t="n">
        <v>0.75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^Warhead_Bullet_Light</t>
        </is>
      </c>
    </row>
    <row r="39">
      <c r="A39" t="inlineStr">
        <is>
          <t>tiberiansun</t>
        </is>
      </c>
      <c r="B39" t="inlineStr">
        <is>
          <t>forgotten_mutanthijacker</t>
        </is>
      </c>
      <c r="C39" t="inlineStr">
        <is>
          <t>actor_forgotten_mutanthijacker.name</t>
        </is>
      </c>
      <c r="D39" s="6" t="inlineStr">
        <is>
          <t>HeroInfantry</t>
        </is>
      </c>
      <c r="E39" s="6" t="n">
        <v>25000</v>
      </c>
      <c r="F39" s="6" t="n">
        <v>100</v>
      </c>
      <c r="G39" t="inlineStr">
        <is>
          <t>Heroic</t>
        </is>
      </c>
      <c r="H39" s="6" t="n">
        <v>0.8376</v>
      </c>
      <c r="I39" s="6" t="n">
        <v>1</v>
      </c>
      <c r="J39" s="6" t="n">
        <v>1</v>
      </c>
      <c r="K39" s="6" t="n"/>
      <c r="X39" s="6" t="n">
        <v>750</v>
      </c>
    </row>
    <row r="40">
      <c r="A40" t="inlineStr">
        <is>
          <t>tiberiansun</t>
        </is>
      </c>
      <c r="B40" t="inlineStr">
        <is>
          <t>forgotten_mutantmortarman</t>
        </is>
      </c>
      <c r="C40" t="inlineStr">
        <is>
          <t>actor_forgotten_mutantmortarman.name</t>
        </is>
      </c>
      <c r="D40" s="6" t="inlineStr">
        <is>
          <t>MortarInfantry</t>
        </is>
      </c>
      <c r="E40" s="6" t="n">
        <v>30000</v>
      </c>
      <c r="F40" s="6" t="n">
        <v>50</v>
      </c>
      <c r="G40" t="inlineStr">
        <is>
          <t>None</t>
        </is>
      </c>
      <c r="H40" s="6" t="n">
        <v>1</v>
      </c>
      <c r="I40" s="6" t="n">
        <v>1</v>
      </c>
      <c r="J40" s="6" t="n">
        <v>1</v>
      </c>
      <c r="K40" s="6" t="n"/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500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TSInfantryMortar</t>
        </is>
      </c>
      <c r="C41" s="7" t="inlineStr">
        <is>
          <t>Armament@PRIMARY</t>
        </is>
      </c>
      <c r="L41" s="6" t="n">
        <v>32000</v>
      </c>
      <c r="M41" s="6" t="n">
        <v>88</v>
      </c>
      <c r="N41" s="6" t="n">
        <v>1</v>
      </c>
      <c r="O41" s="6" t="n"/>
      <c r="P41" s="6" t="n">
        <v>10830</v>
      </c>
      <c r="Q41" s="6" t="n">
        <v>1.125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^Warhead_Demolition_Heavy, ^Warhead_Concussion_Medium</t>
        </is>
      </c>
    </row>
    <row r="42">
      <c r="B42" s="7" t="inlineStr">
        <is>
          <t xml:space="preserve">  ↳ TSInfantryMortarChem</t>
        </is>
      </c>
      <c r="C42" s="7" t="inlineStr">
        <is>
          <t>Armament@UPGRADE</t>
        </is>
      </c>
      <c r="L42" s="6" t="n">
        <v>48000</v>
      </c>
      <c r="M42" s="6" t="n">
        <v>88</v>
      </c>
      <c r="N42" s="6" t="n">
        <v>1</v>
      </c>
      <c r="O42" s="6" t="n"/>
      <c r="P42" s="6" t="n">
        <v>10830</v>
      </c>
      <c r="Q42" s="6" t="n">
        <v>1</v>
      </c>
      <c r="R42">
        <f>M42+IF(N42&gt;1,N(O42)*(N42-1),0)</f>
        <v/>
      </c>
      <c r="S42">
        <f>IFERROR(L42*MAX(N42,1)/R42*IF(ISBLANK(K40),1,K40),0)</f>
        <v/>
      </c>
      <c r="AB42" s="7" t="inlineStr">
        <is>
          <t>^Warhead_Demolition_Heavy, ^Warhead_Concussion_Medium, ^Warhead_Chemical_Medium</t>
        </is>
      </c>
    </row>
    <row r="43">
      <c r="B43" s="7" t="inlineStr">
        <is>
          <t xml:space="preserve">  ↳ TSInfantryMortar</t>
        </is>
      </c>
      <c r="C43" s="7" t="inlineStr">
        <is>
          <t>Armament@GARRISONED</t>
        </is>
      </c>
      <c r="L43" s="6" t="n">
        <v>32000</v>
      </c>
      <c r="M43" s="6" t="n">
        <v>88</v>
      </c>
      <c r="N43" s="6" t="n">
        <v>1</v>
      </c>
      <c r="O43" s="6" t="n"/>
      <c r="P43" s="6" t="n">
        <v>10830</v>
      </c>
      <c r="Q43" s="6" t="n">
        <v>1.125</v>
      </c>
      <c r="R43">
        <f>M43+IF(N43&gt;1,N(O43)*(N43-1),0)</f>
        <v/>
      </c>
      <c r="S43">
        <f>IFERROR(L43*MAX(N43,1)/R43*IF(ISBLANK(K40),1,K40),0)</f>
        <v/>
      </c>
      <c r="AB43" s="7" t="inlineStr">
        <is>
          <t>^Warhead_Demolition_Heavy, ^Warhead_Concussion_Medium</t>
        </is>
      </c>
    </row>
    <row r="44">
      <c r="B44" s="7" t="inlineStr">
        <is>
          <t xml:space="preserve">  ↳ TSInfantryMortarChem</t>
        </is>
      </c>
      <c r="C44" s="7" t="inlineStr">
        <is>
          <t>Armament@GARRISONEDUPGRADE</t>
        </is>
      </c>
      <c r="L44" s="6" t="n">
        <v>48000</v>
      </c>
      <c r="M44" s="6" t="n">
        <v>88</v>
      </c>
      <c r="N44" s="6" t="n">
        <v>1</v>
      </c>
      <c r="O44" s="6" t="n"/>
      <c r="P44" s="6" t="n">
        <v>10830</v>
      </c>
      <c r="Q44" s="6" t="n">
        <v>1</v>
      </c>
      <c r="R44">
        <f>M44+IF(N44&gt;1,N(O44)*(N44-1),0)</f>
        <v/>
      </c>
      <c r="S44">
        <f>IFERROR(L44*MAX(N44,1)/R44*IF(ISBLANK(K40),1,K40),0)</f>
        <v/>
      </c>
      <c r="AB44" s="7" t="inlineStr">
        <is>
          <t>^Warhead_Demolition_Heavy, ^Warhead_Concussion_Medium, ^Warhead_Chemical_Medium</t>
        </is>
      </c>
    </row>
    <row r="45">
      <c r="A45" t="inlineStr">
        <is>
          <t>tiberiansun</t>
        </is>
      </c>
      <c r="B45" t="inlineStr">
        <is>
          <t>forgotten_mutantsergeant</t>
        </is>
      </c>
      <c r="C45" t="inlineStr">
        <is>
          <t>actor_forgotten_mutantsergeant.name</t>
        </is>
      </c>
      <c r="D45" s="6" t="inlineStr">
        <is>
          <t>HeavyInfantry</t>
        </is>
      </c>
      <c r="E45" s="6" t="n">
        <v>40000</v>
      </c>
      <c r="F45" s="6" t="n">
        <v>74</v>
      </c>
      <c r="G45" t="inlineStr">
        <is>
          <t>Plate</t>
        </is>
      </c>
      <c r="H45" s="6" t="n">
        <v>0.75</v>
      </c>
      <c r="I45" s="6" t="n">
        <v>1</v>
      </c>
      <c r="J45" s="6" t="n">
        <v>1</v>
      </c>
      <c r="K45" s="6" t="n">
        <v>0.0108</v>
      </c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(((E45/15000)+(F45/50)+(S45/240)+((P45/6000)*J45))*200/4+(((E45/15000)*(F45/50))+(((P45/6000)*J45)*(S45/240)))*200/2+((E45/15000)*(F45/50)*((P45/6000)*J45)*(S45/240))*200)*(H45/1.0)/3</f>
        <v/>
      </c>
      <c r="X45" s="6" t="n">
        <v>1154</v>
      </c>
      <c r="Y45">
        <f>IFERROR(W45-X45,"")</f>
        <v/>
      </c>
      <c r="Z45">
        <f>IFERROR(ABS(Y45)/MAX(X45,1),"")</f>
        <v/>
      </c>
      <c r="AA45">
        <f>IFERROR(ROUND(((3*X45-(((E45/15000)+(F45/50)+(S45/240))*200/4+((E45/15000)*(F45/50))*200/2)*(H45/1.0))/(200/4+((S45/240))*200/2+((E45/15000)*(F45/50)*(S45/240))*200)*(H45/1.0)*6000)/J45,-1),"")</f>
        <v/>
      </c>
    </row>
    <row r="46">
      <c r="B46" s="7" t="inlineStr">
        <is>
          <t xml:space="preserve">  ↳ TSSergGun</t>
        </is>
      </c>
      <c r="C46" s="7" t="inlineStr">
        <is>
          <t>Armament@PRIMARY</t>
        </is>
      </c>
      <c r="L46" s="6" t="n">
        <v>16000</v>
      </c>
      <c r="M46" s="6" t="n">
        <v>8</v>
      </c>
      <c r="N46" s="6" t="n">
        <v>1</v>
      </c>
      <c r="O46" s="6" t="n"/>
      <c r="P46" s="6" t="n">
        <v>5611</v>
      </c>
      <c r="Q46" s="6" t="n">
        <v>0.875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TSSergGun</t>
        </is>
      </c>
      <c r="C47" s="7" t="inlineStr">
        <is>
          <t>Armament@GARRISONED</t>
        </is>
      </c>
      <c r="L47" s="6" t="n">
        <v>16000</v>
      </c>
      <c r="M47" s="6" t="n">
        <v>8</v>
      </c>
      <c r="N47" s="6" t="n">
        <v>1</v>
      </c>
      <c r="O47" s="6" t="n"/>
      <c r="P47" s="6" t="n">
        <v>5611</v>
      </c>
      <c r="Q47" s="6" t="n">
        <v>0.875</v>
      </c>
      <c r="R47">
        <f>M47+IF(N47&gt;1,N(O47)*(N47-1),0)</f>
        <v/>
      </c>
      <c r="S47">
        <f>IFERROR(L47*MAX(N47,1)/R47*IF(ISBLANK(K45),1,K45),0)</f>
        <v/>
      </c>
      <c r="AB47" s="7" t="inlineStr">
        <is>
          <t>^Warhead_Bullet_Light, ^Warhead_Bullet_Medium</t>
        </is>
      </c>
    </row>
    <row r="48">
      <c r="A48" t="inlineStr">
        <is>
          <t>tiberiansun</t>
        </is>
      </c>
      <c r="B48" t="inlineStr">
        <is>
          <t>forgotten_mutantsniper</t>
        </is>
      </c>
      <c r="C48" t="inlineStr">
        <is>
          <t>actor_forgotten_mutantsniper.name</t>
        </is>
      </c>
      <c r="D48" s="6" t="inlineStr">
        <is>
          <t>SniperInfantry</t>
        </is>
      </c>
      <c r="E48" s="6" t="n">
        <v>10000</v>
      </c>
      <c r="F48" s="6" t="n">
        <v>70</v>
      </c>
      <c r="G48" t="inlineStr">
        <is>
          <t>Flak</t>
        </is>
      </c>
      <c r="H48" s="6" t="n">
        <v>1</v>
      </c>
      <c r="I48" s="6" t="n">
        <v>1</v>
      </c>
      <c r="J48" s="6" t="n">
        <v>1</v>
      </c>
      <c r="K48" s="6" t="n"/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650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TSSniper</t>
        </is>
      </c>
      <c r="C49" s="7" t="inlineStr">
        <is>
          <t>Armament@PRIMARY</t>
        </is>
      </c>
      <c r="L49" s="6" t="n">
        <v>10000</v>
      </c>
      <c r="M49" s="6" t="n">
        <v>25</v>
      </c>
      <c r="N49" s="6" t="n">
        <v>1</v>
      </c>
      <c r="O49" s="6" t="n"/>
      <c r="P49" s="6" t="n">
        <v>9557</v>
      </c>
      <c r="Q49" s="6" t="n">
        <v>0.75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^Warhead_Sniper_Light</t>
        </is>
      </c>
    </row>
    <row r="50">
      <c r="B50" s="7" t="inlineStr">
        <is>
          <t xml:space="preserve">  ↳ TSSniper</t>
        </is>
      </c>
      <c r="C50" s="7" t="inlineStr">
        <is>
          <t>Armament@GARRISONED</t>
        </is>
      </c>
      <c r="L50" s="6" t="n">
        <v>10000</v>
      </c>
      <c r="M50" s="6" t="n">
        <v>25</v>
      </c>
      <c r="N50" s="6" t="n">
        <v>1</v>
      </c>
      <c r="O50" s="6" t="n"/>
      <c r="P50" s="6" t="n">
        <v>9557</v>
      </c>
      <c r="Q50" s="6" t="n">
        <v>0.75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^Warhead_Sniper_Light</t>
        </is>
      </c>
    </row>
    <row r="51">
      <c r="A51" t="inlineStr">
        <is>
          <t>tiberiansun</t>
        </is>
      </c>
      <c r="B51" t="inlineStr">
        <is>
          <t>forgotten_mutantsniper_r4</t>
        </is>
      </c>
      <c r="C51" t="inlineStr">
        <is>
          <t>actor_forgotten_mutantsniper.name</t>
        </is>
      </c>
      <c r="D51" s="6" t="inlineStr">
        <is>
          <t>SniperInfantry</t>
        </is>
      </c>
      <c r="E51" s="6" t="n">
        <v>10000</v>
      </c>
      <c r="F51" s="6" t="n">
        <v>70</v>
      </c>
      <c r="G51" t="inlineStr">
        <is>
          <t>Flak</t>
        </is>
      </c>
      <c r="H51" s="6" t="n">
        <v>1</v>
      </c>
      <c r="I51" s="6" t="n">
        <v>1</v>
      </c>
      <c r="J51" s="6" t="n">
        <v>1</v>
      </c>
      <c r="K51" s="6" t="n"/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650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TSSniper</t>
        </is>
      </c>
      <c r="C52" s="7" t="inlineStr">
        <is>
          <t>Armament@PRIMARY</t>
        </is>
      </c>
      <c r="L52" s="6" t="n">
        <v>10000</v>
      </c>
      <c r="M52" s="6" t="n">
        <v>25</v>
      </c>
      <c r="N52" s="6" t="n">
        <v>1</v>
      </c>
      <c r="O52" s="6" t="n"/>
      <c r="P52" s="6" t="n">
        <v>9557</v>
      </c>
      <c r="Q52" s="6" t="n">
        <v>0.75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^Warhead_Sniper_Light</t>
        </is>
      </c>
    </row>
    <row r="53">
      <c r="B53" s="7" t="inlineStr">
        <is>
          <t xml:space="preserve">  ↳ TSSniper</t>
        </is>
      </c>
      <c r="C53" s="7" t="inlineStr">
        <is>
          <t>Armament@GARRISONED</t>
        </is>
      </c>
      <c r="L53" s="6" t="n">
        <v>10000</v>
      </c>
      <c r="M53" s="6" t="n">
        <v>25</v>
      </c>
      <c r="N53" s="6" t="n">
        <v>1</v>
      </c>
      <c r="O53" s="6" t="n"/>
      <c r="P53" s="6" t="n">
        <v>9557</v>
      </c>
      <c r="Q53" s="6" t="n">
        <v>0.75</v>
      </c>
      <c r="R53">
        <f>M53+IF(N53&gt;1,N(O53)*(N53-1),0)</f>
        <v/>
      </c>
      <c r="S53">
        <f>IFERROR(L53*MAX(N53,1)/R53*IF(ISBLANK(K51),1,K51),0)</f>
        <v/>
      </c>
      <c r="AB53" s="7" t="inlineStr">
        <is>
          <t>^Warhead_Sniper_Light</t>
        </is>
      </c>
    </row>
    <row r="54">
      <c r="A54" t="inlineStr">
        <is>
          <t>tiberiansun</t>
        </is>
      </c>
      <c r="B54" t="inlineStr">
        <is>
          <t>forgotten_mutantsniper_sp</t>
        </is>
      </c>
      <c r="C54" t="inlineStr">
        <is>
          <t>actor_forgotten_mutantsniper.name</t>
        </is>
      </c>
      <c r="D54" s="6" t="inlineStr">
        <is>
          <t>SniperInfantry</t>
        </is>
      </c>
      <c r="E54" s="6" t="n">
        <v>10000</v>
      </c>
      <c r="F54" s="6" t="n">
        <v>70</v>
      </c>
      <c r="G54" t="inlineStr">
        <is>
          <t>Flak</t>
        </is>
      </c>
      <c r="H54" s="6" t="n">
        <v>1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650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TSSniper</t>
        </is>
      </c>
      <c r="C55" s="7" t="inlineStr">
        <is>
          <t>Armament@PRIMARY</t>
        </is>
      </c>
      <c r="L55" s="6" t="n">
        <v>10000</v>
      </c>
      <c r="M55" s="6" t="n">
        <v>25</v>
      </c>
      <c r="N55" s="6" t="n">
        <v>1</v>
      </c>
      <c r="O55" s="6" t="n"/>
      <c r="P55" s="6" t="n">
        <v>9557</v>
      </c>
      <c r="Q55" s="6" t="n">
        <v>0.75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^Warhead_Sniper_Light</t>
        </is>
      </c>
    </row>
    <row r="56">
      <c r="B56" s="7" t="inlineStr">
        <is>
          <t xml:space="preserve">  ↳ TSSniper</t>
        </is>
      </c>
      <c r="C56" s="7" t="inlineStr">
        <is>
          <t>Armament@GARRISONED</t>
        </is>
      </c>
      <c r="L56" s="6" t="n">
        <v>10000</v>
      </c>
      <c r="M56" s="6" t="n">
        <v>25</v>
      </c>
      <c r="N56" s="6" t="n">
        <v>1</v>
      </c>
      <c r="O56" s="6" t="n"/>
      <c r="P56" s="6" t="n">
        <v>9557</v>
      </c>
      <c r="Q56" s="6" t="n">
        <v>0.75</v>
      </c>
      <c r="R56">
        <f>M56+IF(N56&gt;1,N(O56)*(N56-1),0)</f>
        <v/>
      </c>
      <c r="S56">
        <f>IFERROR(L56*MAX(N56,1)/R56*IF(ISBLANK(K54),1,K54),0)</f>
        <v/>
      </c>
      <c r="AB56" s="7" t="inlineStr">
        <is>
          <t>^Warhead_Sniper_Light</t>
        </is>
      </c>
    </row>
    <row r="57">
      <c r="A57" t="inlineStr">
        <is>
          <t>tiberiansun</t>
        </is>
      </c>
      <c r="B57" t="inlineStr">
        <is>
          <t>forgotten_mutantsoldier</t>
        </is>
      </c>
      <c r="C57" t="inlineStr">
        <is>
          <t>actor_forgotten_mutantsoldier.name</t>
        </is>
      </c>
      <c r="D57" s="6" t="inlineStr">
        <is>
          <t>ScoutInfantry</t>
        </is>
      </c>
      <c r="E57" s="6" t="n">
        <v>40000</v>
      </c>
      <c r="F57" s="6" t="n">
        <v>60</v>
      </c>
      <c r="G57" t="inlineStr">
        <is>
          <t>None</t>
        </is>
      </c>
      <c r="H57" s="6" t="n">
        <v>1</v>
      </c>
      <c r="I57" s="6" t="n">
        <v>1</v>
      </c>
      <c r="J57" s="6" t="n">
        <v>1</v>
      </c>
      <c r="K57" s="6" t="n">
        <v>0.01</v>
      </c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(((E57/20000)+(F57/60)+(S57/60)+((P57/5000)*J57))*100/4+(((E57/20000)*(F57/60))+(((P57/5000)*J57)*(S57/60)))*100/2+((E57/20000)*(F57/60)*((P57/5000)*J57)*(S57/60))*100)*(H57/1.0)/3</f>
        <v/>
      </c>
      <c r="X57" s="6" t="n">
        <v>250</v>
      </c>
      <c r="Y57">
        <f>IFERROR(W57-X57,"")</f>
        <v/>
      </c>
      <c r="Z57">
        <f>IFERROR(ABS(Y57)/MAX(X57,1),"")</f>
        <v/>
      </c>
      <c r="AA57">
        <f>IFERROR(ROUND(((3*X57-(((E57/20000)+(F57/60)+(S57/60))*100/4+((E57/20000)*(F57/60))*100/2)*(H57/1.0))/(100/4+((S57/60))*100/2+((E57/20000)*(F57/60)*(S57/60))*100)*(H57/1.0)*5000)/J57,-1),"")</f>
        <v/>
      </c>
    </row>
    <row r="58">
      <c r="B58" s="7" t="inlineStr">
        <is>
          <t xml:space="preserve">  ↳ forgotten_mutantsoldier_rifle</t>
        </is>
      </c>
      <c r="C58" s="7" t="inlineStr">
        <is>
          <t>Armament@PRIMARY</t>
        </is>
      </c>
      <c r="L58" s="6" t="n">
        <v>8000</v>
      </c>
      <c r="M58" s="6" t="n">
        <v>50</v>
      </c>
      <c r="N58" s="6" t="n">
        <v>1</v>
      </c>
      <c r="O58" s="6" t="n"/>
      <c r="P58" s="6" t="n">
        <v>5000</v>
      </c>
      <c r="Q58" s="6" t="n">
        <v>0.75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^Warhead_Bullet_Light</t>
        </is>
      </c>
    </row>
    <row r="59">
      <c r="B59" s="7" t="inlineStr">
        <is>
          <t xml:space="preserve">  ↳ forgotten_mutantsoldier_rifle</t>
        </is>
      </c>
      <c r="C59" s="7" t="inlineStr">
        <is>
          <t>Armament@GARRISONED</t>
        </is>
      </c>
      <c r="L59" s="6" t="n">
        <v>8000</v>
      </c>
      <c r="M59" s="6" t="n">
        <v>50</v>
      </c>
      <c r="N59" s="6" t="n">
        <v>1</v>
      </c>
      <c r="O59" s="6" t="n"/>
      <c r="P59" s="6" t="n">
        <v>5000</v>
      </c>
      <c r="Q59" s="6" t="n">
        <v>0.75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^Warhead_Bullet_Light</t>
        </is>
      </c>
    </row>
    <row r="60">
      <c r="A60" t="inlineStr">
        <is>
          <t>tiberiansun</t>
        </is>
      </c>
      <c r="B60" t="inlineStr">
        <is>
          <t>forgotten_mutantsoldier_sp</t>
        </is>
      </c>
      <c r="C60" t="inlineStr">
        <is>
          <t>actor_forgotten_mutantsoldier.name</t>
        </is>
      </c>
      <c r="D60" s="6" t="inlineStr">
        <is>
          <t>ScoutInfantry</t>
        </is>
      </c>
      <c r="E60" s="6" t="n">
        <v>40000</v>
      </c>
      <c r="F60" s="6" t="n">
        <v>60</v>
      </c>
      <c r="G60" t="inlineStr">
        <is>
          <t>None</t>
        </is>
      </c>
      <c r="H60" s="6" t="n">
        <v>1</v>
      </c>
      <c r="I60" s="6" t="n">
        <v>1</v>
      </c>
      <c r="J60" s="6" t="n">
        <v>1</v>
      </c>
      <c r="K60" s="6" t="n"/>
      <c r="P60">
        <f>MAX(P61)</f>
        <v/>
      </c>
      <c r="S60">
        <f>S61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(((E60/20000)+(F60/60)+(S60/60)+((P60/5000)*J60))*100/4+(((E60/20000)*(F60/60))+(((P60/5000)*J60)*(S60/60)))*100/2+((E60/20000)*(F60/60)*((P60/5000)*J60)*(S60/60))*100)*(H60/1.0)/3</f>
        <v/>
      </c>
      <c r="X60" s="6" t="n">
        <v>250</v>
      </c>
      <c r="Y60">
        <f>IFERROR(W60-X60,"")</f>
        <v/>
      </c>
      <c r="Z60">
        <f>IFERROR(ABS(Y60)/MAX(X60,1),"")</f>
        <v/>
      </c>
      <c r="AA60">
        <f>IFERROR(ROUND(((3*X60-(((E60/20000)+(F60/60)+(S60/60))*100/4+((E60/20000)*(F60/60))*100/2)*(H60/1.0))/(100/4+((S60/60))*100/2+((E60/20000)*(F60/60)*(S60/60))*100)*(H60/1.0)*5000)/J60,-1),"")</f>
        <v/>
      </c>
    </row>
    <row r="61">
      <c r="B61" s="7" t="inlineStr">
        <is>
          <t xml:space="preserve">  ↳ forgotten_mutantsoldier_rifle</t>
        </is>
      </c>
      <c r="C61" s="7" t="inlineStr">
        <is>
          <t>Armament@PRIMARY</t>
        </is>
      </c>
      <c r="L61" s="6" t="n">
        <v>8000</v>
      </c>
      <c r="M61" s="6" t="n">
        <v>50</v>
      </c>
      <c r="N61" s="6" t="n">
        <v>1</v>
      </c>
      <c r="O61" s="6" t="n"/>
      <c r="P61" s="6" t="n">
        <v>5000</v>
      </c>
      <c r="Q61" s="6" t="n">
        <v>0.75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^Warhead_Bullet_Light</t>
        </is>
      </c>
    </row>
    <row r="62">
      <c r="B62" s="7" t="inlineStr">
        <is>
          <t xml:space="preserve">  ↳ forgotten_mutantsoldier_rifle</t>
        </is>
      </c>
      <c r="C62" s="7" t="inlineStr">
        <is>
          <t>Armament@GARRISONED</t>
        </is>
      </c>
      <c r="L62" s="6" t="n">
        <v>8000</v>
      </c>
      <c r="M62" s="6" t="n">
        <v>50</v>
      </c>
      <c r="N62" s="6" t="n">
        <v>1</v>
      </c>
      <c r="O62" s="6" t="n"/>
      <c r="P62" s="6" t="n">
        <v>5000</v>
      </c>
      <c r="Q62" s="6" t="n">
        <v>0.75</v>
      </c>
      <c r="R62">
        <f>M62+IF(N62&gt;1,N(O62)*(N62-1),0)</f>
        <v/>
      </c>
      <c r="S62">
        <f>IFERROR(L62*MAX(N62,1)/R62*IF(ISBLANK(K60),1,K60),0)</f>
        <v/>
      </c>
      <c r="AB62" s="7" t="inlineStr">
        <is>
          <t>^Warhead_Bullet_Light</t>
        </is>
      </c>
    </row>
    <row r="63">
      <c r="A63" t="inlineStr">
        <is>
          <t>tiberiansun</t>
        </is>
      </c>
      <c r="B63" t="inlineStr">
        <is>
          <t>forgotten_rocketinfantry</t>
        </is>
      </c>
      <c r="C63" t="inlineStr">
        <is>
          <t>actor_forgotten_rocketinfantry.name</t>
        </is>
      </c>
      <c r="D63" s="6" t="inlineStr">
        <is>
          <t>AntiTankAntiAirInfantry</t>
        </is>
      </c>
      <c r="E63" s="6" t="n">
        <v>12000</v>
      </c>
      <c r="F63" s="6" t="n">
        <v>50</v>
      </c>
      <c r="G63" t="inlineStr">
        <is>
          <t>Flak</t>
        </is>
      </c>
      <c r="H63" s="6" t="n">
        <v>1</v>
      </c>
      <c r="I63" s="6" t="n">
        <v>1</v>
      </c>
      <c r="J63" s="6" t="n">
        <v>1</v>
      </c>
      <c r="K63" s="6" t="n"/>
      <c r="P63">
        <f>MAX(P64,P66)</f>
        <v/>
      </c>
      <c r="S63">
        <f>S64+S66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(T63+U63+V63)/3</f>
        <v/>
      </c>
      <c r="X63" s="6" t="n">
        <v>300</v>
      </c>
      <c r="Y63">
        <f>IFERROR(W63-X63,"")</f>
        <v/>
      </c>
      <c r="Z63">
        <f>IFERROR(ABS(Y63)/MAX(X63,1),"")</f>
        <v/>
      </c>
      <c r="AA63">
        <f>IFERROR((X63-(((E63/100000+F63/100+S63/200)*200*I63*H63)+((E63*F63/25000)*I63*H63))/3)/(((J63/5)*200*I63*H63)+((J63*S63/2.5)*I63*H63)+((E63*F63*J63*S63*I63*H63)/12500000))/3*1000,"")</f>
        <v/>
      </c>
    </row>
    <row r="64">
      <c r="B64" s="7" t="inlineStr">
        <is>
          <t xml:space="preserve">  ↳ TSBazooka</t>
        </is>
      </c>
      <c r="C64" s="7" t="inlineStr">
        <is>
          <t>Armament@PRIMARY</t>
        </is>
      </c>
      <c r="L64" s="6" t="n">
        <v>24000</v>
      </c>
      <c r="M64" s="6" t="n">
        <v>52</v>
      </c>
      <c r="N64" s="6" t="n">
        <v>1</v>
      </c>
      <c r="O64" s="6" t="n"/>
      <c r="P64" s="6" t="n">
        <v>6694</v>
      </c>
      <c r="Q64" s="6" t="n">
        <v>0.75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^Warhead_MissileAP_Light</t>
        </is>
      </c>
    </row>
    <row r="65">
      <c r="B65" s="7" t="inlineStr">
        <is>
          <t xml:space="preserve">  ↳ TSBazooka</t>
        </is>
      </c>
      <c r="C65" s="7" t="inlineStr">
        <is>
          <t>Armament@GARRISONED</t>
        </is>
      </c>
      <c r="L65" s="6" t="n">
        <v>24000</v>
      </c>
      <c r="M65" s="6" t="n">
        <v>52</v>
      </c>
      <c r="N65" s="6" t="n">
        <v>1</v>
      </c>
      <c r="O65" s="6" t="n"/>
      <c r="P65" s="6" t="n">
        <v>6694</v>
      </c>
      <c r="Q65" s="6" t="n">
        <v>0.75</v>
      </c>
      <c r="R65">
        <f>M65+IF(N65&gt;1,N(O65)*(N65-1),0)</f>
        <v/>
      </c>
      <c r="S65">
        <f>IFERROR(L65*MAX(N65,1)/R65*IF(ISBLANK(K63),1,K63),0)</f>
        <v/>
      </c>
      <c r="AB65" s="7" t="inlineStr">
        <is>
          <t>^Warhead_MissileAP_Light</t>
        </is>
      </c>
    </row>
    <row r="66">
      <c r="B66" s="7" t="inlineStr">
        <is>
          <t xml:space="preserve">  ↳ TSChemBazooka</t>
        </is>
      </c>
      <c r="C66" s="7" t="inlineStr">
        <is>
          <t>Armament@UPGRADE</t>
        </is>
      </c>
      <c r="L66" s="6" t="n">
        <v>30000</v>
      </c>
      <c r="M66" s="6" t="n">
        <v>52</v>
      </c>
      <c r="N66" s="6" t="n">
        <v>1</v>
      </c>
      <c r="O66" s="6" t="n"/>
      <c r="P66" s="6" t="n">
        <v>6694</v>
      </c>
      <c r="Q66" s="6" t="n">
        <v>1</v>
      </c>
      <c r="R66">
        <f>M66+IF(N66&gt;1,N(O66)*(N66-1),0)</f>
        <v/>
      </c>
      <c r="S66">
        <f>IFERROR(L66*MAX(N66,1)/R66*IF(ISBLANK(K63),1,K63),0)</f>
        <v/>
      </c>
      <c r="AB66" s="7" t="inlineStr">
        <is>
          <t>^LightChemicalWeapon, ^LightMissile</t>
        </is>
      </c>
    </row>
    <row r="67">
      <c r="B67" s="7" t="inlineStr">
        <is>
          <t xml:space="preserve">  ↳ TSChemBazooka</t>
        </is>
      </c>
      <c r="C67" s="7" t="inlineStr">
        <is>
          <t>Armament@GARRISONEDUPGRADE</t>
        </is>
      </c>
      <c r="L67" s="6" t="n">
        <v>30000</v>
      </c>
      <c r="M67" s="6" t="n">
        <v>52</v>
      </c>
      <c r="N67" s="6" t="n">
        <v>1</v>
      </c>
      <c r="O67" s="6" t="n"/>
      <c r="P67" s="6" t="n">
        <v>6694</v>
      </c>
      <c r="Q67" s="6" t="n">
        <v>1</v>
      </c>
      <c r="R67">
        <f>M67+IF(N67&gt;1,N(O67)*(N67-1),0)</f>
        <v/>
      </c>
      <c r="S67">
        <f>IFERROR(L67*MAX(N67,1)/R67*IF(ISBLANK(K63),1,K63),0)</f>
        <v/>
      </c>
      <c r="AB67" s="7" t="inlineStr">
        <is>
          <t>^LightChemicalWeapon, ^LightMissile</t>
        </is>
      </c>
    </row>
    <row r="68">
      <c r="A68" t="inlineStr">
        <is>
          <t>tiberiansun</t>
        </is>
      </c>
      <c r="B68" t="inlineStr">
        <is>
          <t>forgotten_runnershotgal</t>
        </is>
      </c>
      <c r="C68" t="inlineStr">
        <is>
          <t>actor_forgotten_runnershotgal.name</t>
        </is>
      </c>
      <c r="D68" s="6" t="inlineStr">
        <is>
          <t>MeleeInfantry</t>
        </is>
      </c>
      <c r="E68" s="6" t="n">
        <v>30000</v>
      </c>
      <c r="F68" s="6" t="n">
        <v>85</v>
      </c>
      <c r="G68" t="inlineStr">
        <is>
          <t>Plate</t>
        </is>
      </c>
      <c r="H68" s="6" t="n">
        <v>1</v>
      </c>
      <c r="I68" s="6" t="n">
        <v>1</v>
      </c>
      <c r="J68" s="6" t="n">
        <v>1</v>
      </c>
      <c r="K68" s="6" t="n"/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750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TSMutShotgun</t>
        </is>
      </c>
      <c r="C69" s="7" t="inlineStr">
        <is>
          <t>Armament@PRIMARY</t>
        </is>
      </c>
      <c r="L69" s="6" t="n">
        <v>24000</v>
      </c>
      <c r="M69" s="6" t="n">
        <v>32</v>
      </c>
      <c r="N69" s="6" t="n">
        <v>1</v>
      </c>
      <c r="O69" s="6" t="n"/>
      <c r="P69" s="6" t="n">
        <v>3112</v>
      </c>
      <c r="Q69" s="6" t="n">
        <v>1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^Warhead_CannonHE_Medium</t>
        </is>
      </c>
    </row>
    <row r="70">
      <c r="B70" s="7" t="inlineStr">
        <is>
          <t xml:space="preserve">  ↳ TSMutShotgun</t>
        </is>
      </c>
      <c r="C70" s="7" t="inlineStr">
        <is>
          <t>Armament@GARRISONED</t>
        </is>
      </c>
      <c r="L70" s="6" t="n">
        <v>24000</v>
      </c>
      <c r="M70" s="6" t="n">
        <v>32</v>
      </c>
      <c r="N70" s="6" t="n">
        <v>1</v>
      </c>
      <c r="O70" s="6" t="n"/>
      <c r="P70" s="6" t="n">
        <v>3112</v>
      </c>
      <c r="Q70" s="6" t="n">
        <v>1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^Warhead_CannonHE_Medium</t>
        </is>
      </c>
    </row>
    <row r="71">
      <c r="A71" t="inlineStr">
        <is>
          <t>tiberiansun</t>
        </is>
      </c>
      <c r="B71" t="inlineStr">
        <is>
          <t>forgotten_tiberianfiend</t>
        </is>
      </c>
      <c r="C71" t="inlineStr">
        <is>
          <t>actor_forgotten_tiberianfiend.name</t>
        </is>
      </c>
      <c r="D71" s="6" t="inlineStr">
        <is>
          <t>HeavyInfantry</t>
        </is>
      </c>
      <c r="E71" s="6" t="n">
        <v>80000</v>
      </c>
      <c r="F71" s="6" t="n">
        <v>60</v>
      </c>
      <c r="G71" t="inlineStr">
        <is>
          <t>Plate</t>
        </is>
      </c>
      <c r="H71" s="6" t="n">
        <v>0.8376</v>
      </c>
      <c r="I71" s="6" t="n">
        <v>1</v>
      </c>
      <c r="J71" s="6" t="n">
        <v>1</v>
      </c>
      <c r="K71" s="6" t="n"/>
      <c r="P71">
        <f>MAX(P72,P74)</f>
        <v/>
      </c>
      <c r="S71">
        <f>S72+S74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1000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TSFiendShard</t>
        </is>
      </c>
      <c r="C72" s="7" t="inlineStr">
        <is>
          <t>Armament@PRIMARY</t>
        </is>
      </c>
      <c r="L72" s="6" t="n">
        <v>6000</v>
      </c>
      <c r="M72" s="6" t="n">
        <v>36</v>
      </c>
      <c r="N72" s="6" t="n">
        <v>3</v>
      </c>
      <c r="O72" s="6" t="n">
        <v>2</v>
      </c>
      <c r="P72" s="6" t="n">
        <v>5690</v>
      </c>
      <c r="Q72" s="6" t="n">
        <v>0.75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^Warhead_Chemical_Light</t>
        </is>
      </c>
    </row>
    <row r="73">
      <c r="B73" s="7" t="inlineStr">
        <is>
          <t xml:space="preserve">  ↳ TSFiendShard</t>
        </is>
      </c>
      <c r="C73" s="7" t="inlineStr">
        <is>
          <t>Armament@GARRISONED</t>
        </is>
      </c>
      <c r="L73" s="6" t="n">
        <v>6000</v>
      </c>
      <c r="M73" s="6" t="n">
        <v>36</v>
      </c>
      <c r="N73" s="6" t="n">
        <v>3</v>
      </c>
      <c r="O73" s="6" t="n">
        <v>2</v>
      </c>
      <c r="P73" s="6" t="n">
        <v>5690</v>
      </c>
      <c r="Q73" s="6" t="n">
        <v>0.75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^Warhead_Chemical_Light</t>
        </is>
      </c>
    </row>
    <row r="74">
      <c r="B74" s="7" t="inlineStr">
        <is>
          <t xml:space="preserve">  ↳ TSFiendShardUP</t>
        </is>
      </c>
      <c r="C74" s="7" t="inlineStr">
        <is>
          <t>Armament@UPGRADE</t>
        </is>
      </c>
      <c r="L74" s="6" t="n">
        <v>18000</v>
      </c>
      <c r="M74" s="6" t="n">
        <v>36</v>
      </c>
      <c r="N74" s="6" t="n">
        <v>3</v>
      </c>
      <c r="O74" s="6" t="n">
        <v>2</v>
      </c>
      <c r="P74" s="6" t="n">
        <v>5690</v>
      </c>
      <c r="Q74" s="6" t="n">
        <v>1</v>
      </c>
      <c r="R74">
        <f>M74+IF(N74&gt;1,N(O74)*(N74-1),0)</f>
        <v/>
      </c>
      <c r="S74">
        <f>IFERROR(L74*MAX(N74,1)/R74*IF(ISBLANK(K71),1,K71),0)</f>
        <v/>
      </c>
      <c r="AB74" s="7" t="inlineStr">
        <is>
          <t>^LightChemicalWeapon, ^MediumChemicalWeapon, ^HeavyChemicalWeapon</t>
        </is>
      </c>
    </row>
    <row r="75">
      <c r="B75" s="7" t="inlineStr">
        <is>
          <t xml:space="preserve">  ↳ TSFiendShardUP</t>
        </is>
      </c>
      <c r="C75" s="7" t="inlineStr">
        <is>
          <t>Armament@GARRISONEDUPGRADE</t>
        </is>
      </c>
      <c r="L75" s="6" t="n">
        <v>18000</v>
      </c>
      <c r="M75" s="6" t="n">
        <v>36</v>
      </c>
      <c r="N75" s="6" t="n">
        <v>3</v>
      </c>
      <c r="O75" s="6" t="n">
        <v>2</v>
      </c>
      <c r="P75" s="6" t="n">
        <v>5690</v>
      </c>
      <c r="Q75" s="6" t="n">
        <v>1</v>
      </c>
      <c r="R75">
        <f>M75+IF(N75&gt;1,N(O75)*(N75-1),0)</f>
        <v/>
      </c>
      <c r="S75">
        <f>IFERROR(L75*MAX(N75,1)/R75*IF(ISBLANK(K71),1,K71),0)</f>
        <v/>
      </c>
      <c r="AB75" s="7" t="inlineStr">
        <is>
          <t>^LightChemicalWeapon, ^MediumChemicalWeapon, ^HeavyChemicalWeapon</t>
        </is>
      </c>
    </row>
    <row r="76">
      <c r="A76" t="inlineStr">
        <is>
          <t>tiberiansun</t>
        </is>
      </c>
      <c r="B76" t="inlineStr">
        <is>
          <t>forgotten_tiberianfiend_wild</t>
        </is>
      </c>
      <c r="C76" t="inlineStr">
        <is>
          <t>actor_forgotten_tiberianfiend.name</t>
        </is>
      </c>
      <c r="D76" s="6" t="inlineStr">
        <is>
          <t>HeavyInfantry</t>
        </is>
      </c>
      <c r="E76" s="6" t="n">
        <v>80000</v>
      </c>
      <c r="F76" s="6" t="n">
        <v>60</v>
      </c>
      <c r="G76" t="inlineStr">
        <is>
          <t>Plate</t>
        </is>
      </c>
      <c r="H76" s="6" t="n">
        <v>1</v>
      </c>
      <c r="I76" s="6" t="n">
        <v>1</v>
      </c>
      <c r="J76" s="6" t="n">
        <v>1</v>
      </c>
      <c r="K76" s="6" t="n"/>
      <c r="P76">
        <f>MAX(P77,P79)</f>
        <v/>
      </c>
      <c r="S76">
        <f>S77+S79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TSFiendShard</t>
        </is>
      </c>
      <c r="C77" s="7" t="inlineStr">
        <is>
          <t>Armament@PRIMARY</t>
        </is>
      </c>
      <c r="L77" s="6" t="n">
        <v>6000</v>
      </c>
      <c r="M77" s="6" t="n">
        <v>36</v>
      </c>
      <c r="N77" s="6" t="n">
        <v>3</v>
      </c>
      <c r="O77" s="6" t="n">
        <v>2</v>
      </c>
      <c r="P77" s="6" t="n">
        <v>5690</v>
      </c>
      <c r="Q77" s="6" t="n">
        <v>0.75</v>
      </c>
      <c r="R77">
        <f>M77+IF(N77&gt;1,N(O77)*(N77-1),0)</f>
        <v/>
      </c>
      <c r="S77">
        <f>IFERROR(L77*MAX(N77,1)/R77*IF(ISBLANK(K76),1,K76),0)</f>
        <v/>
      </c>
      <c r="AB77" s="7" t="inlineStr">
        <is>
          <t>^Warhead_Chemical_Light</t>
        </is>
      </c>
    </row>
    <row r="78">
      <c r="B78" s="7" t="inlineStr">
        <is>
          <t xml:space="preserve">  ↳ TSFiendShard</t>
        </is>
      </c>
      <c r="C78" s="7" t="inlineStr">
        <is>
          <t>Armament@GARRISONED</t>
        </is>
      </c>
      <c r="L78" s="6" t="n">
        <v>6000</v>
      </c>
      <c r="M78" s="6" t="n">
        <v>36</v>
      </c>
      <c r="N78" s="6" t="n">
        <v>3</v>
      </c>
      <c r="O78" s="6" t="n">
        <v>2</v>
      </c>
      <c r="P78" s="6" t="n">
        <v>5690</v>
      </c>
      <c r="Q78" s="6" t="n">
        <v>0.75</v>
      </c>
      <c r="R78">
        <f>M78+IF(N78&gt;1,N(O78)*(N78-1),0)</f>
        <v/>
      </c>
      <c r="S78">
        <f>IFERROR(L78*MAX(N78,1)/R78*IF(ISBLANK(K76),1,K76),0)</f>
        <v/>
      </c>
      <c r="AB78" s="7" t="inlineStr">
        <is>
          <t>^Warhead_Chemical_Light</t>
        </is>
      </c>
    </row>
    <row r="79">
      <c r="B79" s="7" t="inlineStr">
        <is>
          <t xml:space="preserve">  ↳ TSFiendShardUP</t>
        </is>
      </c>
      <c r="C79" s="7" t="inlineStr">
        <is>
          <t>Armament@UPGRADE</t>
        </is>
      </c>
      <c r="L79" s="6" t="n">
        <v>18000</v>
      </c>
      <c r="M79" s="6" t="n">
        <v>36</v>
      </c>
      <c r="N79" s="6" t="n">
        <v>3</v>
      </c>
      <c r="O79" s="6" t="n">
        <v>2</v>
      </c>
      <c r="P79" s="6" t="n">
        <v>5690</v>
      </c>
      <c r="Q79" s="6" t="n">
        <v>1</v>
      </c>
      <c r="R79">
        <f>M79+IF(N79&gt;1,N(O79)*(N79-1),0)</f>
        <v/>
      </c>
      <c r="S79">
        <f>IFERROR(L79*MAX(N79,1)/R79*IF(ISBLANK(K76),1,K76),0)</f>
        <v/>
      </c>
      <c r="AB79" s="7" t="inlineStr">
        <is>
          <t>^LightChemicalWeapon, ^MediumChemicalWeapon, ^HeavyChemicalWeapon</t>
        </is>
      </c>
    </row>
    <row r="80">
      <c r="B80" s="7" t="inlineStr">
        <is>
          <t xml:space="preserve">  ↳ TSFiendShardUP</t>
        </is>
      </c>
      <c r="C80" s="7" t="inlineStr">
        <is>
          <t>Armament@GARRISONEDUPGRADE</t>
        </is>
      </c>
      <c r="L80" s="6" t="n">
        <v>18000</v>
      </c>
      <c r="M80" s="6" t="n">
        <v>36</v>
      </c>
      <c r="N80" s="6" t="n">
        <v>3</v>
      </c>
      <c r="O80" s="6" t="n">
        <v>2</v>
      </c>
      <c r="P80" s="6" t="n">
        <v>5690</v>
      </c>
      <c r="Q80" s="6" t="n">
        <v>1</v>
      </c>
      <c r="R80">
        <f>M80+IF(N80&gt;1,N(O80)*(N80-1),0)</f>
        <v/>
      </c>
      <c r="S80">
        <f>IFERROR(L80*MAX(N80,1)/R80*IF(ISBLANK(K76),1,K76),0)</f>
        <v/>
      </c>
      <c r="AB80" s="7" t="inlineStr">
        <is>
          <t>^LightChemicalWeapon, ^MediumChemicalWeapon, ^HeavyChemicalWeapon</t>
        </is>
      </c>
    </row>
    <row r="81">
      <c r="A81" t="inlineStr">
        <is>
          <t>tiberiansun</t>
        </is>
      </c>
      <c r="B81" t="inlineStr">
        <is>
          <t>forgotten_viniferafiend</t>
        </is>
      </c>
      <c r="C81" t="inlineStr">
        <is>
          <t>actor_forgotten_viniferafiend.name</t>
        </is>
      </c>
      <c r="D81" s="6" t="inlineStr">
        <is>
          <t>HeavyInfantry</t>
        </is>
      </c>
      <c r="E81" s="6" t="n">
        <v>100000</v>
      </c>
      <c r="F81" s="6" t="n">
        <v>60</v>
      </c>
      <c r="G81" t="inlineStr">
        <is>
          <t>Plate</t>
        </is>
      </c>
      <c r="H81" s="6" t="n">
        <v>0.8376</v>
      </c>
      <c r="I81" s="6" t="n">
        <v>1</v>
      </c>
      <c r="J81" s="6" t="n">
        <v>1</v>
      </c>
      <c r="K81" s="6" t="n"/>
      <c r="P81">
        <f>MAX(P82,P84)</f>
        <v/>
      </c>
      <c r="S81">
        <f>S82+S84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2000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TSFiendShardBlue</t>
        </is>
      </c>
      <c r="C82" s="7" t="inlineStr">
        <is>
          <t>Armament@PRIMARY</t>
        </is>
      </c>
      <c r="L82" s="6" t="n">
        <v>24000</v>
      </c>
      <c r="M82" s="6" t="n">
        <v>36</v>
      </c>
      <c r="N82" s="6" t="n">
        <v>3</v>
      </c>
      <c r="O82" s="6" t="n">
        <v>2</v>
      </c>
      <c r="P82" s="6" t="n">
        <v>6096</v>
      </c>
      <c r="Q82" s="6" t="n">
        <v>1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^Grenade, ^ShrapnelWeapon, ^LightChemicalWeapon, ^MediumChemicalWeapon</t>
        </is>
      </c>
    </row>
    <row r="83">
      <c r="B83" s="7" t="inlineStr">
        <is>
          <t xml:space="preserve">  ↳ TSFiendShardBlue</t>
        </is>
      </c>
      <c r="C83" s="7" t="inlineStr">
        <is>
          <t>Armament@GARRISONED</t>
        </is>
      </c>
      <c r="L83" s="6" t="n">
        <v>24000</v>
      </c>
      <c r="M83" s="6" t="n">
        <v>36</v>
      </c>
      <c r="N83" s="6" t="n">
        <v>3</v>
      </c>
      <c r="O83" s="6" t="n">
        <v>2</v>
      </c>
      <c r="P83" s="6" t="n">
        <v>6096</v>
      </c>
      <c r="Q83" s="6" t="n">
        <v>1</v>
      </c>
      <c r="R83">
        <f>M83+IF(N83&gt;1,N(O83)*(N83-1),0)</f>
        <v/>
      </c>
      <c r="S83">
        <f>IFERROR(L83*MAX(N83,1)/R83*IF(ISBLANK(K81),1,K81),0)</f>
        <v/>
      </c>
      <c r="AB83" s="7" t="inlineStr">
        <is>
          <t>^Grenade, ^ShrapnelWeapon, ^LightChemicalWeapon, ^MediumChemicalWeapon</t>
        </is>
      </c>
    </row>
    <row r="84">
      <c r="B84" s="7" t="inlineStr">
        <is>
          <t xml:space="preserve">  ↳ TSFiendShardBlueUP</t>
        </is>
      </c>
      <c r="C84" s="7" t="inlineStr">
        <is>
          <t>Armament@UPGRADE</t>
        </is>
      </c>
      <c r="L84" s="6" t="n">
        <v>36000</v>
      </c>
      <c r="M84" s="6" t="n">
        <v>36</v>
      </c>
      <c r="N84" s="6" t="n">
        <v>3</v>
      </c>
      <c r="O84" s="6" t="n">
        <v>2</v>
      </c>
      <c r="P84" s="6" t="n">
        <v>6096</v>
      </c>
      <c r="Q84" s="6" t="n">
        <v>1</v>
      </c>
      <c r="R84">
        <f>M84+IF(N84&gt;1,N(O84)*(N84-1),0)</f>
        <v/>
      </c>
      <c r="S84">
        <f>IFERROR(L84*MAX(N84,1)/R84*IF(ISBLANK(K81),1,K81),0)</f>
        <v/>
      </c>
      <c r="AB84" s="7" t="inlineStr">
        <is>
          <t>^Grenade, ^ShrapnelWeapon, ^LightChemicalWeapon, ^MediumChemicalWeapon, ^HeavyChemicalWeapon, ^HeavyBomb</t>
        </is>
      </c>
    </row>
    <row r="85">
      <c r="B85" s="7" t="inlineStr">
        <is>
          <t xml:space="preserve">  ↳ TSFiendShardBlueUP</t>
        </is>
      </c>
      <c r="C85" s="7" t="inlineStr">
        <is>
          <t>Armament@GARRISONEDUPGRADE</t>
        </is>
      </c>
      <c r="L85" s="6" t="n">
        <v>36000</v>
      </c>
      <c r="M85" s="6" t="n">
        <v>36</v>
      </c>
      <c r="N85" s="6" t="n">
        <v>3</v>
      </c>
      <c r="O85" s="6" t="n">
        <v>2</v>
      </c>
      <c r="P85" s="6" t="n">
        <v>6096</v>
      </c>
      <c r="Q85" s="6" t="n">
        <v>1</v>
      </c>
      <c r="R85">
        <f>M85+IF(N85&gt;1,N(O85)*(N85-1),0)</f>
        <v/>
      </c>
      <c r="S85">
        <f>IFERROR(L85*MAX(N85,1)/R85*IF(ISBLANK(K81),1,K81),0)</f>
        <v/>
      </c>
      <c r="AB85" s="7" t="inlineStr">
        <is>
          <t>^Grenade, ^ShrapnelWeapon, ^LightChemicalWeapon, ^MediumChemicalWeapon, ^HeavyChemicalWeapon, ^HeavyBomb</t>
        </is>
      </c>
    </row>
    <row r="86">
      <c r="A86" t="inlineStr">
        <is>
          <t>tiberiansun</t>
        </is>
      </c>
      <c r="B86" t="inlineStr">
        <is>
          <t>forgotten_visceroid</t>
        </is>
      </c>
      <c r="C86" t="inlineStr">
        <is>
          <t>Spray'em</t>
        </is>
      </c>
      <c r="D86" s="6" t="inlineStr">
        <is>
          <t>MeleeInfantry</t>
        </is>
      </c>
      <c r="E86" s="6" t="n">
        <v>50000</v>
      </c>
      <c r="F86" s="6" t="n">
        <v>80</v>
      </c>
      <c r="G86" t="inlineStr">
        <is>
          <t>Plate</t>
        </is>
      </c>
      <c r="H86" s="6" t="n">
        <v>1</v>
      </c>
      <c r="I86" s="6" t="n">
        <v>1</v>
      </c>
      <c r="J86" s="6" t="n">
        <v>1</v>
      </c>
      <c r="K86" s="6" t="n"/>
      <c r="P86">
        <f>MAX(P87,P89)</f>
        <v/>
      </c>
      <c r="S86">
        <f>S87+S89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500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TSVisceroidSpray</t>
        </is>
      </c>
      <c r="C87" s="7" t="inlineStr">
        <is>
          <t>Armament@PRIMARY</t>
        </is>
      </c>
      <c r="L87" s="6" t="n">
        <v>10000</v>
      </c>
      <c r="M87" s="6" t="n">
        <v>25</v>
      </c>
      <c r="N87" s="6" t="n">
        <v>1</v>
      </c>
      <c r="O87" s="6" t="n"/>
      <c r="P87" s="6" t="n">
        <v>1618</v>
      </c>
      <c r="Q87" s="6" t="n">
        <v>0.75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^Warhead_Chemical_Light</t>
        </is>
      </c>
    </row>
    <row r="88">
      <c r="B88" s="7" t="inlineStr">
        <is>
          <t xml:space="preserve">  ↳ TSVisceroidSpray</t>
        </is>
      </c>
      <c r="C88" s="7" t="inlineStr">
        <is>
          <t>Armament@GARRISONED</t>
        </is>
      </c>
      <c r="L88" s="6" t="n">
        <v>10000</v>
      </c>
      <c r="M88" s="6" t="n">
        <v>25</v>
      </c>
      <c r="N88" s="6" t="n">
        <v>1</v>
      </c>
      <c r="O88" s="6" t="n"/>
      <c r="P88" s="6" t="n">
        <v>1618</v>
      </c>
      <c r="Q88" s="6" t="n">
        <v>0.75</v>
      </c>
      <c r="R88">
        <f>M88+IF(N88&gt;1,N(O88)*(N88-1),0)</f>
        <v/>
      </c>
      <c r="S88">
        <f>IFERROR(L88*MAX(N88,1)/R88*IF(ISBLANK(K86),1,K86),0)</f>
        <v/>
      </c>
      <c r="AB88" s="7" t="inlineStr">
        <is>
          <t>^Warhead_Chemical_Light</t>
        </is>
      </c>
    </row>
    <row r="89">
      <c r="B89" s="7" t="inlineStr">
        <is>
          <t xml:space="preserve">  ↳ TSVisceroidSprayUP</t>
        </is>
      </c>
      <c r="C89" s="7" t="inlineStr">
        <is>
          <t>Armament@UPGRADE</t>
        </is>
      </c>
      <c r="L89" s="6" t="n">
        <v>30000</v>
      </c>
      <c r="M89" s="6" t="n">
        <v>25</v>
      </c>
      <c r="N89" s="6" t="n">
        <v>1</v>
      </c>
      <c r="O89" s="6" t="n"/>
      <c r="P89" s="6" t="n">
        <v>1618</v>
      </c>
      <c r="Q89" s="6" t="n">
        <v>1</v>
      </c>
      <c r="R89">
        <f>M89+IF(N89&gt;1,N(O89)*(N89-1),0)</f>
        <v/>
      </c>
      <c r="S89">
        <f>IFERROR(L89*MAX(N89,1)/R89*IF(ISBLANK(K86),1,K86),0)</f>
        <v/>
      </c>
      <c r="AB89" s="7" t="inlineStr">
        <is>
          <t>^LightChemicalWeapon, ^MediumChemicalWeapon, ^HeavyChemicalWeapon</t>
        </is>
      </c>
    </row>
    <row r="90">
      <c r="B90" s="7" t="inlineStr">
        <is>
          <t xml:space="preserve">  ↳ TSVisceroidSprayUP</t>
        </is>
      </c>
      <c r="C90" s="7" t="inlineStr">
        <is>
          <t>Armament@GARRISONEDUPGRADE</t>
        </is>
      </c>
      <c r="L90" s="6" t="n">
        <v>30000</v>
      </c>
      <c r="M90" s="6" t="n">
        <v>25</v>
      </c>
      <c r="N90" s="6" t="n">
        <v>1</v>
      </c>
      <c r="O90" s="6" t="n"/>
      <c r="P90" s="6" t="n">
        <v>1618</v>
      </c>
      <c r="Q90" s="6" t="n">
        <v>1</v>
      </c>
      <c r="R90">
        <f>M90+IF(N90&gt;1,N(O90)*(N90-1),0)</f>
        <v/>
      </c>
      <c r="S90">
        <f>IFERROR(L90*MAX(N90,1)/R90*IF(ISBLANK(K86),1,K86),0)</f>
        <v/>
      </c>
      <c r="AB90" s="7" t="inlineStr">
        <is>
          <t>^LightChemicalWeapon, ^MediumChemicalWeapon, ^HeavyChemicalWeapon</t>
        </is>
      </c>
    </row>
    <row r="91">
      <c r="A91" t="inlineStr">
        <is>
          <t>tiberiansun</t>
        </is>
      </c>
      <c r="B91" t="inlineStr">
        <is>
          <t>forgotten_zombiemutant</t>
        </is>
      </c>
      <c r="C91" t="inlineStr">
        <is>
          <t>actor_forgotten_zombiemutant.name</t>
        </is>
      </c>
      <c r="D91" s="6" t="inlineStr">
        <is>
          <t>MeleeInfantry</t>
        </is>
      </c>
      <c r="E91" s="6" t="n">
        <v>45000</v>
      </c>
      <c r="F91" s="6" t="n">
        <v>100</v>
      </c>
      <c r="G91" t="inlineStr">
        <is>
          <t>Plate</t>
        </is>
      </c>
      <c r="H91" s="6" t="n">
        <v>1</v>
      </c>
      <c r="I91" s="6" t="n">
        <v>1</v>
      </c>
      <c r="J91" s="6" t="n">
        <v>1</v>
      </c>
      <c r="K91" s="6" t="n"/>
      <c r="P91">
        <f>MAX(P92)</f>
        <v/>
      </c>
      <c r="S91">
        <f>S92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500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TSZombieAttack</t>
        </is>
      </c>
      <c r="C92" s="7" t="inlineStr">
        <is>
          <t>Armament@PRIMARY</t>
        </is>
      </c>
      <c r="L92" s="6" t="n">
        <v>16000</v>
      </c>
      <c r="M92" s="6" t="n">
        <v>20</v>
      </c>
      <c r="N92" s="6" t="n">
        <v>1</v>
      </c>
      <c r="O92" s="6" t="n"/>
      <c r="P92" s="6" t="n">
        <v>1127</v>
      </c>
      <c r="Q92" s="6" t="n">
        <v>1</v>
      </c>
      <c r="R92">
        <f>M92+IF(N92&gt;1,N(O92)*(N92-1),0)</f>
        <v/>
      </c>
      <c r="S92">
        <f>IFERROR(L92*MAX(N92,1)/R92*IF(ISBLANK(K91),1,K91),0)</f>
        <v/>
      </c>
      <c r="AB92" s="7" t="inlineStr">
        <is>
          <t>^Warhead_Melee_Medium</t>
        </is>
      </c>
    </row>
    <row r="93">
      <c r="B93" s="7" t="inlineStr">
        <is>
          <t xml:space="preserve">  ↳ TSZombieAttack</t>
        </is>
      </c>
      <c r="C93" s="7" t="inlineStr">
        <is>
          <t>Armament@GARRISONED</t>
        </is>
      </c>
      <c r="L93" s="6" t="n">
        <v>16000</v>
      </c>
      <c r="M93" s="6" t="n">
        <v>20</v>
      </c>
      <c r="N93" s="6" t="n">
        <v>1</v>
      </c>
      <c r="O93" s="6" t="n"/>
      <c r="P93" s="6" t="n">
        <v>1127</v>
      </c>
      <c r="Q93" s="6" t="n">
        <v>1</v>
      </c>
      <c r="R93">
        <f>M93+IF(N93&gt;1,N(O93)*(N93-1),0)</f>
        <v/>
      </c>
      <c r="S93">
        <f>IFERROR(L93*MAX(N93,1)/R93*IF(ISBLANK(K91),1,K91),0)</f>
        <v/>
      </c>
      <c r="AB93" s="7" t="inlineStr">
        <is>
          <t>^Warhead_Melee_Medium</t>
        </is>
      </c>
    </row>
    <row r="94">
      <c r="A94" s="4" t="inlineStr">
        <is>
          <t>VEHICLES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t="inlineStr">
        <is>
          <t>tiberiansun</t>
        </is>
      </c>
      <c r="B95" t="inlineStr">
        <is>
          <t>forgotten_apctruck</t>
        </is>
      </c>
      <c r="C95" t="inlineStr">
        <is>
          <t>actor_forgotten_apctruck.name</t>
        </is>
      </c>
      <c r="D95" s="6" t="inlineStr">
        <is>
          <t>SupportVehicle</t>
        </is>
      </c>
      <c r="E95" s="6" t="n">
        <v>80000</v>
      </c>
      <c r="F95" s="6" t="n">
        <v>80</v>
      </c>
      <c r="G95" t="inlineStr">
        <is>
          <t>Light</t>
        </is>
      </c>
      <c r="H95" s="6" t="n">
        <v>1</v>
      </c>
      <c r="I95" s="6" t="n">
        <v>1</v>
      </c>
      <c r="J95" s="6" t="n">
        <v>1</v>
      </c>
      <c r="K95" s="6" t="n"/>
      <c r="P95">
        <f>MAX(P96)</f>
        <v/>
      </c>
      <c r="S95">
        <f>S96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1260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TSMutApcCannon</t>
        </is>
      </c>
      <c r="C96" s="7" t="inlineStr">
        <is>
          <t>Armament</t>
        </is>
      </c>
      <c r="L96" s="6" t="n">
        <v>4000</v>
      </c>
      <c r="M96" s="6" t="n">
        <v>12</v>
      </c>
      <c r="N96" s="6" t="n">
        <v>1</v>
      </c>
      <c r="O96" s="6" t="n"/>
      <c r="P96" s="6" t="n">
        <v>6147</v>
      </c>
      <c r="Q96" s="6" t="n">
        <v>1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^Warhead_Bullet_Medium, ^Warhead_Flak_Medium</t>
        </is>
      </c>
    </row>
    <row r="97">
      <c r="A97" t="inlineStr">
        <is>
          <t>tiberiansun</t>
        </is>
      </c>
      <c r="B97" t="inlineStr">
        <is>
          <t>forgotten_bowler</t>
        </is>
      </c>
      <c r="C97" t="inlineStr">
        <is>
          <t>actor_forgotten_bowler.name</t>
        </is>
      </c>
      <c r="D97" s="6" t="inlineStr">
        <is>
          <t>ScoutVehicle</t>
        </is>
      </c>
      <c r="E97" s="6" t="n">
        <v>40000</v>
      </c>
      <c r="F97" s="6" t="n">
        <v>120</v>
      </c>
      <c r="G97" t="inlineStr">
        <is>
          <t>Scout</t>
        </is>
      </c>
      <c r="H97" s="6" t="n">
        <v>1</v>
      </c>
      <c r="I97" s="6" t="n">
        <v>1</v>
      </c>
      <c r="J97" s="6" t="n">
        <v>1</v>
      </c>
      <c r="K97" s="6" t="n"/>
      <c r="P97">
        <f>MAX(P98)</f>
        <v/>
      </c>
      <c r="S97">
        <f>S98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(((E97/30000)+(F97/200)+(S97/450)+((P97/4500)*J97))*300/4+(((E97/30000)*(F97/200))+(((P97/4500)*J97)*(S97/450)))*300/2+((E97/30000)*(F97/200)*((P97/4500)*J97)*(S97/450))*300)*(H97/1.0)/3</f>
        <v/>
      </c>
      <c r="X97" s="6" t="n">
        <v>850</v>
      </c>
      <c r="Y97">
        <f>IFERROR(W97-X97,"")</f>
        <v/>
      </c>
      <c r="Z97">
        <f>IFERROR(ABS(Y97)/MAX(X97,1),"")</f>
        <v/>
      </c>
      <c r="AA97">
        <f>IFERROR(ROUND(((3*X97-(((E97/30000)+(F97/200)+(S97/450))*300/4+((E97/30000)*(F97/200))*300/2)*(H97/1.0))/(300/4+((S97/450))*300/2+((E97/30000)*(F97/200)*(S97/450))*300)*(H97/1.0)*4500)/J97,-1),"")</f>
        <v/>
      </c>
    </row>
    <row r="98">
      <c r="B98" s="7" t="inlineStr">
        <is>
          <t xml:space="preserve">  ↳ TSBowlerCannon</t>
        </is>
      </c>
      <c r="C98" s="7" t="inlineStr">
        <is>
          <t>Armament</t>
        </is>
      </c>
      <c r="L98" s="6" t="n">
        <v>4000</v>
      </c>
      <c r="M98" s="6" t="n">
        <v>5</v>
      </c>
      <c r="N98" s="6" t="n">
        <v>1</v>
      </c>
      <c r="O98" s="6" t="n"/>
      <c r="P98" s="6" t="n">
        <v>6603</v>
      </c>
      <c r="Q98" s="6" t="n">
        <v>0.875</v>
      </c>
      <c r="R98">
        <f>M98+IF(N98&gt;1,N(O98)*(N98-1),0)</f>
        <v/>
      </c>
      <c r="S98">
        <f>IFERROR(L98*MAX(N98,1)/R98*IF(ISBLANK(K97),1,K97),0)</f>
        <v/>
      </c>
      <c r="AB98" s="7" t="inlineStr">
        <is>
          <t>^Warhead_Bullet_Light, ^Warhead_Bullet_Medium</t>
        </is>
      </c>
    </row>
    <row r="99">
      <c r="A99" t="inlineStr">
        <is>
          <t>tiberiansun</t>
        </is>
      </c>
      <c r="B99" t="inlineStr">
        <is>
          <t>forgotten_chemicalmammothtank</t>
        </is>
      </c>
      <c r="C99" t="inlineStr">
        <is>
          <t>actor_forgotten_chemicalmammothtank.name</t>
        </is>
      </c>
      <c r="D99" s="6" t="inlineStr">
        <is>
          <t>EpicVehicle</t>
        </is>
      </c>
      <c r="E99" s="6" t="n">
        <v>400000</v>
      </c>
      <c r="F99" s="6" t="n">
        <v>60</v>
      </c>
      <c r="G99" t="inlineStr">
        <is>
          <t>Superheavy</t>
        </is>
      </c>
      <c r="H99" s="6" t="n">
        <v>0.7269</v>
      </c>
      <c r="I99" s="6" t="n">
        <v>1</v>
      </c>
      <c r="J99" s="6" t="n">
        <v>1</v>
      </c>
      <c r="K99" s="6" t="n"/>
      <c r="P99">
        <f>MAX(P100,P101)</f>
        <v/>
      </c>
      <c r="S99">
        <f>S100+S101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(((E99/4000000)+(F99/60)+(S99/20000)+((P99/8500)*J99))*10000/4+(((E99/4000000)*(F99/60))+(((P99/8500)*J99)*(S99/20000)))*10000/2+((E99/4000000)*(F99/60)*((P99/8500)*J99)*(S99/20000))*10000)*(H99/0.75)/3</f>
        <v/>
      </c>
      <c r="X99" s="6" t="n">
        <v>5000</v>
      </c>
      <c r="Y99">
        <f>IFERROR(W99-X99,"")</f>
        <v/>
      </c>
      <c r="Z99">
        <f>IFERROR(ABS(Y99)/MAX(X99,1),"")</f>
        <v/>
      </c>
      <c r="AA99">
        <f>IFERROR(ROUND(((3*X99-(((E99/4000000)+(F99/60)+(S99/20000))*10000/4+((E99/4000000)*(F99/60))*10000/2)*(H99/0.75))/(10000/4+((S99/20000))*10000/2+((E99/4000000)*(F99/60)*(S99/20000))*10000)*(H99/0.75)*8500)/J99,-1),"")</f>
        <v/>
      </c>
    </row>
    <row r="100">
      <c r="B100" s="7" t="inlineStr">
        <is>
          <t xml:space="preserve">  ↳ TS120mmxChem</t>
        </is>
      </c>
      <c r="C100" s="7" t="inlineStr">
        <is>
          <t>Armament@PRIMARY</t>
        </is>
      </c>
      <c r="L100" s="6" t="n">
        <v>80000</v>
      </c>
      <c r="M100" s="6" t="n">
        <v>60</v>
      </c>
      <c r="N100" s="6" t="n">
        <v>2</v>
      </c>
      <c r="O100" s="6" t="n">
        <v>4</v>
      </c>
      <c r="P100" s="6" t="n">
        <v>6172</v>
      </c>
      <c r="Q100" s="6" t="n">
        <v>1.25</v>
      </c>
      <c r="R100">
        <f>M100+IF(N100&gt;1,N(O100)*(N100-1),0)</f>
        <v/>
      </c>
      <c r="S100">
        <f>IFERROR(L100*MAX(N100,1)/R100*IF(ISBLANK(K99),1,K99),0)</f>
        <v/>
      </c>
      <c r="AB100" s="7" t="inlineStr">
        <is>
          <t>^Warhead_Demolition_Heavy, ^Warhead_Chemical_Heavy</t>
        </is>
      </c>
    </row>
    <row r="101">
      <c r="B101" s="7" t="inlineStr">
        <is>
          <t xml:space="preserve">  ↳ TSMammothTuskChem</t>
        </is>
      </c>
      <c r="C101" s="7" t="inlineStr">
        <is>
          <t>Armament@SECONDARY</t>
        </is>
      </c>
      <c r="L101" s="6" t="n">
        <v>40000</v>
      </c>
      <c r="M101" s="6" t="n">
        <v>48</v>
      </c>
      <c r="N101" s="6" t="n">
        <v>4</v>
      </c>
      <c r="O101" s="6" t="n">
        <v>6</v>
      </c>
      <c r="P101" s="6" t="n">
        <v>6172</v>
      </c>
      <c r="Q101" s="6" t="n">
        <v>1</v>
      </c>
      <c r="R101">
        <f>M101+IF(N101&gt;1,N(O101)*(N101-1),0)</f>
        <v/>
      </c>
      <c r="S101">
        <f>IFERROR(L101*MAX(N101,1)/R101*IF(ISBLANK(K99),1,K99),0)</f>
        <v/>
      </c>
      <c r="AB101" s="7" t="inlineStr">
        <is>
          <t>^HeavyMissile, ^HeavyChemicalWeapon</t>
        </is>
      </c>
    </row>
    <row r="102">
      <c r="A102" t="inlineStr">
        <is>
          <t>tiberiansun</t>
        </is>
      </c>
      <c r="B102" t="inlineStr">
        <is>
          <t>forgotten_closhtank</t>
        </is>
      </c>
      <c r="C102" t="inlineStr">
        <is>
          <t>actor_forgotten_closhtank.name</t>
        </is>
      </c>
      <c r="D102" s="6" t="inlineStr">
        <is>
          <t>LineBreaker</t>
        </is>
      </c>
      <c r="E102" s="6" t="n">
        <v>120000</v>
      </c>
      <c r="F102" s="6" t="n">
        <v>80</v>
      </c>
      <c r="G102" t="inlineStr">
        <is>
          <t>Superheavy</t>
        </is>
      </c>
      <c r="H102" s="6" t="n">
        <v>1</v>
      </c>
      <c r="I102" s="6" t="n">
        <v>1</v>
      </c>
      <c r="J102" s="6" t="n">
        <v>1</v>
      </c>
      <c r="K102" s="6" t="n"/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(((E102/750000)+(F102/80)+(S102/1600)+((P102/2500)*J102))*1600/4+(((E102/750000)*(F102/80))+(((P102/2500)*J102)*(S102/1600)))*1600/2+((E102/750000)*(F102/80)*((P102/2500)*J102)*(S102/1600))*1600)*(H102/1.0)/3</f>
        <v/>
      </c>
      <c r="X102" s="6" t="n">
        <v>1000</v>
      </c>
      <c r="Y102">
        <f>IFERROR(W102-X102,"")</f>
        <v/>
      </c>
      <c r="Z102">
        <f>IFERROR(ABS(Y102)/MAX(X102,1),"")</f>
        <v/>
      </c>
      <c r="AA102">
        <f>IFERROR(ROUND(((3*X102-(((E102/750000)+(F102/80)+(S102/1600))*1600/4+((E102/750000)*(F102/80))*1600/2)*(H102/1.0))/(1600/4+((S102/1600))*1600/2+((E102/750000)*(F102/80)*(S102/1600))*1600)*(H102/1.0)*2500)/J102,-1),"")</f>
        <v/>
      </c>
    </row>
    <row r="103">
      <c r="B103" s="7" t="inlineStr">
        <is>
          <t xml:space="preserve">  ↳ MutFlamer</t>
        </is>
      </c>
      <c r="C103" s="7" t="inlineStr">
        <is>
          <t>Armament@PRIMARY</t>
        </is>
      </c>
      <c r="L103" s="6" t="n">
        <v>28000</v>
      </c>
      <c r="M103" s="6" t="n">
        <v>50</v>
      </c>
      <c r="N103" s="6" t="n">
        <v>1</v>
      </c>
      <c r="O103" s="6" t="n"/>
      <c r="P103" s="6" t="n">
        <v>2386</v>
      </c>
      <c r="Q103" s="6" t="n">
        <v>1</v>
      </c>
      <c r="R103">
        <f>M103+IF(N103&gt;1,N(O103)*(N103-1),0)</f>
        <v/>
      </c>
      <c r="S103">
        <f>IFERROR(L103*MAX(N103,1)/R103*IF(ISBLANK(K102),1,K102),0)</f>
        <v/>
      </c>
      <c r="AB103" s="7" t="inlineStr">
        <is>
          <t>^Warhead_Flame_Medium</t>
        </is>
      </c>
    </row>
    <row r="104">
      <c r="B104" s="7" t="inlineStr">
        <is>
          <t xml:space="preserve">  ↳ MutFlamerChem</t>
        </is>
      </c>
      <c r="C104" s="7" t="inlineStr">
        <is>
          <t>Armament@UPGRADE</t>
        </is>
      </c>
      <c r="L104" s="6" t="n">
        <v>42000</v>
      </c>
      <c r="M104" s="6" t="n">
        <v>50</v>
      </c>
      <c r="N104" s="6" t="n">
        <v>1</v>
      </c>
      <c r="O104" s="6" t="n"/>
      <c r="P104" s="6" t="n">
        <v>2386</v>
      </c>
      <c r="Q104" s="6" t="n">
        <v>1</v>
      </c>
      <c r="R104">
        <f>M104+IF(N104&gt;1,N(O104)*(N104-1),0)</f>
        <v/>
      </c>
      <c r="S104">
        <f>IFERROR(L104*MAX(N104,1)/R104*IF(ISBLANK(K102),1,K102),0)</f>
        <v/>
      </c>
      <c r="AB104" s="7" t="inlineStr">
        <is>
          <t>^MediumFlameWeapon, ^MediumChemicalWeapon</t>
        </is>
      </c>
    </row>
    <row r="105">
      <c r="A105" t="inlineStr">
        <is>
          <t>tiberiansun</t>
        </is>
      </c>
      <c r="B105" t="inlineStr">
        <is>
          <t>forgotten_experimentalmammothtank</t>
        </is>
      </c>
      <c r="C105" t="inlineStr">
        <is>
          <t>actor_forgotten_experimentalmammothtank.name</t>
        </is>
      </c>
      <c r="D105" s="6" t="inlineStr">
        <is>
          <t>EpicVehicle</t>
        </is>
      </c>
      <c r="E105" s="6" t="n">
        <v>1000000</v>
      </c>
      <c r="F105" s="6" t="n">
        <v>50</v>
      </c>
      <c r="G105" t="inlineStr">
        <is>
          <t>Superheavy</t>
        </is>
      </c>
      <c r="H105" s="6" t="n">
        <v>0.7269</v>
      </c>
      <c r="I105" s="6" t="n">
        <v>1</v>
      </c>
      <c r="J105" s="6" t="n">
        <v>1</v>
      </c>
      <c r="K105" s="6" t="n"/>
      <c r="P105">
        <f>MAX(P106,P107,P108)</f>
        <v/>
      </c>
      <c r="S105">
        <f>S106+S107+S108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(((E105/4000000)+(F105/60)+(S105/20000)+((P105/8500)*J105))*10000/4+(((E105/4000000)*(F105/60))+(((P105/8500)*J105)*(S105/20000)))*10000/2+((E105/4000000)*(F105/60)*((P105/8500)*J105)*(S105/20000))*10000)*(H105/0.75)/3</f>
        <v/>
      </c>
      <c r="X105" s="6" t="n">
        <v>6000</v>
      </c>
      <c r="Y105">
        <f>IFERROR(W105-X105,"")</f>
        <v/>
      </c>
      <c r="Z105">
        <f>IFERROR(ABS(Y105)/MAX(X105,1),"")</f>
        <v/>
      </c>
      <c r="AA105">
        <f>IFERROR(ROUND(((3*X105-(((E105/4000000)+(F105/60)+(S105/20000))*10000/4+((E105/4000000)*(F105/60))*10000/2)*(H105/0.75))/(10000/4+((S105/20000))*10000/2+((E105/4000000)*(F105/60)*(S105/20000))*10000)*(H105/0.75)*8500)/J105,-1),"")</f>
        <v/>
      </c>
    </row>
    <row r="106">
      <c r="B106" s="7" t="inlineStr">
        <is>
          <t xml:space="preserve">  ↳ TS120mmx</t>
        </is>
      </c>
      <c r="C106" s="7" t="inlineStr">
        <is>
          <t>Armament@PRIMARY</t>
        </is>
      </c>
      <c r="L106" s="6" t="n">
        <v>63600</v>
      </c>
      <c r="M106" s="6" t="n">
        <v>52</v>
      </c>
      <c r="N106" s="6" t="n">
        <v>2</v>
      </c>
      <c r="O106" s="6" t="n">
        <v>4</v>
      </c>
      <c r="P106" s="6" t="n">
        <v>5677</v>
      </c>
      <c r="Q106" s="6" t="n">
        <v>1</v>
      </c>
      <c r="R106">
        <f>M106+IF(N106&gt;1,N(O106)*(N106-1),0)</f>
        <v/>
      </c>
      <c r="S106">
        <f>IFERROR(L106*MAX(N106,1)/R106*IF(ISBLANK(K105),1,K105),0)</f>
        <v/>
      </c>
      <c r="AB106" s="7" t="inlineStr">
        <is>
          <t>^Warhead_CannonHE_Medium, ^Warhead_Concussion_Medium</t>
        </is>
      </c>
    </row>
    <row r="107">
      <c r="B107" s="7" t="inlineStr">
        <is>
          <t xml:space="preserve">  ↳ TSChem120mmx</t>
        </is>
      </c>
      <c r="C107" s="7" t="inlineStr">
        <is>
          <t>Armament@UPGRADE</t>
        </is>
      </c>
      <c r="L107" s="6" t="n">
        <v>93600</v>
      </c>
      <c r="M107" s="6" t="n">
        <v>52</v>
      </c>
      <c r="N107" s="6" t="n">
        <v>2</v>
      </c>
      <c r="O107" s="6" t="n">
        <v>4</v>
      </c>
      <c r="P107" s="6" t="n">
        <v>5677</v>
      </c>
      <c r="Q107" s="6" t="n">
        <v>1</v>
      </c>
      <c r="R107">
        <f>M107+IF(N107&gt;1,N(O107)*(N107-1),0)</f>
        <v/>
      </c>
      <c r="S107">
        <f>IFERROR(L107*MAX(N107,1)/R107*IF(ISBLANK(K105),1,K105),0)</f>
        <v/>
      </c>
      <c r="AB107" s="7" t="inlineStr">
        <is>
          <t>^Warhead_CannonHE_Medium</t>
        </is>
      </c>
    </row>
    <row r="108">
      <c r="B108" s="7" t="inlineStr">
        <is>
          <t xml:space="preserve">  ↳ TSMammothTusk</t>
        </is>
      </c>
      <c r="C108" s="7" t="inlineStr">
        <is>
          <t>Armament@SECONDARY</t>
        </is>
      </c>
      <c r="L108" s="6" t="n">
        <v>60000</v>
      </c>
      <c r="M108" s="6" t="n">
        <v>62</v>
      </c>
      <c r="N108" s="6" t="n">
        <v>2</v>
      </c>
      <c r="O108" s="6" t="n">
        <v>8</v>
      </c>
      <c r="P108" s="6" t="n">
        <v>5677</v>
      </c>
      <c r="Q108" s="6" t="n">
        <v>1.25</v>
      </c>
      <c r="R108">
        <f>M108+IF(N108&gt;1,N(O108)*(N108-1),0)</f>
        <v/>
      </c>
      <c r="S108">
        <f>IFERROR(L108*MAX(N108,1)/R108*IF(ISBLANK(K105),1,K105),0)</f>
        <v/>
      </c>
      <c r="AB108" s="7" t="inlineStr">
        <is>
          <t>^Warhead_MissileAP_Heavy</t>
        </is>
      </c>
    </row>
    <row r="109">
      <c r="A109" t="inlineStr">
        <is>
          <t>tiberiansun</t>
        </is>
      </c>
      <c r="B109" t="inlineStr">
        <is>
          <t>forgotten_flametank</t>
        </is>
      </c>
      <c r="C109" t="inlineStr">
        <is>
          <t>actor_forgotten_flametank.name</t>
        </is>
      </c>
      <c r="D109" s="6" t="inlineStr">
        <is>
          <t>LineBreaker</t>
        </is>
      </c>
      <c r="E109" s="6" t="n">
        <v>200000</v>
      </c>
      <c r="F109" s="6" t="n">
        <v>80</v>
      </c>
      <c r="G109" t="inlineStr">
        <is>
          <t>Superheavy</t>
        </is>
      </c>
      <c r="H109" s="6" t="n">
        <v>0.7269</v>
      </c>
      <c r="I109" s="6" t="n">
        <v>1</v>
      </c>
      <c r="J109" s="6" t="n">
        <v>1</v>
      </c>
      <c r="K109" s="6" t="n"/>
      <c r="P109">
        <f>MAX(P110,P111)</f>
        <v/>
      </c>
      <c r="S109">
        <f>S110+S111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(((E109/750000)+(F109/80)+(S109/1600)+((P109/2500)*J109))*1600/4+(((E109/750000)*(F109/80))+(((P109/2500)*J109)*(S109/1600)))*1600/2+((E109/750000)*(F109/80)*((P109/2500)*J109)*(S109/1600))*1600)*(H109/1.0)/3</f>
        <v/>
      </c>
      <c r="X109" s="6" t="n">
        <v>1300</v>
      </c>
      <c r="Y109">
        <f>IFERROR(W109-X109,"")</f>
        <v/>
      </c>
      <c r="Z109">
        <f>IFERROR(ABS(Y109)/MAX(X109,1),"")</f>
        <v/>
      </c>
      <c r="AA109">
        <f>IFERROR(ROUND(((3*X109-(((E109/750000)+(F109/80)+(S109/1600))*1600/4+((E109/750000)*(F109/80))*1600/2)*(H109/1.0))/(1600/4+((S109/1600))*1600/2+((E109/750000)*(F109/80)*(S109/1600))*1600)*(H109/1.0)*2500)/J109,-1),"")</f>
        <v/>
      </c>
    </row>
    <row r="110">
      <c r="B110" s="7" t="inlineStr">
        <is>
          <t xml:space="preserve">  ↳ MutHFlamer</t>
        </is>
      </c>
      <c r="C110" s="7" t="inlineStr">
        <is>
          <t>Armament@PRIMARY</t>
        </is>
      </c>
      <c r="L110" s="6" t="n">
        <v>40000</v>
      </c>
      <c r="M110" s="6" t="n">
        <v>65</v>
      </c>
      <c r="N110" s="6" t="n">
        <v>1</v>
      </c>
      <c r="O110" s="6" t="n"/>
      <c r="P110" s="6" t="n">
        <v>2425</v>
      </c>
      <c r="Q110" s="6" t="n">
        <v>1</v>
      </c>
      <c r="R110">
        <f>M110+IF(N110&gt;1,N(O110)*(N110-1),0)</f>
        <v/>
      </c>
      <c r="S110">
        <f>IFERROR(L110*MAX(N110,1)/R110*IF(ISBLANK(K109),1,K109),0)</f>
        <v/>
      </c>
      <c r="AB110" s="7" t="inlineStr">
        <is>
          <t>^MediumFlameWeapon, ^HeavyFlameWeapon</t>
        </is>
      </c>
    </row>
    <row r="111">
      <c r="B111" s="7" t="inlineStr">
        <is>
          <t xml:space="preserve">  ↳ MutHFlamerChem</t>
        </is>
      </c>
      <c r="C111" s="7" t="inlineStr">
        <is>
          <t>Armament@UPGRADE</t>
        </is>
      </c>
      <c r="L111" s="6" t="n">
        <v>60000</v>
      </c>
      <c r="M111" s="6" t="n">
        <v>65</v>
      </c>
      <c r="N111" s="6" t="n">
        <v>1</v>
      </c>
      <c r="O111" s="6" t="n"/>
      <c r="P111" s="6" t="n">
        <v>2425</v>
      </c>
      <c r="Q111" s="6" t="n">
        <v>1</v>
      </c>
      <c r="R111">
        <f>M111+IF(N111&gt;1,N(O111)*(N111-1),0)</f>
        <v/>
      </c>
      <c r="S111">
        <f>IFERROR(L111*MAX(N111,1)/R111*IF(ISBLANK(K109),1,K109),0)</f>
        <v/>
      </c>
      <c r="AB111" s="7" t="inlineStr">
        <is>
          <t>^MediumFlameWeapon, ^HeavyFlameWeapon, ^MediumChemicalWeapon, ^HeavyChemicalWeapon</t>
        </is>
      </c>
    </row>
    <row r="112">
      <c r="A112" t="inlineStr">
        <is>
          <t>tiberiansun</t>
        </is>
      </c>
      <c r="B112" t="inlineStr">
        <is>
          <t>forgotten_m113adats</t>
        </is>
      </c>
      <c r="C112" t="inlineStr">
        <is>
          <t>actor_forgotten_m113adats.name</t>
        </is>
      </c>
      <c r="D112" s="6" t="inlineStr">
        <is>
          <t>AntiAirVehicle</t>
        </is>
      </c>
      <c r="E112" s="6" t="n">
        <v>50000</v>
      </c>
      <c r="F112" s="6" t="n">
        <v>70</v>
      </c>
      <c r="G112" t="inlineStr">
        <is>
          <t>Medium</t>
        </is>
      </c>
      <c r="H112" s="6" t="n">
        <v>1</v>
      </c>
      <c r="I112" s="6" t="n">
        <v>1</v>
      </c>
      <c r="J112" s="6" t="n">
        <v>1</v>
      </c>
      <c r="K112" s="6" t="n"/>
      <c r="P112">
        <f>MAX(P113,P114,P115,P116)</f>
        <v/>
      </c>
      <c r="S112">
        <f>S113+S114+S115+S116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(((E112/170000)+(F112/110)+(S112/1250)+((P112/6000)*J112))*1000/4+(((E112/170000)*(F112/110))+(((P112/6000)*J112)*(S112/1250)))*1000/2+((E112/170000)*(F112/110)*((P112/6000)*J112)*(S112/1250))*1000)*(H112/1.0)/3</f>
        <v/>
      </c>
      <c r="X112" s="6" t="n">
        <v>950</v>
      </c>
      <c r="Y112">
        <f>IFERROR(W112-X112,"")</f>
        <v/>
      </c>
      <c r="Z112">
        <f>IFERROR(ABS(Y112)/MAX(X112,1),"")</f>
        <v/>
      </c>
      <c r="AA112">
        <f>IFERROR(ROUND(((3*X112-(((E112/170000)+(F112/110)+(S112/1250))*1000/4+((E112/170000)*(F112/110))*1000/2)*(H112/1.0))/(1000/4+((S112/1250))*1000/2+((E112/170000)*(F112/110)*(S112/1250))*1000)*(H112/1.0)*6000)/J112,-1),"")</f>
        <v/>
      </c>
    </row>
    <row r="113">
      <c r="B113" s="7" t="inlineStr">
        <is>
          <t xml:space="preserve">  ↳ TSAdatsMissile</t>
        </is>
      </c>
      <c r="C113" s="7" t="inlineStr">
        <is>
          <t>Armament@PRIMARY</t>
        </is>
      </c>
      <c r="L113" s="6" t="n">
        <v>8000</v>
      </c>
      <c r="M113" s="6" t="n">
        <v>54</v>
      </c>
      <c r="N113" s="6" t="n">
        <v>4</v>
      </c>
      <c r="O113" s="6" t="n">
        <v>2</v>
      </c>
      <c r="P113" s="6" t="n">
        <v>5606</v>
      </c>
      <c r="Q113" s="6" t="n">
        <v>0.875</v>
      </c>
      <c r="R113">
        <f>M113+IF(N113&gt;1,N(O113)*(N113-1),0)</f>
        <v/>
      </c>
      <c r="S113">
        <f>IFERROR(L113*MAX(N113,1)/R113*IF(ISBLANK(K112),1,K112),0)</f>
        <v/>
      </c>
      <c r="AB113" s="7" t="inlineStr">
        <is>
          <t>^Warhead_Flak_Medium, ^Warhead_MissileHE_Light</t>
        </is>
      </c>
    </row>
    <row r="114">
      <c r="B114" s="7" t="inlineStr">
        <is>
          <t xml:space="preserve">  ↳ TSAdatsMissile_AA</t>
        </is>
      </c>
      <c r="C114" s="7" t="inlineStr">
        <is>
          <t>Armament@SECONDARY</t>
        </is>
      </c>
      <c r="L114" s="6" t="n">
        <v>8000</v>
      </c>
      <c r="M114" s="6" t="n">
        <v>54</v>
      </c>
      <c r="N114" s="6" t="n">
        <v>4</v>
      </c>
      <c r="O114" s="6" t="n">
        <v>2</v>
      </c>
      <c r="P114" s="6" t="n">
        <v>8409</v>
      </c>
      <c r="Q114" s="6" t="n">
        <v>0.875</v>
      </c>
      <c r="R114">
        <f>M114+IF(N114&gt;1,N(O114)*(N114-1),0)</f>
        <v/>
      </c>
      <c r="S114">
        <f>IFERROR(L114*MAX(N114,1)/R114*IF(ISBLANK(K112),1,K112),0)</f>
        <v/>
      </c>
      <c r="AB114" s="7" t="inlineStr">
        <is>
          <t>^Warhead_Flak_Medium, ^Warhead_MissileHE_Light</t>
        </is>
      </c>
    </row>
    <row r="115">
      <c r="B115" s="7" t="inlineStr">
        <is>
          <t xml:space="preserve">  ↳ TSAdatsMissile</t>
        </is>
      </c>
      <c r="C115" s="7" t="inlineStr">
        <is>
          <t>Armament@UPGRADE</t>
        </is>
      </c>
      <c r="L115" s="6" t="n">
        <v>8000</v>
      </c>
      <c r="M115" s="6" t="n">
        <v>54</v>
      </c>
      <c r="N115" s="6" t="n">
        <v>4</v>
      </c>
      <c r="O115" s="6" t="n">
        <v>2</v>
      </c>
      <c r="P115" s="6" t="n">
        <v>5606</v>
      </c>
      <c r="Q115" s="6" t="n">
        <v>0.875</v>
      </c>
      <c r="R115">
        <f>M115+IF(N115&gt;1,N(O115)*(N115-1),0)</f>
        <v/>
      </c>
      <c r="S115">
        <f>IFERROR(L115*MAX(N115,1)/R115*IF(ISBLANK(K112),1,K112),0)</f>
        <v/>
      </c>
      <c r="AB115" s="7" t="inlineStr">
        <is>
          <t>^Warhead_Flak_Medium, ^Warhead_MissileHE_Light</t>
        </is>
      </c>
    </row>
    <row r="116">
      <c r="B116" s="7" t="inlineStr">
        <is>
          <t xml:space="preserve">  ↳ TSAdatsMissile_AA</t>
        </is>
      </c>
      <c r="C116" s="7" t="inlineStr">
        <is>
          <t>Armament@UPGRADEAA</t>
        </is>
      </c>
      <c r="L116" s="6" t="n">
        <v>8000</v>
      </c>
      <c r="M116" s="6" t="n">
        <v>54</v>
      </c>
      <c r="N116" s="6" t="n">
        <v>4</v>
      </c>
      <c r="O116" s="6" t="n">
        <v>2</v>
      </c>
      <c r="P116" s="6" t="n">
        <v>8409</v>
      </c>
      <c r="Q116" s="6" t="n">
        <v>0.875</v>
      </c>
      <c r="R116">
        <f>M116+IF(N116&gt;1,N(O116)*(N116-1),0)</f>
        <v/>
      </c>
      <c r="S116">
        <f>IFERROR(L116*MAX(N116,1)/R116*IF(ISBLANK(K112),1,K112),0)</f>
        <v/>
      </c>
      <c r="AB116" s="7" t="inlineStr">
        <is>
          <t>^Warhead_Flak_Medium, ^Warhead_MissileHE_Light</t>
        </is>
      </c>
    </row>
    <row r="117">
      <c r="A117" t="inlineStr">
        <is>
          <t>tiberiansun</t>
        </is>
      </c>
      <c r="B117" t="inlineStr">
        <is>
          <t>forgotten_missilevan</t>
        </is>
      </c>
      <c r="C117" t="inlineStr">
        <is>
          <t>actor_forgotten_missilevan.name</t>
        </is>
      </c>
      <c r="D117" s="6" t="inlineStr">
        <is>
          <t>ArtilleryTank</t>
        </is>
      </c>
      <c r="E117" s="6" t="n">
        <v>35000</v>
      </c>
      <c r="F117" s="6" t="n">
        <v>75</v>
      </c>
      <c r="G117" t="inlineStr">
        <is>
          <t>Medium</t>
        </is>
      </c>
      <c r="H117" s="6" t="n">
        <v>0.7269</v>
      </c>
      <c r="I117" s="6" t="n">
        <v>1</v>
      </c>
      <c r="J117" s="6" t="n">
        <v>1</v>
      </c>
      <c r="K117" s="6" t="n"/>
      <c r="P117">
        <f>MAX(P118,P119)</f>
        <v/>
      </c>
      <c r="S117">
        <f>S118+S119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(((E117/140000)+(F117/85)+(S117/525)+((P117/12000)*J117))*700/4+(((E117/140000)*(F117/85))+(((P117/12000)*J117)*(S117/525)))*700/2+((E117/140000)*(F117/85)*((P117/12000)*J117)*(S117/525))*700)*(H117/1.0)/3</f>
        <v/>
      </c>
      <c r="X117" s="6" t="n">
        <v>1200</v>
      </c>
      <c r="Y117">
        <f>IFERROR(W117-X117,"")</f>
        <v/>
      </c>
      <c r="Z117">
        <f>IFERROR(ABS(Y117)/MAX(X117,1),"")</f>
        <v/>
      </c>
      <c r="AA117">
        <f>IFERROR(ROUND(((3*X117-(((E117/140000)+(F117/85)+(S117/525))*700/4+((E117/140000)*(F117/85))*700/2)*(H117/1.0))/(700/4+((S117/525))*700/2+((E117/140000)*(F117/85)*(S117/525))*700)*(H117/1.0)*12000)/J117,-1),"")</f>
        <v/>
      </c>
    </row>
    <row r="118">
      <c r="B118" s="7" t="inlineStr">
        <is>
          <t xml:space="preserve">  ↳ TSVanMissile</t>
        </is>
      </c>
      <c r="C118" s="7" t="inlineStr">
        <is>
          <t>Armament@PRIMARY</t>
        </is>
      </c>
      <c r="L118" s="6" t="n">
        <v>24000</v>
      </c>
      <c r="M118" s="6" t="n">
        <v>32</v>
      </c>
      <c r="N118" s="6" t="n">
        <v>2</v>
      </c>
      <c r="O118" s="6" t="n">
        <v>8</v>
      </c>
      <c r="P118" s="6" t="n">
        <v>10460</v>
      </c>
      <c r="Q118" s="6" t="n">
        <v>1</v>
      </c>
      <c r="R118">
        <f>M118+IF(N118&gt;1,N(O118)*(N118-1),0)</f>
        <v/>
      </c>
      <c r="S118">
        <f>IFERROR(L118*MAX(N118,1)/R118*IF(ISBLANK(K117),1,K117),0)</f>
        <v/>
      </c>
      <c r="AB118" s="7" t="inlineStr">
        <is>
          <t>^Warhead_Concussion_Medium</t>
        </is>
      </c>
    </row>
    <row r="119">
      <c r="B119" s="7" t="inlineStr">
        <is>
          <t xml:space="preserve">  ↳ TSChemVanMissile</t>
        </is>
      </c>
      <c r="C119" s="7" t="inlineStr">
        <is>
          <t>Armament@UPGRADE</t>
        </is>
      </c>
      <c r="L119" s="6" t="n">
        <v>36000</v>
      </c>
      <c r="M119" s="6" t="n">
        <v>32</v>
      </c>
      <c r="N119" s="6" t="n">
        <v>2</v>
      </c>
      <c r="O119" s="6" t="n">
        <v>8</v>
      </c>
      <c r="P119" s="6" t="n">
        <v>10460</v>
      </c>
      <c r="Q119" s="6" t="n">
        <v>1</v>
      </c>
      <c r="R119">
        <f>M119+IF(N119&gt;1,N(O119)*(N119-1),0)</f>
        <v/>
      </c>
      <c r="S119">
        <f>IFERROR(L119*MAX(N119,1)/R119*IF(ISBLANK(K117),1,K117),0)</f>
        <v/>
      </c>
      <c r="AB119" s="7" t="inlineStr">
        <is>
          <t>^MediumChemicalWeapon, ^ShrapnelWeapon</t>
        </is>
      </c>
    </row>
    <row r="120">
      <c r="A120" t="inlineStr">
        <is>
          <t>tiberiansun</t>
        </is>
      </c>
      <c r="B120" t="inlineStr">
        <is>
          <t>forgotten_mlrs</t>
        </is>
      </c>
      <c r="C120" t="inlineStr">
        <is>
          <t>actor_forgotten_mlrs.name</t>
        </is>
      </c>
      <c r="D120" s="6" t="inlineStr">
        <is>
          <t>ArtilleryTank</t>
        </is>
      </c>
      <c r="E120" s="6" t="n">
        <v>40000</v>
      </c>
      <c r="F120" s="6" t="n">
        <v>80</v>
      </c>
      <c r="G120" t="inlineStr">
        <is>
          <t>Medium</t>
        </is>
      </c>
      <c r="H120" s="6" t="n">
        <v>0.7269</v>
      </c>
      <c r="I120" s="6" t="n">
        <v>1</v>
      </c>
      <c r="J120" s="6" t="n">
        <v>1</v>
      </c>
      <c r="K120" s="6" t="n"/>
      <c r="P120">
        <f>MAX(P121,P122)</f>
        <v/>
      </c>
      <c r="S120">
        <f>S121+S122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(((E120/140000)+(F120/85)+(S120/525)+((P120/12000)*J120))*700/4+(((E120/140000)*(F120/85))+(((P120/12000)*J120)*(S120/525)))*700/2+((E120/140000)*(F120/85)*((P120/12000)*J120)*(S120/525))*700)*(H120/1.0)/3</f>
        <v/>
      </c>
      <c r="X120" s="6" t="n">
        <v>2750</v>
      </c>
      <c r="Y120">
        <f>IFERROR(W120-X120,"")</f>
        <v/>
      </c>
      <c r="Z120">
        <f>IFERROR(ABS(Y120)/MAX(X120,1),"")</f>
        <v/>
      </c>
      <c r="AA120">
        <f>IFERROR(ROUND(((3*X120-(((E120/140000)+(F120/85)+(S120/525))*700/4+((E120/140000)*(F120/85))*700/2)*(H120/1.0))/(700/4+((S120/525))*700/2+((E120/140000)*(F120/85)*(S120/525))*700)*(H120/1.0)*12000)/J120,-1),"")</f>
        <v/>
      </c>
    </row>
    <row r="121">
      <c r="B121" s="7" t="inlineStr">
        <is>
          <t xml:space="preserve">  ↳ TSMLRSMissile</t>
        </is>
      </c>
      <c r="C121" s="7" t="inlineStr">
        <is>
          <t>Armament@PRIMARY</t>
        </is>
      </c>
      <c r="L121" s="6" t="n">
        <v>24000</v>
      </c>
      <c r="M121" s="6" t="n">
        <v>34</v>
      </c>
      <c r="N121" s="6" t="n">
        <v>4</v>
      </c>
      <c r="O121" s="6" t="n">
        <v>2</v>
      </c>
      <c r="P121" s="6" t="n">
        <v>11913</v>
      </c>
      <c r="Q121" s="6" t="n">
        <v>1</v>
      </c>
      <c r="R121">
        <f>M121+IF(N121&gt;1,N(O121)*(N121-1),0)</f>
        <v/>
      </c>
      <c r="S121">
        <f>IFERROR(L121*MAX(N121,1)/R121*IF(ISBLANK(K120),1,K120),0)</f>
        <v/>
      </c>
      <c r="AB121" s="7" t="inlineStr">
        <is>
          <t>^Warhead_Concussion_Medium</t>
        </is>
      </c>
    </row>
    <row r="122">
      <c r="B122" s="7" t="inlineStr">
        <is>
          <t xml:space="preserve">  ↳ TSChemMLRSMissile</t>
        </is>
      </c>
      <c r="C122" s="7" t="inlineStr">
        <is>
          <t>Armament@UPGRADE</t>
        </is>
      </c>
      <c r="L122" s="6" t="n">
        <v>36000</v>
      </c>
      <c r="M122" s="6" t="n">
        <v>34</v>
      </c>
      <c r="N122" s="6" t="n">
        <v>4</v>
      </c>
      <c r="O122" s="6" t="n">
        <v>2</v>
      </c>
      <c r="P122" s="6" t="n">
        <v>11913</v>
      </c>
      <c r="Q122" s="6" t="n">
        <v>1</v>
      </c>
      <c r="R122">
        <f>M122+IF(N122&gt;1,N(O122)*(N122-1),0)</f>
        <v/>
      </c>
      <c r="S122">
        <f>IFERROR(L122*MAX(N122,1)/R122*IF(ISBLANK(K120),1,K120),0)</f>
        <v/>
      </c>
      <c r="AB122" s="7" t="inlineStr">
        <is>
          <t>^MediumChemicalWeapon, ^ShrapnelWeapon</t>
        </is>
      </c>
    </row>
    <row r="123">
      <c r="A123" t="inlineStr">
        <is>
          <t>tiberiansun</t>
        </is>
      </c>
      <c r="B123" t="inlineStr">
        <is>
          <t>forgotten_mobileconstructionvehicle</t>
        </is>
      </c>
      <c r="C123" t="inlineStr">
        <is>
          <t>actor_forgotten_mobileconstructionvehicle.name</t>
        </is>
      </c>
      <c r="D123" s="6" t="inlineStr">
        <is>
          <t>SupportVehicle</t>
        </is>
      </c>
      <c r="E123" s="6" t="n">
        <v>300000</v>
      </c>
      <c r="F123" s="6" t="n">
        <v>75</v>
      </c>
      <c r="G123" t="inlineStr">
        <is>
          <t>Medium</t>
        </is>
      </c>
      <c r="H123" s="6" t="n">
        <v>1</v>
      </c>
      <c r="I123" s="6" t="n">
        <v>1</v>
      </c>
      <c r="J123" s="6" t="n">
        <v>1</v>
      </c>
      <c r="K123" s="6" t="n"/>
      <c r="X123" s="6" t="n">
        <v>5000</v>
      </c>
    </row>
    <row r="124">
      <c r="A124" t="inlineStr">
        <is>
          <t>tiberiansun</t>
        </is>
      </c>
      <c r="B124" t="inlineStr">
        <is>
          <t>forgotten_nomadbarracks</t>
        </is>
      </c>
      <c r="C124" t="inlineStr">
        <is>
          <t>actor_forgotten_nomadbarracks.name</t>
        </is>
      </c>
      <c r="D124" s="6" t="inlineStr">
        <is>
          <t>EpicVehicle</t>
        </is>
      </c>
      <c r="E124" s="6" t="n">
        <v>650000</v>
      </c>
      <c r="F124" s="6" t="n">
        <v>65</v>
      </c>
      <c r="G124" t="inlineStr">
        <is>
          <t>Superheavy</t>
        </is>
      </c>
      <c r="H124" s="6" t="n">
        <v>0.7269</v>
      </c>
      <c r="I124" s="6" t="n">
        <v>1</v>
      </c>
      <c r="J124" s="6" t="n">
        <v>1</v>
      </c>
      <c r="K124" s="6" t="n"/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(((E124/4000000)+(F124/60)+(S124/20000)+((P124/8500)*J124))*10000/4+(((E124/4000000)*(F124/60))+(((P124/8500)*J124)*(S124/20000)))*10000/2+((E124/4000000)*(F124/60)*((P124/8500)*J124)*(S124/20000))*10000)*(H124/0.75)/3</f>
        <v/>
      </c>
      <c r="X124" s="6" t="n">
        <v>6500</v>
      </c>
      <c r="Y124">
        <f>IFERROR(W124-X124,"")</f>
        <v/>
      </c>
      <c r="Z124">
        <f>IFERROR(ABS(Y124)/MAX(X124,1),"")</f>
        <v/>
      </c>
      <c r="AA124">
        <f>IFERROR(ROUND(((3*X124-(((E124/4000000)+(F124/60)+(S124/20000))*10000/4+((E124/4000000)*(F124/60))*10000/2)*(H124/0.75))/(10000/4+((S124/20000))*10000/2+((E124/4000000)*(F124/60)*(S124/20000))*10000)*(H124/0.75)*8500)/J124,-1),"")</f>
        <v/>
      </c>
    </row>
    <row r="125">
      <c r="B125" s="7" t="inlineStr">
        <is>
          <t xml:space="preserve">  ↳ TSNomadGun</t>
        </is>
      </c>
      <c r="C125" s="7" t="inlineStr">
        <is>
          <t>Armament</t>
        </is>
      </c>
      <c r="L125" s="6" t="n">
        <v>8000</v>
      </c>
      <c r="M125" s="6" t="n">
        <v>6</v>
      </c>
      <c r="N125" s="6" t="n">
        <v>1</v>
      </c>
      <c r="O125" s="6" t="n"/>
      <c r="P125" s="6" t="n">
        <v>8301</v>
      </c>
      <c r="Q125" s="6" t="n">
        <v>1</v>
      </c>
      <c r="R125">
        <f>M125+IF(N125&gt;1,N(O125)*(N125-1),0)</f>
        <v/>
      </c>
      <c r="S125">
        <f>IFERROR(L125*MAX(N125,1)/R125*IF(ISBLANK(K124),1,K124),0)</f>
        <v/>
      </c>
      <c r="AB125" s="7" t="inlineStr">
        <is>
          <t>^Warhead_Bullet_Medium</t>
        </is>
      </c>
    </row>
    <row r="126">
      <c r="A126" t="inlineStr">
        <is>
          <t>tiberiansun</t>
        </is>
      </c>
      <c r="B126" t="inlineStr">
        <is>
          <t>forgotten_raidercar</t>
        </is>
      </c>
      <c r="C126" t="inlineStr">
        <is>
          <t>actor_forgotten_raidercar.name</t>
        </is>
      </c>
      <c r="D126" s="6" t="inlineStr">
        <is>
          <t>ScoutVehicle</t>
        </is>
      </c>
      <c r="E126" s="6" t="n">
        <v>22500</v>
      </c>
      <c r="F126" s="6" t="n">
        <v>180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K126" s="6" t="n"/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(((E126/30000)+(F126/200)+(S126/450)+((P126/4500)*J126))*300/4+(((E126/30000)*(F126/200))+(((P126/4500)*J126)*(S126/450)))*300/2+((E126/30000)*(F126/200)*((P126/4500)*J126)*(S126/450))*300)*(H126/1.0)/3</f>
        <v/>
      </c>
      <c r="X126" s="6" t="n">
        <v>300</v>
      </c>
      <c r="Y126">
        <f>IFERROR(W126-X126,"")</f>
        <v/>
      </c>
      <c r="Z126">
        <f>IFERROR(ABS(Y126)/MAX(X126,1),"")</f>
        <v/>
      </c>
      <c r="AA126">
        <f>IFERROR(ROUND(((3*X126-(((E126/30000)+(F126/200)+(S126/450))*300/4+((E126/30000)*(F126/200))*300/2)*(H126/1.0))/(300/4+((S126/450))*300/2+((E126/30000)*(F126/200)*(S126/450))*300)*(H126/1.0)*4500)/J126,-1),"")</f>
        <v/>
      </c>
    </row>
    <row r="127">
      <c r="B127" s="7" t="inlineStr">
        <is>
          <t xml:space="preserve">  ↳ TSRaiderCarCannon</t>
        </is>
      </c>
      <c r="C127" s="7" t="inlineStr">
        <is>
          <t>Armament</t>
        </is>
      </c>
      <c r="L127" s="6" t="n">
        <v>4000</v>
      </c>
      <c r="M127" s="6" t="n">
        <v>20</v>
      </c>
      <c r="N127" s="6" t="n">
        <v>4</v>
      </c>
      <c r="O127" s="6" t="n">
        <v>2</v>
      </c>
      <c r="P127" s="6" t="n">
        <v>4475</v>
      </c>
      <c r="Q127" s="6" t="n">
        <v>0.75</v>
      </c>
      <c r="R127">
        <f>M127+IF(N127&gt;1,N(O127)*(N127-1),0)</f>
        <v/>
      </c>
      <c r="S127">
        <f>IFERROR(L127*MAX(N127,1)/R127*IF(ISBLANK(K126),1,K126),0)</f>
        <v/>
      </c>
      <c r="AB127" s="7" t="inlineStr">
        <is>
          <t>^Warhead_Bullet_Light</t>
        </is>
      </c>
    </row>
    <row r="128">
      <c r="A128" t="inlineStr">
        <is>
          <t>tiberiansun</t>
        </is>
      </c>
      <c r="B128" t="inlineStr">
        <is>
          <t>forgotten_rattytank</t>
        </is>
      </c>
      <c r="C128" t="inlineStr">
        <is>
          <t>actor_forgotten_rattytank.name</t>
        </is>
      </c>
      <c r="D128" s="6" t="inlineStr">
        <is>
          <t>MainBattleTank</t>
        </is>
      </c>
      <c r="E128" s="6" t="n">
        <v>70000</v>
      </c>
      <c r="F128" s="6" t="n">
        <v>90</v>
      </c>
      <c r="G128" t="inlineStr">
        <is>
          <t>Heavy</t>
        </is>
      </c>
      <c r="H128" s="6" t="n">
        <v>1</v>
      </c>
      <c r="I128" s="6" t="n">
        <v>1</v>
      </c>
      <c r="J128" s="6" t="n">
        <v>1</v>
      </c>
      <c r="K128" s="6" t="n"/>
      <c r="P128">
        <f>MAX(P129,P130)</f>
        <v/>
      </c>
      <c r="S128">
        <f>S129+S130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(((E128/240000)+(F128/95)+(S128/600)+((P128/5500)*J128))*800/4+(((E128/240000)*(F128/95))+(((P128/5500)*J128)*(S128/600)))*800/2+((E128/240000)*(F128/95)*((P128/5500)*J128)*(S128/600))*800)*(H128/1.0)/3</f>
        <v/>
      </c>
      <c r="X128" s="6" t="n">
        <v>600</v>
      </c>
      <c r="Y128">
        <f>IFERROR(W128-X128,"")</f>
        <v/>
      </c>
      <c r="Z128">
        <f>IFERROR(ABS(Y128)/MAX(X128,1),"")</f>
        <v/>
      </c>
      <c r="AA128">
        <f>IFERROR(ROUND(((3*X128-(((E128/240000)+(F128/95)+(S128/600))*800/4+((E128/240000)*(F128/95))*800/2)*(H128/1.0))/(800/4+((S128/600))*800/2+((E128/240000)*(F128/95)*(S128/600))*800)*(H128/1.0)*5500)/J128,-1),"")</f>
        <v/>
      </c>
    </row>
    <row r="129">
      <c r="B129" s="7" t="inlineStr">
        <is>
          <t xml:space="preserve">  ↳ TS70mm</t>
        </is>
      </c>
      <c r="C129" s="7" t="inlineStr">
        <is>
          <t>Armament@PRIMARY</t>
        </is>
      </c>
      <c r="L129" s="6" t="n">
        <v>4000</v>
      </c>
      <c r="M129" s="6" t="n">
        <v>24</v>
      </c>
      <c r="N129" s="6" t="n">
        <v>1</v>
      </c>
      <c r="O129" s="6" t="n"/>
      <c r="P129" s="6" t="n">
        <v>5566</v>
      </c>
      <c r="Q129" s="6" t="n">
        <v>1</v>
      </c>
      <c r="R129">
        <f>M129+IF(N129&gt;1,N(O129)*(N129-1),0)</f>
        <v/>
      </c>
      <c r="S129">
        <f>IFERROR(L129*MAX(N129,1)/R129*IF(ISBLANK(K128),1,K128),0)</f>
        <v/>
      </c>
      <c r="AB129" s="7" t="inlineStr">
        <is>
          <t>^Warhead_CannonHE_Medium</t>
        </is>
      </c>
    </row>
    <row r="130">
      <c r="B130" s="7" t="inlineStr">
        <is>
          <t xml:space="preserve">  ↳ TS70mmChem</t>
        </is>
      </c>
      <c r="C130" s="7" t="inlineStr">
        <is>
          <t>Armament@UPGRADE</t>
        </is>
      </c>
      <c r="L130" s="6" t="n">
        <v>6000</v>
      </c>
      <c r="M130" s="6" t="n">
        <v>24</v>
      </c>
      <c r="N130" s="6" t="n">
        <v>1</v>
      </c>
      <c r="O130" s="6" t="n"/>
      <c r="P130" s="6" t="n">
        <v>5566</v>
      </c>
      <c r="Q130" s="6" t="n">
        <v>1</v>
      </c>
      <c r="R130">
        <f>M130+IF(N130&gt;1,N(O130)*(N130-1),0)</f>
        <v/>
      </c>
      <c r="S130">
        <f>IFERROR(L130*MAX(N130,1)/R130*IF(ISBLANK(K128),1,K128),0)</f>
        <v/>
      </c>
      <c r="AB130" s="7" t="inlineStr">
        <is>
          <t>^Warhead_CannonHE_Medium</t>
        </is>
      </c>
    </row>
    <row r="131">
      <c r="A131" t="inlineStr">
        <is>
          <t>tiberiansun</t>
        </is>
      </c>
      <c r="B131" t="inlineStr">
        <is>
          <t>forgotten_ruiner</t>
        </is>
      </c>
      <c r="C131" t="inlineStr">
        <is>
          <t>actor_forgotten_ruiner.name</t>
        </is>
      </c>
      <c r="D131" s="6" t="inlineStr">
        <is>
          <t>ScoutVehicle</t>
        </is>
      </c>
      <c r="E131" s="6" t="n">
        <v>35000</v>
      </c>
      <c r="F131" s="6" t="n">
        <v>150</v>
      </c>
      <c r="G131" t="inlineStr">
        <is>
          <t>Scout</t>
        </is>
      </c>
      <c r="H131" s="6" t="n">
        <v>1</v>
      </c>
      <c r="I131" s="6" t="n">
        <v>1</v>
      </c>
      <c r="J131" s="6" t="n">
        <v>1</v>
      </c>
      <c r="K131" s="6" t="n"/>
      <c r="P131">
        <f>MAX(P132,P133)</f>
        <v/>
      </c>
      <c r="S131">
        <f>S132+S133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(((E131/30000)+(F131/200)+(S131/450)+((P131/4500)*J131))*300/4+(((E131/30000)*(F131/200))+(((P131/4500)*J131)*(S131/450)))*300/2+((E131/30000)*(F131/200)*((P131/4500)*J131)*(S131/450))*300)*(H131/1.0)/3</f>
        <v/>
      </c>
      <c r="X131" s="6" t="n">
        <v>500</v>
      </c>
      <c r="Y131">
        <f>IFERROR(W131-X131,"")</f>
        <v/>
      </c>
      <c r="Z131">
        <f>IFERROR(ABS(Y131)/MAX(X131,1),"")</f>
        <v/>
      </c>
      <c r="AA131">
        <f>IFERROR(ROUND(((3*X131-(((E131/30000)+(F131/200)+(S131/450))*300/4+((E131/30000)*(F131/200))*300/2)*(H131/1.0))/(300/4+((S131/450))*300/2+((E131/30000)*(F131/200)*(S131/450))*300)*(H131/1.0)*4500)/J131,-1),"")</f>
        <v/>
      </c>
    </row>
    <row r="132">
      <c r="B132" s="7" t="inlineStr">
        <is>
          <t xml:space="preserve">  ↳ TSRuinerMissile</t>
        </is>
      </c>
      <c r="C132" s="7" t="inlineStr">
        <is>
          <t>Armament@PRIMARY</t>
        </is>
      </c>
      <c r="L132" s="6" t="n">
        <v>36000</v>
      </c>
      <c r="M132" s="6" t="n">
        <v>50</v>
      </c>
      <c r="N132" s="6" t="n">
        <v>1</v>
      </c>
      <c r="O132" s="6" t="n"/>
      <c r="P132" s="6" t="n">
        <v>5919</v>
      </c>
      <c r="Q132" s="6" t="n">
        <v>0.875</v>
      </c>
      <c r="R132">
        <f>M132+IF(N132&gt;1,N(O132)*(N132-1),0)</f>
        <v/>
      </c>
      <c r="S132">
        <f>IFERROR(L132*MAX(N132,1)/R132*IF(ISBLANK(K131),1,K131),0)</f>
        <v/>
      </c>
      <c r="AB132" s="7" t="inlineStr">
        <is>
          <t>^Warhead_Demolition_Light, ^Warhead_MissileHE_Medium</t>
        </is>
      </c>
    </row>
    <row r="133">
      <c r="B133" s="7" t="inlineStr">
        <is>
          <t xml:space="preserve">  ↳ TSChemRuinerMissile</t>
        </is>
      </c>
      <c r="C133" s="7" t="inlineStr">
        <is>
          <t>Armament@UPGRADE</t>
        </is>
      </c>
      <c r="L133" s="6" t="n">
        <v>54000</v>
      </c>
      <c r="M133" s="6" t="n">
        <v>50</v>
      </c>
      <c r="N133" s="6" t="n">
        <v>1</v>
      </c>
      <c r="O133" s="6" t="n"/>
      <c r="P133" s="6" t="n">
        <v>5919</v>
      </c>
      <c r="Q133" s="6" t="n">
        <v>1</v>
      </c>
      <c r="R133">
        <f>M133+IF(N133&gt;1,N(O133)*(N133-1),0)</f>
        <v/>
      </c>
      <c r="S133">
        <f>IFERROR(L133*MAX(N133,1)/R133*IF(ISBLANK(K131),1,K131),0)</f>
        <v/>
      </c>
      <c r="AB133" s="7" t="inlineStr">
        <is>
          <t>^LightChemicalWeapon, ^MediumChemicalWeapon, ^Grenade, ^MediumMissile</t>
        </is>
      </c>
    </row>
    <row r="134">
      <c r="A134" t="inlineStr">
        <is>
          <t>tiberiansun</t>
        </is>
      </c>
      <c r="B134" t="inlineStr">
        <is>
          <t>forgotten_scarabapc</t>
        </is>
      </c>
      <c r="C134" t="inlineStr">
        <is>
          <t>actor_forgotten_scarabapc.name</t>
        </is>
      </c>
      <c r="D134" s="6" t="inlineStr">
        <is>
          <t>SupportVehicle</t>
        </is>
      </c>
      <c r="E134" s="6" t="n">
        <v>17500</v>
      </c>
      <c r="F134" s="6" t="n">
        <v>60</v>
      </c>
      <c r="G134" t="inlineStr">
        <is>
          <t>Medium</t>
        </is>
      </c>
      <c r="H134" s="6" t="n">
        <v>1</v>
      </c>
      <c r="I134" s="6" t="n">
        <v>1</v>
      </c>
      <c r="J134" s="6" t="n">
        <v>1</v>
      </c>
      <c r="K134" s="6" t="n"/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1410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TSSAPCMissiles</t>
        </is>
      </c>
      <c r="C135" s="7" t="inlineStr">
        <is>
          <t>Armament@PRIMARY</t>
        </is>
      </c>
      <c r="L135" s="6" t="n">
        <v>16000</v>
      </c>
      <c r="M135" s="6" t="n">
        <v>18</v>
      </c>
      <c r="N135" s="6" t="n">
        <v>2</v>
      </c>
      <c r="O135" s="6" t="n">
        <v>2</v>
      </c>
      <c r="P135" s="6" t="n">
        <v>5300</v>
      </c>
      <c r="Q135" s="6" t="n">
        <v>1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^Grenade, ^LightMissile</t>
        </is>
      </c>
    </row>
    <row r="136">
      <c r="B136" s="7" t="inlineStr">
        <is>
          <t xml:space="preserve">  ↳ TSSAPCCoreMissiles</t>
        </is>
      </c>
      <c r="C136" s="7" t="inlineStr">
        <is>
          <t>Armament@UPGRADE</t>
        </is>
      </c>
      <c r="L136" s="6" t="n">
        <v>24000</v>
      </c>
      <c r="M136" s="6" t="n">
        <v>18</v>
      </c>
      <c r="N136" s="6" t="n">
        <v>2</v>
      </c>
      <c r="O136" s="6" t="n">
        <v>2</v>
      </c>
      <c r="P136" s="6" t="n">
        <v>5300</v>
      </c>
      <c r="Q136" s="6" t="n">
        <v>0.75</v>
      </c>
      <c r="R136">
        <f>M136+IF(N136&gt;1,N(O136)*(N136-1),0)</f>
        <v/>
      </c>
      <c r="S136">
        <f>IFERROR(L136*MAX(N136,1)/R136*IF(ISBLANK(K134),1,K134),0)</f>
        <v/>
      </c>
      <c r="AB136" s="7" t="inlineStr">
        <is>
          <t>^Warhead_Chemical_Light</t>
        </is>
      </c>
    </row>
    <row r="137">
      <c r="A137" t="inlineStr">
        <is>
          <t>tiberiansun</t>
        </is>
      </c>
      <c r="B137" t="inlineStr">
        <is>
          <t>forgotten_scoopertank</t>
        </is>
      </c>
      <c r="C137" t="inlineStr">
        <is>
          <t>actor_forgotten_scoopertank.name</t>
        </is>
      </c>
      <c r="D137" s="6" t="inlineStr">
        <is>
          <t>HighTechTank</t>
        </is>
      </c>
      <c r="E137" s="6" t="n">
        <v>250000</v>
      </c>
      <c r="F137" s="6" t="n">
        <v>65</v>
      </c>
      <c r="G137" t="inlineStr">
        <is>
          <t>Superheavy</t>
        </is>
      </c>
      <c r="H137" s="6" t="n">
        <v>0.7269</v>
      </c>
      <c r="I137" s="6" t="n">
        <v>1</v>
      </c>
      <c r="J137" s="6" t="n">
        <v>1</v>
      </c>
      <c r="K137" s="6" t="n"/>
      <c r="P137">
        <f>MAX(P138,P139)</f>
        <v/>
      </c>
      <c r="S137">
        <f>S138+S139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(((E137/700000)+(F137/65)+(S137/2000)+((P137/6500)*J137))*2000/4+(((E137/700000)*(F137/65))+(((P137/6500)*J137)*(S137/2000)))*2000/2+((E137/700000)*(F137/65)*((P137/6500)*J137)*(S137/2000))*2000)*(H137/0.75)/3</f>
        <v/>
      </c>
      <c r="X137" s="6" t="n">
        <v>2250</v>
      </c>
      <c r="Y137">
        <f>IFERROR(W137-X137,"")</f>
        <v/>
      </c>
      <c r="Z137">
        <f>IFERROR(ABS(Y137)/MAX(X137,1),"")</f>
        <v/>
      </c>
      <c r="AA137">
        <f>IFERROR(ROUND(((3*X137-(((E137/700000)+(F137/65)+(S137/2000))*2000/4+((E137/700000)*(F137/65))*2000/2)*(H137/0.75))/(2000/4+((S137/2000))*2000/2+((E137/700000)*(F137/65)*(S137/2000))*2000)*(H137/0.75)*6500)/J137,-1),"")</f>
        <v/>
      </c>
    </row>
    <row r="138">
      <c r="B138" s="7" t="inlineStr">
        <is>
          <t xml:space="preserve">  ↳ TSScoopDual</t>
        </is>
      </c>
      <c r="C138" s="7" t="inlineStr">
        <is>
          <t>Armament@PRIMARY</t>
        </is>
      </c>
      <c r="L138" s="6" t="n">
        <v>20000</v>
      </c>
      <c r="M138" s="6" t="n">
        <v>60</v>
      </c>
      <c r="N138" s="6" t="n">
        <v>2</v>
      </c>
      <c r="O138" s="6" t="n">
        <v>2</v>
      </c>
      <c r="P138" s="6" t="n">
        <v>6224</v>
      </c>
      <c r="Q138" s="6" t="n">
        <v>1</v>
      </c>
      <c r="R138">
        <f>M138+IF(N138&gt;1,N(O138)*(N138-1),0)</f>
        <v/>
      </c>
      <c r="S138">
        <f>IFERROR(L138*MAX(N138,1)/R138*IF(ISBLANK(K137),1,K137),0)</f>
        <v/>
      </c>
      <c r="AB138" s="7" t="inlineStr">
        <is>
          <t>^Warhead_CannonHE_Medium</t>
        </is>
      </c>
    </row>
    <row r="139">
      <c r="B139" s="7" t="inlineStr">
        <is>
          <t xml:space="preserve">  ↳ TSScoopDualChem</t>
        </is>
      </c>
      <c r="C139" s="7" t="inlineStr">
        <is>
          <t>Armament@UPGRADE</t>
        </is>
      </c>
      <c r="L139" s="6" t="n">
        <v>30000</v>
      </c>
      <c r="M139" s="6" t="n">
        <v>60</v>
      </c>
      <c r="N139" s="6" t="n">
        <v>2</v>
      </c>
      <c r="O139" s="6" t="n">
        <v>2</v>
      </c>
      <c r="P139" s="6" t="n">
        <v>6224</v>
      </c>
      <c r="Q139" s="6" t="n">
        <v>1</v>
      </c>
      <c r="R139">
        <f>M139+IF(N139&gt;1,N(O139)*(N139-1),0)</f>
        <v/>
      </c>
      <c r="S139">
        <f>IFERROR(L139*MAX(N139,1)/R139*IF(ISBLANK(K137),1,K137),0)</f>
        <v/>
      </c>
      <c r="AB139" s="7" t="inlineStr">
        <is>
          <t>^Warhead_CannonHE_Medium</t>
        </is>
      </c>
    </row>
    <row r="140">
      <c r="A140" t="inlineStr">
        <is>
          <t>tiberiansun</t>
        </is>
      </c>
      <c r="B140" t="inlineStr">
        <is>
          <t>forgotten_tankkiller</t>
        </is>
      </c>
      <c r="C140" t="inlineStr">
        <is>
          <t>actor_forgotten_tankkiller.name</t>
        </is>
      </c>
      <c r="D140" s="6" t="inlineStr">
        <is>
          <t>FireSupport</t>
        </is>
      </c>
      <c r="E140" s="6" t="n">
        <v>85000</v>
      </c>
      <c r="F140" s="6" t="n">
        <v>65</v>
      </c>
      <c r="G140" t="inlineStr">
        <is>
          <t>Light</t>
        </is>
      </c>
      <c r="H140" s="6" t="n">
        <v>1</v>
      </c>
      <c r="I140" s="6" t="n">
        <v>1</v>
      </c>
      <c r="J140" s="6" t="n">
        <v>1</v>
      </c>
      <c r="K140" s="6" t="n"/>
      <c r="P140">
        <f>MAX(P141,P142)</f>
        <v/>
      </c>
      <c r="S140">
        <f>S141+S142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(((E140/120000)+(F140/90)+(S140/2100)+((P140/10000)*J140))*1400/4+(((E140/120000)*(F140/90))+(((P140/10000)*J140)*(S140/2100)))*1400/2+((E140/120000)*(F140/90)*((P140/10000)*J140)*(S140/2100))*1400)*(H140/0.6735)/3</f>
        <v/>
      </c>
      <c r="X140" s="6" t="n">
        <v>900</v>
      </c>
      <c r="Y140">
        <f>IFERROR(W140-X140,"")</f>
        <v/>
      </c>
      <c r="Z140">
        <f>IFERROR(ABS(Y140)/MAX(X140,1),"")</f>
        <v/>
      </c>
      <c r="AA140">
        <f>IFERROR(ROUND(((3*X140-(((E140/120000)+(F140/90)+(S140/2100))*1400/4+((E140/120000)*(F140/90))*1400/2)*(H140/0.6735))/(1400/4+((S140/2100))*1400/2+((E140/120000)*(F140/90)*(S140/2100))*1400)*(H140/0.6735)*10000)/J140,-1),"")</f>
        <v/>
      </c>
    </row>
    <row r="141">
      <c r="B141" s="7" t="inlineStr">
        <is>
          <t xml:space="preserve">  ↳ TSHighVelocity</t>
        </is>
      </c>
      <c r="C141" s="7" t="inlineStr">
        <is>
          <t>Armament@PRIMARY</t>
        </is>
      </c>
      <c r="L141" s="6" t="n">
        <v>30000</v>
      </c>
      <c r="M141" s="6" t="n">
        <v>90</v>
      </c>
      <c r="N141" s="6" t="n">
        <v>1</v>
      </c>
      <c r="O141" s="6" t="n"/>
      <c r="P141" s="6" t="n">
        <v>7701</v>
      </c>
      <c r="Q141" s="6" t="n">
        <v>0.75</v>
      </c>
      <c r="R141">
        <f>M141+IF(N141&gt;1,N(O141)*(N141-1),0)</f>
        <v/>
      </c>
      <c r="S141">
        <f>IFERROR(L141*MAX(N141,1)/R141*IF(ISBLANK(K140),1,K140),0)</f>
        <v/>
      </c>
      <c r="AB141" s="7" t="inlineStr">
        <is>
          <t>^Warhead_CannonAP_Light</t>
        </is>
      </c>
    </row>
    <row r="142">
      <c r="B142" s="7" t="inlineStr">
        <is>
          <t xml:space="preserve">  ↳ TSHighVelocityChem</t>
        </is>
      </c>
      <c r="C142" s="7" t="inlineStr">
        <is>
          <t>Armament@UPGRADE</t>
        </is>
      </c>
      <c r="L142" s="6" t="n">
        <v>45000</v>
      </c>
      <c r="M142" s="6" t="n">
        <v>90</v>
      </c>
      <c r="N142" s="6" t="n">
        <v>1</v>
      </c>
      <c r="O142" s="6" t="n"/>
      <c r="P142" s="6" t="n">
        <v>7701</v>
      </c>
      <c r="Q142" s="6" t="n">
        <v>1</v>
      </c>
      <c r="R142">
        <f>M142+IF(N142&gt;1,N(O142)*(N142-1),0)</f>
        <v/>
      </c>
      <c r="S142">
        <f>IFERROR(L142*MAX(N142,1)/R142*IF(ISBLANK(K140),1,K140),0)</f>
        <v/>
      </c>
      <c r="AB142" s="7" t="inlineStr">
        <is>
          <t>^TSCannonEffect, ^LightChemicalWeapon, ^TankDestroyerCannon</t>
        </is>
      </c>
    </row>
    <row r="143">
      <c r="A143" t="inlineStr">
        <is>
          <t>tiberiansun</t>
        </is>
      </c>
      <c r="B143" t="inlineStr">
        <is>
          <t>forgotten_thumperbus</t>
        </is>
      </c>
      <c r="C143" t="inlineStr">
        <is>
          <t>actor_forgotten_thumperbus.name</t>
        </is>
      </c>
      <c r="D143" s="6" t="inlineStr">
        <is>
          <t>LineBreaker</t>
        </is>
      </c>
      <c r="E143" s="6" t="n">
        <v>200000</v>
      </c>
      <c r="F143" s="6" t="n">
        <v>90</v>
      </c>
      <c r="G143" t="inlineStr">
        <is>
          <t>Superheavy</t>
        </is>
      </c>
      <c r="H143" s="6" t="n">
        <v>0.7269</v>
      </c>
      <c r="I143" s="6" t="n">
        <v>1</v>
      </c>
      <c r="J143" s="6" t="n">
        <v>1</v>
      </c>
      <c r="K143" s="6" t="n"/>
      <c r="P143">
        <f>MAX(P144,P145)</f>
        <v/>
      </c>
      <c r="S143">
        <f>S144+S145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(((E143/750000)+(F143/80)+(S143/1600)+((P143/2500)*J143))*1600/4+(((E143/750000)*(F143/80))+(((P143/2500)*J143)*(S143/1600)))*1600/2+((E143/750000)*(F143/80)*((P143/2500)*J143)*(S143/1600))*1600)*(H143/1.0)/3</f>
        <v/>
      </c>
      <c r="X143" s="6" t="n">
        <v>5200</v>
      </c>
      <c r="Y143">
        <f>IFERROR(W143-X143,"")</f>
        <v/>
      </c>
      <c r="Z143">
        <f>IFERROR(ABS(Y143)/MAX(X143,1),"")</f>
        <v/>
      </c>
      <c r="AA143">
        <f>IFERROR(ROUND(((3*X143-(((E143/750000)+(F143/80)+(S143/1600))*1600/4+((E143/750000)*(F143/80))*1600/2)*(H143/1.0))/(1600/4+((S143/1600))*1600/2+((E143/750000)*(F143/80)*(S143/1600))*1600)*(H143/1.0)*2500)/J143,-1),"")</f>
        <v/>
      </c>
    </row>
    <row r="144">
      <c r="B144" s="7" t="inlineStr">
        <is>
          <t xml:space="preserve">  ↳ TSBusMortar</t>
        </is>
      </c>
      <c r="C144" s="7" t="inlineStr">
        <is>
          <t>Armament@PRIMARY</t>
        </is>
      </c>
      <c r="L144" s="6" t="n">
        <v>64000</v>
      </c>
      <c r="M144" s="6" t="n">
        <v>120</v>
      </c>
      <c r="N144" s="6" t="n">
        <v>1</v>
      </c>
      <c r="O144" s="6" t="n"/>
      <c r="P144" s="6" t="n">
        <v>7850</v>
      </c>
      <c r="Q144" s="6" t="n">
        <v>1.125</v>
      </c>
      <c r="R144">
        <f>M144+IF(N144&gt;1,N(O144)*(N144-1),0)</f>
        <v/>
      </c>
      <c r="S144">
        <f>IFERROR(L144*MAX(N144,1)/R144*IF(ISBLANK(K143),1,K143),0)</f>
        <v/>
      </c>
      <c r="AB144" s="7" t="inlineStr">
        <is>
          <t>^Warhead_Concussion_Medium, ^Warhead_Demolition_Heavy</t>
        </is>
      </c>
    </row>
    <row r="145">
      <c r="B145" s="7" t="inlineStr">
        <is>
          <t xml:space="preserve">  ↳ TSBusMortarChem</t>
        </is>
      </c>
      <c r="C145" s="7" t="inlineStr">
        <is>
          <t>Armament@UPGRADE</t>
        </is>
      </c>
      <c r="L145" s="6" t="n">
        <v>128000</v>
      </c>
      <c r="M145" s="6" t="n">
        <v>120</v>
      </c>
      <c r="N145" s="6" t="n">
        <v>1</v>
      </c>
      <c r="O145" s="6" t="n"/>
      <c r="P145" s="6" t="n">
        <v>7850</v>
      </c>
      <c r="Q145" s="6" t="n">
        <v>1</v>
      </c>
      <c r="R145">
        <f>M145+IF(N145&gt;1,N(O145)*(N145-1),0)</f>
        <v/>
      </c>
      <c r="S145">
        <f>IFERROR(L145*MAX(N145,1)/R145*IF(ISBLANK(K143),1,K143),0)</f>
        <v/>
      </c>
      <c r="AB145" s="7" t="inlineStr">
        <is>
          <t>^ShrapnelWeapon, ^HeavyBomb, ^MediumChemicalWeapon, ^HeavyChemicalWeapon</t>
        </is>
      </c>
    </row>
    <row r="146">
      <c r="A146" t="inlineStr">
        <is>
          <t>tiberiansun</t>
        </is>
      </c>
      <c r="B146" t="inlineStr">
        <is>
          <t>forgotten_tiberiumharvester</t>
        </is>
      </c>
      <c r="C146" t="inlineStr">
        <is>
          <t>actor_forgotten_tiberiumharvester.name</t>
        </is>
      </c>
      <c r="D146" s="6" t="inlineStr">
        <is>
          <t>Harvester</t>
        </is>
      </c>
      <c r="E146" s="6" t="n">
        <v>150000</v>
      </c>
      <c r="F146" s="6" t="n">
        <v>60</v>
      </c>
      <c r="G146" t="inlineStr">
        <is>
          <t>Heavy</t>
        </is>
      </c>
      <c r="H146" s="6" t="n">
        <v>1</v>
      </c>
      <c r="I146" s="6" t="n">
        <v>1</v>
      </c>
      <c r="J146" s="6" t="n">
        <v>1</v>
      </c>
      <c r="K146" s="6" t="n"/>
      <c r="X146" s="6" t="n">
        <v>1000</v>
      </c>
    </row>
    <row r="147">
      <c r="A147" t="inlineStr">
        <is>
          <t>tiberiansun</t>
        </is>
      </c>
      <c r="B147" t="inlineStr">
        <is>
          <t>forgotten_warriortank</t>
        </is>
      </c>
      <c r="C147" t="inlineStr">
        <is>
          <t>actor_forgotten_warriortank.name</t>
        </is>
      </c>
      <c r="D147" s="6" t="inlineStr">
        <is>
          <t>FireSupport</t>
        </is>
      </c>
      <c r="E147" s="6" t="n">
        <v>100000</v>
      </c>
      <c r="F147" s="6" t="n">
        <v>75</v>
      </c>
      <c r="G147" t="inlineStr">
        <is>
          <t>Light</t>
        </is>
      </c>
      <c r="H147" s="6" t="n">
        <v>0.7269</v>
      </c>
      <c r="I147" s="6" t="n">
        <v>1</v>
      </c>
      <c r="J147" s="6" t="n">
        <v>1</v>
      </c>
      <c r="K147" s="6" t="n"/>
      <c r="P147">
        <f>MAX(P148,P149)</f>
        <v/>
      </c>
      <c r="S147">
        <f>S148+S149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(((E147/120000)+(F147/90)+(S147/2100)+((P147/10000)*J147))*1400/4+(((E147/120000)*(F147/90))+(((P147/10000)*J147)*(S147/2100)))*1400/2+((E147/120000)*(F147/90)*((P147/10000)*J147)*(S147/2100))*1400)*(H147/0.6735)/3</f>
        <v/>
      </c>
      <c r="X147" s="6" t="n">
        <v>2000</v>
      </c>
      <c r="Y147">
        <f>IFERROR(W147-X147,"")</f>
        <v/>
      </c>
      <c r="Z147">
        <f>IFERROR(ABS(Y147)/MAX(X147,1),"")</f>
        <v/>
      </c>
      <c r="AA147">
        <f>IFERROR(ROUND(((3*X147-(((E147/120000)+(F147/90)+(S147/2100))*1400/4+((E147/120000)*(F147/90))*1400/2)*(H147/0.6735))/(1400/4+((S147/2100))*1400/2+((E147/120000)*(F147/90)*(S147/2100))*1400)*(H147/0.6735)*10000)/J147,-1),"")</f>
        <v/>
      </c>
    </row>
    <row r="148">
      <c r="B148" s="7" t="inlineStr">
        <is>
          <t xml:space="preserve">  ↳ TSHighVelocity2</t>
        </is>
      </c>
      <c r="C148" s="7" t="inlineStr">
        <is>
          <t>Armament@PRIMARY</t>
        </is>
      </c>
      <c r="L148" s="6" t="n">
        <v>40000</v>
      </c>
      <c r="M148" s="6" t="n">
        <v>55</v>
      </c>
      <c r="N148" s="6" t="n">
        <v>1</v>
      </c>
      <c r="O148" s="6" t="n"/>
      <c r="P148" s="6" t="n">
        <v>8207</v>
      </c>
      <c r="Q148" s="6" t="n">
        <v>0.75</v>
      </c>
      <c r="R148">
        <f>M148+IF(N148&gt;1,N(O148)*(N148-1),0)</f>
        <v/>
      </c>
      <c r="S148">
        <f>IFERROR(L148*MAX(N148,1)/R148*IF(ISBLANK(K147),1,K147),0)</f>
        <v/>
      </c>
      <c r="AB148" s="7" t="inlineStr">
        <is>
          <t>^Warhead_CannonAP_Light</t>
        </is>
      </c>
    </row>
    <row r="149">
      <c r="B149" s="7" t="inlineStr">
        <is>
          <t xml:space="preserve">  ↳ TSHighVelocity2Chem</t>
        </is>
      </c>
      <c r="C149" s="7" t="inlineStr">
        <is>
          <t>Armament@UPGRADE</t>
        </is>
      </c>
      <c r="L149" s="6" t="n">
        <v>60000</v>
      </c>
      <c r="M149" s="6" t="n">
        <v>55</v>
      </c>
      <c r="N149" s="6" t="n">
        <v>1</v>
      </c>
      <c r="O149" s="6" t="n"/>
      <c r="P149" s="6" t="n">
        <v>8207</v>
      </c>
      <c r="Q149" s="6" t="n">
        <v>1</v>
      </c>
      <c r="R149">
        <f>M149+IF(N149&gt;1,N(O149)*(N149-1),0)</f>
        <v/>
      </c>
      <c r="S149">
        <f>IFERROR(L149*MAX(N149,1)/R149*IF(ISBLANK(K147),1,K147),0)</f>
        <v/>
      </c>
      <c r="AB149" s="7" t="inlineStr">
        <is>
          <t>^TSCannonEffect, ^LightChemicalWeapon, ^TankDestroyerCannon</t>
        </is>
      </c>
    </row>
    <row r="150">
      <c r="A150" s="4" t="inlineStr">
        <is>
          <t>AIRCRAFT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t="inlineStr">
        <is>
          <t>tiberiansun</t>
        </is>
      </c>
      <c r="B151" t="inlineStr">
        <is>
          <t>forgotten_apache</t>
        </is>
      </c>
      <c r="C151" t="inlineStr">
        <is>
          <t>actor_forgotten_apache.name</t>
        </is>
      </c>
      <c r="D151" s="6" t="inlineStr">
        <is>
          <t>Helicopter</t>
        </is>
      </c>
      <c r="E151" s="6" t="n">
        <v>30000</v>
      </c>
      <c r="F151" s="6" t="n">
        <v>160</v>
      </c>
      <c r="G151" t="inlineStr">
        <is>
          <t>Helicopter</t>
        </is>
      </c>
      <c r="H151" s="6" t="n">
        <v>1</v>
      </c>
      <c r="I151" s="6" t="n">
        <v>1</v>
      </c>
      <c r="J151" s="6" t="n">
        <v>1</v>
      </c>
      <c r="K151" s="6" t="n"/>
      <c r="P151">
        <f>MAX(P152,P153)</f>
        <v/>
      </c>
      <c r="S151">
        <f>S152+S153</f>
        <v/>
      </c>
      <c r="T151">
        <f>(E151/100000+F151/100+(P151/1000)*J151/5+S151/200)*200*I151*H151</f>
        <v/>
      </c>
      <c r="U151">
        <f>((E151*F151/25000)+((P151/1000)*J151*S151/2.5))*I151*H151</f>
        <v/>
      </c>
      <c r="V151">
        <f>(E151*F151*(P151/1000)*J151*S151*I151*H151)/12500000</f>
        <v/>
      </c>
      <c r="W151">
        <f>(T151+U151+V151)/3</f>
        <v/>
      </c>
      <c r="X151" s="6" t="n">
        <v>1500</v>
      </c>
      <c r="Y151">
        <f>IFERROR(W151-X151,"")</f>
        <v/>
      </c>
      <c r="Z151">
        <f>IFERROR(ABS(Y151)/MAX(X151,1),"")</f>
        <v/>
      </c>
      <c r="AA151">
        <f>IFERROR((X151-(((E151/100000+F151/100+S151/200)*200*I151*H151)+((E151*F151/25000)*I151*H151))/3)/(((J151/5)*200*I151*H151)+((J151*S151/2.5)*I151*H151)+((E151*F151*J151*S151*I151*H151)/12500000))/3*1000,"")</f>
        <v/>
      </c>
    </row>
    <row r="152">
      <c r="B152" s="7" t="inlineStr">
        <is>
          <t xml:space="preserve">  ↳ TSApacheMissile</t>
        </is>
      </c>
      <c r="C152" s="7" t="inlineStr">
        <is>
          <t>Armament@PRIMARY</t>
        </is>
      </c>
      <c r="L152" s="6" t="n">
        <v>24000</v>
      </c>
      <c r="M152" s="6" t="n">
        <v>15</v>
      </c>
      <c r="N152" s="6" t="n">
        <v>1</v>
      </c>
      <c r="O152" s="6" t="n"/>
      <c r="P152" s="6" t="n">
        <v>4688</v>
      </c>
      <c r="Q152" s="6" t="n">
        <v>1.25</v>
      </c>
      <c r="R152">
        <f>M152+IF(N152&gt;1,N(O152)*(N152-1),0)</f>
        <v/>
      </c>
      <c r="S152">
        <f>IFERROR(L152*MAX(N152,1)/R152*IF(ISBLANK(K151),1,K151),0)</f>
        <v/>
      </c>
      <c r="AB152" s="7" t="inlineStr">
        <is>
          <t>^Warhead_CannonHE_Heavy</t>
        </is>
      </c>
    </row>
    <row r="153">
      <c r="B153" s="7" t="inlineStr">
        <is>
          <t xml:space="preserve">  ↳ TSChemApacheMissile</t>
        </is>
      </c>
      <c r="C153" s="7" t="inlineStr">
        <is>
          <t>Armament@UPGRADE</t>
        </is>
      </c>
      <c r="L153" s="6" t="n">
        <v>36000</v>
      </c>
      <c r="M153" s="6" t="n">
        <v>15</v>
      </c>
      <c r="N153" s="6" t="n">
        <v>1</v>
      </c>
      <c r="O153" s="6" t="n"/>
      <c r="P153" s="6" t="n">
        <v>4688</v>
      </c>
      <c r="Q153" s="6" t="n">
        <v>1.25</v>
      </c>
      <c r="R153">
        <f>M153+IF(N153&gt;1,N(O153)*(N153-1),0)</f>
        <v/>
      </c>
      <c r="S153">
        <f>IFERROR(L153*MAX(N153,1)/R153*IF(ISBLANK(K151),1,K151),0)</f>
        <v/>
      </c>
      <c r="AB153" s="7" t="inlineStr">
        <is>
          <t>^Warhead_CannonHE_Heavy</t>
        </is>
      </c>
    </row>
    <row r="154">
      <c r="A154" t="inlineStr">
        <is>
          <t>tiberiansun</t>
        </is>
      </c>
      <c r="B154" t="inlineStr">
        <is>
          <t>forgotten_carryall</t>
        </is>
      </c>
      <c r="C154" t="inlineStr">
        <is>
          <t>actor_forgotten_carryall.name</t>
        </is>
      </c>
      <c r="D154" s="6" t="inlineStr">
        <is>
          <t>Aircraft</t>
        </is>
      </c>
      <c r="E154" s="6" t="n">
        <v>17500</v>
      </c>
      <c r="F154" s="6" t="n">
        <v>149</v>
      </c>
      <c r="G154" t="inlineStr">
        <is>
          <t>Light</t>
        </is>
      </c>
      <c r="H154" s="6" t="n">
        <v>1</v>
      </c>
      <c r="I154" s="6" t="n">
        <v>1</v>
      </c>
      <c r="J154" s="6" t="n">
        <v>1</v>
      </c>
      <c r="K154" s="6" t="n"/>
      <c r="X154" s="6" t="n">
        <v>750</v>
      </c>
    </row>
    <row r="155">
      <c r="A155" t="inlineStr">
        <is>
          <t>tiberiansun</t>
        </is>
      </c>
      <c r="B155" t="inlineStr">
        <is>
          <t>forgotten_chinook</t>
        </is>
      </c>
      <c r="C155" t="inlineStr">
        <is>
          <t>Chinook</t>
        </is>
      </c>
      <c r="D155" s="6" t="inlineStr">
        <is>
          <t>Aircraft</t>
        </is>
      </c>
      <c r="E155" s="6" t="n">
        <v>18000</v>
      </c>
      <c r="F155" s="6" t="n">
        <v>120</v>
      </c>
      <c r="G155" t="inlineStr">
        <is>
          <t>Light</t>
        </is>
      </c>
      <c r="H155" s="6" t="n">
        <v>1</v>
      </c>
      <c r="I155" s="6" t="n">
        <v>1</v>
      </c>
      <c r="J155" s="6" t="n">
        <v>1</v>
      </c>
      <c r="K155" s="6" t="n"/>
      <c r="X155" s="6" t="n">
        <v>700</v>
      </c>
    </row>
    <row r="156">
      <c r="A156" t="inlineStr">
        <is>
          <t>tiberiansun</t>
        </is>
      </c>
      <c r="B156" t="inlineStr">
        <is>
          <t>forgotten_cobracopter</t>
        </is>
      </c>
      <c r="C156" t="inlineStr">
        <is>
          <t>actor_forgotten_cobracopter.name</t>
        </is>
      </c>
      <c r="D156" s="6" t="inlineStr">
        <is>
          <t>Helicopter</t>
        </is>
      </c>
      <c r="E156" s="6" t="n">
        <v>32500</v>
      </c>
      <c r="F156" s="6" t="n">
        <v>165</v>
      </c>
      <c r="G156" t="inlineStr">
        <is>
          <t>Helicopter</t>
        </is>
      </c>
      <c r="H156" s="6" t="n">
        <v>1</v>
      </c>
      <c r="I156" s="6" t="n">
        <v>1</v>
      </c>
      <c r="J156" s="6" t="n">
        <v>1</v>
      </c>
      <c r="K156" s="6" t="n"/>
      <c r="P156">
        <f>MAX(P157,P158)</f>
        <v/>
      </c>
      <c r="S156">
        <f>S157+S158</f>
        <v/>
      </c>
      <c r="T156">
        <f>(E156/100000+F156/100+(P156/1000)*J156/5+S156/200)*200*I156*H156</f>
        <v/>
      </c>
      <c r="U156">
        <f>((E156*F156/25000)+((P156/1000)*J156*S156/2.5))*I156*H156</f>
        <v/>
      </c>
      <c r="V156">
        <f>(E156*F156*(P156/1000)*J156*S156*I156*H156)/12500000</f>
        <v/>
      </c>
      <c r="W156">
        <f>(T156+U156+V156)/3</f>
        <v/>
      </c>
      <c r="X156" s="6" t="n">
        <v>2000</v>
      </c>
      <c r="Y156">
        <f>IFERROR(W156-X156,"")</f>
        <v/>
      </c>
      <c r="Z156">
        <f>IFERROR(ABS(Y156)/MAX(X156,1),"")</f>
        <v/>
      </c>
      <c r="AA156">
        <f>IFERROR((X156-(((E156/100000+F156/100+S156/200)*200*I156*H156)+((E156*F156/25000)*I156*H156))/3)/(((J156/5)*200*I156*H156)+((J156*S156/2.5)*I156*H156)+((E156*F156*J156*S156*I156*H156)/12500000))/3*1000,"")</f>
        <v/>
      </c>
    </row>
    <row r="157">
      <c r="B157" s="7" t="inlineStr">
        <is>
          <t xml:space="preserve">  ↳ TSCobraMissile</t>
        </is>
      </c>
      <c r="C157" s="7" t="inlineStr">
        <is>
          <t>Armament@PRIMARY</t>
        </is>
      </c>
      <c r="L157" s="6" t="n">
        <v>24000</v>
      </c>
      <c r="M157" s="6" t="n">
        <v>12</v>
      </c>
      <c r="N157" s="6" t="n">
        <v>1</v>
      </c>
      <c r="O157" s="6" t="n"/>
      <c r="P157" s="6" t="n">
        <v>5052</v>
      </c>
      <c r="Q157" s="6" t="n">
        <v>1.25</v>
      </c>
      <c r="R157">
        <f>M157+IF(N157&gt;1,N(O157)*(N157-1),0)</f>
        <v/>
      </c>
      <c r="S157">
        <f>IFERROR(L157*MAX(N157,1)/R157*IF(ISBLANK(K156),1,K156),0)</f>
        <v/>
      </c>
      <c r="AB157" s="7" t="inlineStr">
        <is>
          <t>^Warhead_CannonHE_Heavy</t>
        </is>
      </c>
    </row>
    <row r="158">
      <c r="B158" s="7" t="inlineStr">
        <is>
          <t xml:space="preserve">  ↳ TSChemCobraMissile</t>
        </is>
      </c>
      <c r="C158" s="7" t="inlineStr">
        <is>
          <t>Armament@SECONDARY</t>
        </is>
      </c>
      <c r="L158" s="6" t="n">
        <v>36000</v>
      </c>
      <c r="M158" s="6" t="n">
        <v>12</v>
      </c>
      <c r="N158" s="6" t="n">
        <v>1</v>
      </c>
      <c r="O158" s="6" t="n"/>
      <c r="P158" s="6" t="n">
        <v>5052</v>
      </c>
      <c r="Q158" s="6" t="n">
        <v>1.25</v>
      </c>
      <c r="R158">
        <f>M158+IF(N158&gt;1,N(O158)*(N158-1),0)</f>
        <v/>
      </c>
      <c r="S158">
        <f>IFERROR(L158*MAX(N158,1)/R158*IF(ISBLANK(K156),1,K156),0)</f>
        <v/>
      </c>
      <c r="AB158" s="7" t="inlineStr">
        <is>
          <t>^Warhead_CannonHE_Heavy</t>
        </is>
      </c>
    </row>
    <row r="159">
      <c r="A159" t="inlineStr">
        <is>
          <t>tiberiansun</t>
        </is>
      </c>
      <c r="B159" t="inlineStr">
        <is>
          <t>forgotten_cropplane</t>
        </is>
      </c>
      <c r="C159" t="inlineStr">
        <is>
          <t>actor_forgotten_cropplane.name</t>
        </is>
      </c>
      <c r="D159" s="6" t="inlineStr">
        <is>
          <t>Bomber</t>
        </is>
      </c>
      <c r="E159" s="6" t="n">
        <v>75000</v>
      </c>
      <c r="F159" s="6" t="n">
        <v>160</v>
      </c>
      <c r="G159" t="inlineStr">
        <is>
          <t>Bomber</t>
        </is>
      </c>
      <c r="H159" s="6" t="n">
        <v>0.7971</v>
      </c>
      <c r="I159" s="6" t="n">
        <v>1</v>
      </c>
      <c r="J159" s="6" t="n">
        <v>1</v>
      </c>
      <c r="K159" s="6" t="n"/>
      <c r="P159">
        <f>MAX(P160,P161)</f>
        <v/>
      </c>
      <c r="S159">
        <f>S160+S161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(T159+U159+V159)/3</f>
        <v/>
      </c>
      <c r="X159" s="6" t="n">
        <v>1500</v>
      </c>
      <c r="Y159">
        <f>IFERROR(W159-X159,"")</f>
        <v/>
      </c>
      <c r="Z159">
        <f>IFERROR(ABS(Y159)/MAX(X159,1),"")</f>
        <v/>
      </c>
      <c r="AA159">
        <f>IFERROR((X159-(((E159/100000+F159/100+S159/200)*200*I159*H159)+((E159*F159/25000)*I159*H159))/3)/(((J159/5)*200*I159*H159)+((J159*S159/2.5)*I159*H159)+((E159*F159*J159*S159*I159*H159)/12500000))/3*1000,"")</f>
        <v/>
      </c>
    </row>
    <row r="160">
      <c r="B160" s="7" t="inlineStr">
        <is>
          <t xml:space="preserve">  ↳ TSCropBomb</t>
        </is>
      </c>
      <c r="C160" s="7" t="inlineStr">
        <is>
          <t>Armament@PRIMARY</t>
        </is>
      </c>
      <c r="L160" s="6" t="n">
        <v>120000</v>
      </c>
      <c r="M160" s="6" t="n">
        <v>50</v>
      </c>
      <c r="N160" s="6" t="n">
        <v>1</v>
      </c>
      <c r="O160" s="6" t="n"/>
      <c r="P160" s="6" t="n">
        <v>1250</v>
      </c>
      <c r="Q160" s="6" t="n">
        <v>1.25</v>
      </c>
      <c r="R160">
        <f>M160+IF(N160&gt;1,N(O160)*(N160-1),0)</f>
        <v/>
      </c>
      <c r="S160">
        <f>IFERROR(L160*MAX(N160,1)/R160*IF(ISBLANK(K159),1,K159),0)</f>
        <v/>
      </c>
      <c r="AB160" s="7" t="inlineStr">
        <is>
          <t>^Warhead_Demolition_Heavy</t>
        </is>
      </c>
    </row>
    <row r="161">
      <c r="B161" s="7" t="inlineStr">
        <is>
          <t xml:space="preserve">  ↳ TSCropBombChem</t>
        </is>
      </c>
      <c r="C161" s="7" t="inlineStr">
        <is>
          <t>Armament@UPGRADE</t>
        </is>
      </c>
      <c r="L161" s="6" t="n">
        <v>180000</v>
      </c>
      <c r="M161" s="6" t="n">
        <v>50</v>
      </c>
      <c r="N161" s="6" t="n">
        <v>1</v>
      </c>
      <c r="O161" s="6" t="n"/>
      <c r="P161" s="6" t="n">
        <v>1250</v>
      </c>
      <c r="Q161" s="6" t="n">
        <v>1.25</v>
      </c>
      <c r="R161">
        <f>M161+IF(N161&gt;1,N(O161)*(N161-1),0)</f>
        <v/>
      </c>
      <c r="S161">
        <f>IFERROR(L161*MAX(N161,1)/R161*IF(ISBLANK(K159),1,K159),0)</f>
        <v/>
      </c>
      <c r="AB161" s="7" t="inlineStr">
        <is>
          <t>^Warhead_Demolition_Heavy, ^Warhead_Chemical_Heavy</t>
        </is>
      </c>
    </row>
    <row r="162">
      <c r="A162" t="inlineStr">
        <is>
          <t>tiberiansun</t>
        </is>
      </c>
      <c r="B162" t="inlineStr">
        <is>
          <t>forgotten_locustbomber</t>
        </is>
      </c>
      <c r="C162" t="inlineStr">
        <is>
          <t>actor_forgotten_locustbomber.name</t>
        </is>
      </c>
      <c r="D162" s="6" t="inlineStr">
        <is>
          <t>Bomber</t>
        </is>
      </c>
      <c r="E162" s="6" t="n">
        <v>115000</v>
      </c>
      <c r="F162" s="6" t="n">
        <v>180</v>
      </c>
      <c r="G162" t="inlineStr">
        <is>
          <t>Bomber</t>
        </is>
      </c>
      <c r="H162" s="6" t="n">
        <v>0.7971</v>
      </c>
      <c r="I162" s="6" t="n">
        <v>1</v>
      </c>
      <c r="J162" s="6" t="n">
        <v>1</v>
      </c>
      <c r="K162" s="6" t="n"/>
      <c r="P162">
        <f>MAX(P163,P164)</f>
        <v/>
      </c>
      <c r="S162">
        <f>S163+S164</f>
        <v/>
      </c>
      <c r="T162">
        <f>(E162/100000+F162/100+(P162/1000)*J162/5+S162/200)*200*I162*H162</f>
        <v/>
      </c>
      <c r="U162">
        <f>((E162*F162/25000)+((P162/1000)*J162*S162/2.5))*I162*H162</f>
        <v/>
      </c>
      <c r="V162">
        <f>(E162*F162*(P162/1000)*J162*S162*I162*H162)/12500000</f>
        <v/>
      </c>
      <c r="W162">
        <f>(T162+U162+V162)/3</f>
        <v/>
      </c>
      <c r="X162" s="6" t="n">
        <v>3000</v>
      </c>
      <c r="Y162">
        <f>IFERROR(W162-X162,"")</f>
        <v/>
      </c>
      <c r="Z162">
        <f>IFERROR(ABS(Y162)/MAX(X162,1),"")</f>
        <v/>
      </c>
      <c r="AA162">
        <f>IFERROR((X162-(((E162/100000+F162/100+S162/200)*200*I162*H162)+((E162*F162/25000)*I162*H162))/3)/(((J162/5)*200*I162*H162)+((J162*S162/2.5)*I162*H162)+((E162*F162*J162*S162*I162*H162)/12500000))/3*1000,"")</f>
        <v/>
      </c>
    </row>
    <row r="163">
      <c r="B163" s="7" t="inlineStr">
        <is>
          <t xml:space="preserve">  ↳ TSLocustBomb</t>
        </is>
      </c>
      <c r="C163" s="7" t="inlineStr">
        <is>
          <t>Armament@PRIMARY</t>
        </is>
      </c>
      <c r="L163" s="6" t="n">
        <v>180000</v>
      </c>
      <c r="M163" s="6" t="n">
        <v>38</v>
      </c>
      <c r="N163" s="6" t="n">
        <v>5</v>
      </c>
      <c r="O163" s="6" t="n">
        <v>3</v>
      </c>
      <c r="P163" s="6" t="n">
        <v>1250</v>
      </c>
      <c r="Q163" s="6" t="n">
        <v>1.25</v>
      </c>
      <c r="R163">
        <f>M163+IF(N163&gt;1,N(O163)*(N163-1),0)</f>
        <v/>
      </c>
      <c r="S163">
        <f>IFERROR(L163*MAX(N163,1)/R163*IF(ISBLANK(K162),1,K162),0)</f>
        <v/>
      </c>
      <c r="AB163" s="7" t="inlineStr">
        <is>
          <t>^Warhead_Demolition_Heavy</t>
        </is>
      </c>
    </row>
    <row r="164">
      <c r="B164" s="7" t="inlineStr">
        <is>
          <t xml:space="preserve">  ↳ TSLocustBombChem</t>
        </is>
      </c>
      <c r="C164" s="7" t="inlineStr">
        <is>
          <t>Armament@UPGRADE</t>
        </is>
      </c>
      <c r="L164" s="6" t="n">
        <v>270000</v>
      </c>
      <c r="M164" s="6" t="n">
        <v>38</v>
      </c>
      <c r="N164" s="6" t="n">
        <v>5</v>
      </c>
      <c r="O164" s="6" t="n">
        <v>3</v>
      </c>
      <c r="P164" s="6" t="n">
        <v>1250</v>
      </c>
      <c r="Q164" s="6" t="n">
        <v>1.25</v>
      </c>
      <c r="R164">
        <f>M164+IF(N164&gt;1,N(O164)*(N164-1),0)</f>
        <v/>
      </c>
      <c r="S164">
        <f>IFERROR(L164*MAX(N164,1)/R164*IF(ISBLANK(K162),1,K162),0)</f>
        <v/>
      </c>
      <c r="AB164" s="7" t="inlineStr">
        <is>
          <t>^Warhead_Demolition_Heavy, ^Warhead_Chemical_Heavy</t>
        </is>
      </c>
    </row>
    <row r="165">
      <c r="A165" t="inlineStr">
        <is>
          <t>tiberiansun</t>
        </is>
      </c>
      <c r="B165" t="inlineStr">
        <is>
          <t>forgotten_wasp</t>
        </is>
      </c>
      <c r="C165" t="inlineStr">
        <is>
          <t>actor_forgotten_wasp.name</t>
        </is>
      </c>
      <c r="D165" s="6" t="inlineStr">
        <is>
          <t>Helicopter</t>
        </is>
      </c>
      <c r="E165" s="6" t="n">
        <v>25000</v>
      </c>
      <c r="F165" s="6" t="n">
        <v>200</v>
      </c>
      <c r="G165" t="inlineStr">
        <is>
          <t>Helicopter</t>
        </is>
      </c>
      <c r="H165" s="6" t="n">
        <v>1</v>
      </c>
      <c r="I165" s="6" t="n">
        <v>1</v>
      </c>
      <c r="J165" s="6" t="n">
        <v>1</v>
      </c>
      <c r="K165" s="6" t="n"/>
      <c r="P165">
        <f>MAX(P166)</f>
        <v/>
      </c>
      <c r="S165">
        <f>S166</f>
        <v/>
      </c>
      <c r="T165">
        <f>(E165/100000+F165/100+(P165/1000)*J165/5+S165/200)*200*I165*H165</f>
        <v/>
      </c>
      <c r="U165">
        <f>((E165*F165/25000)+((P165/1000)*J165*S165/2.5))*I165*H165</f>
        <v/>
      </c>
      <c r="V165">
        <f>(E165*F165*(P165/1000)*J165*S165*I165*H165)/12500000</f>
        <v/>
      </c>
      <c r="W165">
        <f>(T165+U165+V165)/3</f>
        <v/>
      </c>
      <c r="X165" s="6" t="n">
        <v>1000</v>
      </c>
      <c r="Y165">
        <f>IFERROR(W165-X165,"")</f>
        <v/>
      </c>
      <c r="Z165">
        <f>IFERROR(ABS(Y165)/MAX(X165,1),"")</f>
        <v/>
      </c>
      <c r="AA165">
        <f>IFERROR((X165-(((E165/100000+F165/100+S165/200)*200*I165*H165)+((E165*F165/25000)*I165*H165))/3)/(((J165/5)*200*I165*H165)+((J165*S165/2.5)*I165*H165)+((E165*F165*J165*S165*I165*H165)/12500000))/3*1000,"")</f>
        <v/>
      </c>
    </row>
    <row r="166">
      <c r="B166" s="7" t="inlineStr">
        <is>
          <t xml:space="preserve">  ↳ TSWaspClaw</t>
        </is>
      </c>
      <c r="C166" s="7" t="inlineStr">
        <is>
          <t>Armament@PRIMARY</t>
        </is>
      </c>
      <c r="L166" s="6" t="n">
        <v>4000</v>
      </c>
      <c r="M166" s="6" t="n">
        <v>18</v>
      </c>
      <c r="N166" s="6" t="n">
        <v>2</v>
      </c>
      <c r="O166" s="6" t="n">
        <v>0</v>
      </c>
      <c r="P166" s="6" t="n">
        <v>4882</v>
      </c>
      <c r="Q166" s="6" t="n">
        <v>1</v>
      </c>
      <c r="R166">
        <f>M166+IF(N166&gt;1,N(O166)*(N166-1),0)</f>
        <v/>
      </c>
      <c r="S166">
        <f>IFERROR(L166*MAX(N166,1)/R166*IF(ISBLANK(K165),1,K165),0)</f>
        <v/>
      </c>
      <c r="AB166" s="7" t="inlineStr">
        <is>
          <t>^Warhead_Bullet_Medium</t>
        </is>
      </c>
    </row>
    <row r="167">
      <c r="A167" s="4" t="inlineStr">
        <is>
          <t>NAVAL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t="inlineStr">
        <is>
          <t>tiberiansun</t>
        </is>
      </c>
      <c r="B168" t="inlineStr">
        <is>
          <t>forgotten_cannonboat</t>
        </is>
      </c>
      <c r="C168" t="inlineStr">
        <is>
          <t>Cannon Tug</t>
        </is>
      </c>
      <c r="D168" s="6" t="inlineStr">
        <is>
          <t>BattleShip</t>
        </is>
      </c>
      <c r="E168" s="6" t="n">
        <v>125000</v>
      </c>
      <c r="F168" s="6" t="n">
        <v>85</v>
      </c>
      <c r="G168" t="inlineStr">
        <is>
          <t>Heavy</t>
        </is>
      </c>
      <c r="H168" s="6" t="n">
        <v>1</v>
      </c>
      <c r="I168" s="6" t="n">
        <v>1</v>
      </c>
      <c r="J168" s="6" t="n">
        <v>1</v>
      </c>
      <c r="K168" s="6" t="n"/>
      <c r="P168">
        <f>MAX(P169,P170,P171,P172)</f>
        <v/>
      </c>
      <c r="S168">
        <f>S169+S170+S171+S172</f>
        <v/>
      </c>
      <c r="T168">
        <f>(E168/100000+F168/100+(P168/1000)*J168/5+S168/200)*200*I168*H168</f>
        <v/>
      </c>
      <c r="U168">
        <f>((E168*F168/25000)+((P168/1000)*J168*S168/2.5))*I168*H168</f>
        <v/>
      </c>
      <c r="V168">
        <f>(E168*F168*(P168/1000)*J168*S168*I168*H168)/12500000</f>
        <v/>
      </c>
      <c r="W168">
        <f>(T168+U168+V168)/3</f>
        <v/>
      </c>
      <c r="X168" s="6" t="n">
        <v>1600</v>
      </c>
      <c r="Y168">
        <f>IFERROR(W168-X168,"")</f>
        <v/>
      </c>
      <c r="Z168">
        <f>IFERROR(ABS(Y168)/MAX(X168,1),"")</f>
        <v/>
      </c>
      <c r="AA168">
        <f>IFERROR((X168-(((E168/100000+F168/100+S168/200)*200*I168*H168)+((E168*F168/25000)*I168*H168))/3)/(((J168/5)*200*I168*H168)+((J168*S168/2.5)*I168*H168)+((E168*F168*J168*S168*I168*H168)/12500000))/3*1000,"")</f>
        <v/>
      </c>
    </row>
    <row r="169">
      <c r="B169" s="7" t="inlineStr">
        <is>
          <t xml:space="preserve">  ↳ TSBoatcannon</t>
        </is>
      </c>
      <c r="C169" s="7" t="inlineStr">
        <is>
          <t>Armament</t>
        </is>
      </c>
      <c r="L169" s="6" t="n">
        <v>18000</v>
      </c>
      <c r="M169" s="6" t="n">
        <v>80</v>
      </c>
      <c r="N169" s="6" t="n">
        <v>2</v>
      </c>
      <c r="O169" s="6" t="n">
        <v>3</v>
      </c>
      <c r="P169" s="6" t="n">
        <v>8000</v>
      </c>
      <c r="Q169" s="6" t="n">
        <v>1.125</v>
      </c>
      <c r="R169">
        <f>M169+IF(N169&gt;1,N(O169)*(N169-1),0)</f>
        <v/>
      </c>
      <c r="S169">
        <f>IFERROR(L169*MAX(N169,1)/R169*IF(ISBLANK(K168),1,K168),0)</f>
        <v/>
      </c>
      <c r="AB169" s="7" t="inlineStr">
        <is>
          <t>^Warhead_Concussion_Medium, ^Warhead_Demolition_Heavy</t>
        </is>
      </c>
    </row>
    <row r="170">
      <c r="B170" s="7" t="inlineStr">
        <is>
          <t xml:space="preserve">  ↳ TSChemBoatcannon</t>
        </is>
      </c>
      <c r="C170" s="7" t="inlineStr">
        <is>
          <t>Armament@UPGRADE</t>
        </is>
      </c>
      <c r="L170" s="6" t="n">
        <v>25000</v>
      </c>
      <c r="M170" s="6" t="n">
        <v>80</v>
      </c>
      <c r="N170" s="6" t="n">
        <v>2</v>
      </c>
      <c r="O170" s="6" t="n">
        <v>3</v>
      </c>
      <c r="P170" s="6" t="n">
        <v>8000</v>
      </c>
      <c r="Q170" s="6" t="n">
        <v>1</v>
      </c>
      <c r="R170">
        <f>M170+IF(N170&gt;1,N(O170)*(N170-1),0)</f>
        <v/>
      </c>
      <c r="S170">
        <f>IFERROR(L170*MAX(N170,1)/R170*IF(ISBLANK(K168),1,K168),0)</f>
        <v/>
      </c>
      <c r="AB170" s="7" t="inlineStr">
        <is>
          <t>^ShrapnelWeapon, ^HeavyBomb, ^MediumChemicalWeapon</t>
        </is>
      </c>
    </row>
    <row r="171">
      <c r="B171" s="7" t="inlineStr">
        <is>
          <t xml:space="preserve">  ↳ DepthCharge</t>
        </is>
      </c>
      <c r="C171" s="7" t="inlineStr">
        <is>
          <t>Armament@DC1</t>
        </is>
      </c>
      <c r="L171" s="6" t="n">
        <v>60000</v>
      </c>
      <c r="M171" s="6" t="n">
        <v>60</v>
      </c>
      <c r="N171" s="6" t="n">
        <v>1</v>
      </c>
      <c r="O171" s="6" t="n"/>
      <c r="P171" s="6" t="n">
        <v>6000</v>
      </c>
      <c r="Q171" s="6" t="n">
        <v>0.75</v>
      </c>
      <c r="R171">
        <f>M171+IF(N171&gt;1,N(O171)*(N171-1),0)</f>
        <v/>
      </c>
      <c r="S171">
        <f>IFERROR(L171*MAX(N171,1)/R171*IF(ISBLANK(K168),1,K168),0)</f>
        <v/>
      </c>
      <c r="AB171" s="7" t="inlineStr">
        <is>
          <t>^Warhead_Demolition_Light</t>
        </is>
      </c>
    </row>
    <row r="172">
      <c r="B172" s="7" t="inlineStr">
        <is>
          <t xml:space="preserve">  ↳ DepthCharge</t>
        </is>
      </c>
      <c r="C172" s="7" t="inlineStr">
        <is>
          <t>Armament@DC2</t>
        </is>
      </c>
      <c r="L172" s="6" t="n">
        <v>60000</v>
      </c>
      <c r="M172" s="6" t="n">
        <v>60</v>
      </c>
      <c r="N172" s="6" t="n">
        <v>1</v>
      </c>
      <c r="O172" s="6" t="n"/>
      <c r="P172" s="6" t="n">
        <v>6000</v>
      </c>
      <c r="Q172" s="6" t="n">
        <v>0.75</v>
      </c>
      <c r="R172">
        <f>M172+IF(N172&gt;1,N(O172)*(N172-1),0)</f>
        <v/>
      </c>
      <c r="S172">
        <f>IFERROR(L172*MAX(N172,1)/R172*IF(ISBLANK(K168),1,K168),0)</f>
        <v/>
      </c>
      <c r="AB172" s="7" t="inlineStr">
        <is>
          <t>^Warhead_Demolition_Light</t>
        </is>
      </c>
    </row>
    <row r="173">
      <c r="A173" t="inlineStr">
        <is>
          <t>tiberiansun</t>
        </is>
      </c>
      <c r="B173" t="inlineStr">
        <is>
          <t>forgotten_juggerboat</t>
        </is>
      </c>
      <c r="C173" t="inlineStr">
        <is>
          <t>Juggerboat</t>
        </is>
      </c>
      <c r="D173" s="6" t="inlineStr">
        <is>
          <t>ScoutShip</t>
        </is>
      </c>
      <c r="E173" s="6" t="n">
        <v>60000</v>
      </c>
      <c r="F173" s="6" t="n">
        <v>120</v>
      </c>
      <c r="G173" t="inlineStr">
        <is>
          <t>Medium</t>
        </is>
      </c>
      <c r="H173" s="6" t="n">
        <v>1</v>
      </c>
      <c r="I173" s="6" t="n">
        <v>1</v>
      </c>
      <c r="J173" s="6" t="n">
        <v>1</v>
      </c>
      <c r="K173" s="6" t="n"/>
      <c r="P173">
        <f>MAX(P174,P175,P176,P177)</f>
        <v/>
      </c>
      <c r="S173">
        <f>S174+S175+S176+S177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1500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TSJuggerFlakAA_boat</t>
        </is>
      </c>
      <c r="C174" s="7" t="inlineStr">
        <is>
          <t>Armament@AA</t>
        </is>
      </c>
      <c r="L174" s="6" t="n">
        <v>10000</v>
      </c>
      <c r="M174" s="6" t="n">
        <v>69</v>
      </c>
      <c r="N174" s="6" t="n">
        <v>2</v>
      </c>
      <c r="O174" s="6" t="n">
        <v>3</v>
      </c>
      <c r="P174" s="6" t="n">
        <v>11234</v>
      </c>
      <c r="Q174" s="6" t="n">
        <v>1</v>
      </c>
      <c r="R174">
        <f>M174+IF(N174&gt;1,N(O174)*(N174-1),0)</f>
        <v/>
      </c>
      <c r="S174">
        <f>IFERROR(L174*MAX(N174,1)/R174*IF(ISBLANK(K173),1,K173),0)</f>
        <v/>
      </c>
      <c r="AB174" s="7" t="inlineStr">
        <is>
          <t>^Warhead_Flak_Medium</t>
        </is>
      </c>
    </row>
    <row r="175">
      <c r="B175" s="7" t="inlineStr">
        <is>
          <t xml:space="preserve">  ↳ TSJuggerboat90mm</t>
        </is>
      </c>
      <c r="C175" s="7" t="inlineStr">
        <is>
          <t>Armament@AG</t>
        </is>
      </c>
      <c r="L175" s="6" t="n">
        <v>20000</v>
      </c>
      <c r="M175" s="6" t="n">
        <v>69</v>
      </c>
      <c r="N175" s="6" t="n">
        <v>2</v>
      </c>
      <c r="O175" s="6" t="n">
        <v>3</v>
      </c>
      <c r="P175" s="6" t="n">
        <v>12834</v>
      </c>
      <c r="Q175" s="6" t="n">
        <v>1</v>
      </c>
      <c r="R175">
        <f>M175+IF(N175&gt;1,N(O175)*(N175-1),0)</f>
        <v/>
      </c>
      <c r="S175">
        <f>IFERROR(L175*MAX(N175,1)/R175*IF(ISBLANK(K173),1,K173),0)</f>
        <v/>
      </c>
      <c r="AB175" s="7" t="inlineStr">
        <is>
          <t>^Warhead_Concussion_Medium</t>
        </is>
      </c>
    </row>
    <row r="176">
      <c r="B176" s="7" t="inlineStr">
        <is>
          <t xml:space="preserve">  ↳ TSChemJuggerboat90mm</t>
        </is>
      </c>
      <c r="C176" s="7" t="inlineStr">
        <is>
          <t>Armament@UPGRADE</t>
        </is>
      </c>
      <c r="L176" s="6" t="n">
        <v>30000</v>
      </c>
      <c r="M176" s="6" t="n">
        <v>69</v>
      </c>
      <c r="N176" s="6" t="n">
        <v>2</v>
      </c>
      <c r="O176" s="6" t="n">
        <v>3</v>
      </c>
      <c r="P176" s="6" t="n">
        <v>12834</v>
      </c>
      <c r="Q176" s="6" t="n">
        <v>1</v>
      </c>
      <c r="R176">
        <f>M176+IF(N176&gt;1,N(O176)*(N176-1),0)</f>
        <v/>
      </c>
      <c r="S176">
        <f>IFERROR(L176*MAX(N176,1)/R176*IF(ISBLANK(K173),1,K173),0)</f>
        <v/>
      </c>
      <c r="AB176" s="7" t="inlineStr">
        <is>
          <t>^ShrapnelWeapon, ^MediumChemicalWeapon</t>
        </is>
      </c>
    </row>
    <row r="177">
      <c r="B177" s="7" t="inlineStr">
        <is>
          <t xml:space="preserve">  ↳ DepthCharge</t>
        </is>
      </c>
      <c r="C177" s="7" t="inlineStr">
        <is>
          <t>Armament@SECONDARY</t>
        </is>
      </c>
      <c r="L177" s="6" t="n">
        <v>60000</v>
      </c>
      <c r="M177" s="6" t="n">
        <v>60</v>
      </c>
      <c r="N177" s="6" t="n">
        <v>1</v>
      </c>
      <c r="O177" s="6" t="n"/>
      <c r="P177" s="6" t="n">
        <v>6000</v>
      </c>
      <c r="Q177" s="6" t="n">
        <v>0.75</v>
      </c>
      <c r="R177">
        <f>M177+IF(N177&gt;1,N(O177)*(N177-1),0)</f>
        <v/>
      </c>
      <c r="S177">
        <f>IFERROR(L177*MAX(N177,1)/R177*IF(ISBLANK(K173),1,K173),0)</f>
        <v/>
      </c>
      <c r="AB177" s="7" t="inlineStr">
        <is>
          <t>^Warhead_Demolition_Light</t>
        </is>
      </c>
    </row>
    <row r="178">
      <c r="A178" t="inlineStr">
        <is>
          <t>tiberiansun</t>
        </is>
      </c>
      <c r="B178" t="inlineStr">
        <is>
          <t>forgotten_lcraft</t>
        </is>
      </c>
      <c r="C178" t="inlineStr">
        <is>
          <t>Warrior Ferry</t>
        </is>
      </c>
      <c r="D178" s="6" t="inlineStr">
        <is>
          <t>ScoutShip</t>
        </is>
      </c>
      <c r="E178" s="6" t="n">
        <v>100000</v>
      </c>
      <c r="F178" s="6" t="n">
        <v>60</v>
      </c>
      <c r="G178" t="inlineStr">
        <is>
          <t>Heavy</t>
        </is>
      </c>
      <c r="H178" s="6" t="n">
        <v>1</v>
      </c>
      <c r="I178" s="6" t="n">
        <v>1</v>
      </c>
      <c r="J178" s="6" t="n">
        <v>1</v>
      </c>
      <c r="K178" s="6" t="n"/>
      <c r="P178">
        <f>MAX(P179,P180)</f>
        <v/>
      </c>
      <c r="S178">
        <f>S179+S180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1200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TSVanMissile</t>
        </is>
      </c>
      <c r="C179" s="7" t="inlineStr">
        <is>
          <t>Armament@PRIMARY</t>
        </is>
      </c>
      <c r="L179" s="6" t="n">
        <v>24000</v>
      </c>
      <c r="M179" s="6" t="n">
        <v>32</v>
      </c>
      <c r="N179" s="6" t="n">
        <v>2</v>
      </c>
      <c r="O179" s="6" t="n">
        <v>8</v>
      </c>
      <c r="P179" s="6" t="n">
        <v>10460</v>
      </c>
      <c r="Q179" s="6" t="n">
        <v>1</v>
      </c>
      <c r="R179">
        <f>M179+IF(N179&gt;1,N(O179)*(N179-1),0)</f>
        <v/>
      </c>
      <c r="S179">
        <f>IFERROR(L179*MAX(N179,1)/R179*IF(ISBLANK(K178),1,K178),0)</f>
        <v/>
      </c>
      <c r="AB179" s="7" t="inlineStr">
        <is>
          <t>^Warhead_Concussion_Medium</t>
        </is>
      </c>
    </row>
    <row r="180">
      <c r="B180" s="7" t="inlineStr">
        <is>
          <t xml:space="preserve">  ↳ TSChemVanMissile</t>
        </is>
      </c>
      <c r="C180" s="7" t="inlineStr">
        <is>
          <t>Armament@UPGRADE</t>
        </is>
      </c>
      <c r="L180" s="6" t="n">
        <v>36000</v>
      </c>
      <c r="M180" s="6" t="n">
        <v>32</v>
      </c>
      <c r="N180" s="6" t="n">
        <v>2</v>
      </c>
      <c r="O180" s="6" t="n">
        <v>8</v>
      </c>
      <c r="P180" s="6" t="n">
        <v>10460</v>
      </c>
      <c r="Q180" s="6" t="n">
        <v>1</v>
      </c>
      <c r="R180">
        <f>M180+IF(N180&gt;1,N(O180)*(N180-1),0)</f>
        <v/>
      </c>
      <c r="S180">
        <f>IFERROR(L180*MAX(N180,1)/R180*IF(ISBLANK(K178),1,K178),0)</f>
        <v/>
      </c>
      <c r="AB180" s="7" t="inlineStr">
        <is>
          <t>^MediumChemicalWeapon, ^ShrapnelWeapon</t>
        </is>
      </c>
    </row>
    <row r="181">
      <c r="A181" s="4" t="inlineStr">
        <is>
          <t>DEFENSES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t="inlineStr">
        <is>
          <t>tiberiansun</t>
        </is>
      </c>
      <c r="B182" t="inlineStr">
        <is>
          <t>forgotten_brokenrattytankturret</t>
        </is>
      </c>
      <c r="C182" t="inlineStr">
        <is>
          <t>actor_forgotten_brokenrattytankturret.name</t>
        </is>
      </c>
      <c r="D182" s="6" t="inlineStr">
        <is>
          <t>BasicDefense</t>
        </is>
      </c>
      <c r="E182" s="6" t="n">
        <v>90000</v>
      </c>
      <c r="F182" s="6" t="n">
        <v>100</v>
      </c>
      <c r="G182" t="inlineStr">
        <is>
          <t>Concrete</t>
        </is>
      </c>
      <c r="H182" s="6" t="n">
        <v>1</v>
      </c>
      <c r="I182" s="6" t="n">
        <v>1</v>
      </c>
      <c r="J182" s="6" t="n">
        <v>1</v>
      </c>
      <c r="K182" s="6" t="n"/>
      <c r="P182">
        <f>MAX(P183,P184)</f>
        <v/>
      </c>
      <c r="S182">
        <f>S183+S184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800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TS70mmTur</t>
        </is>
      </c>
      <c r="C183" s="7" t="inlineStr">
        <is>
          <t>Armament@PRIMARY</t>
        </is>
      </c>
      <c r="L183" s="6" t="n">
        <v>8000</v>
      </c>
      <c r="M183" s="6" t="n">
        <v>10</v>
      </c>
      <c r="N183" s="6" t="n">
        <v>1</v>
      </c>
      <c r="O183" s="6" t="n"/>
      <c r="P183" s="6" t="n">
        <v>6574</v>
      </c>
      <c r="Q183" s="6" t="n">
        <v>0.875</v>
      </c>
      <c r="R183">
        <f>M183+IF(N183&gt;1,N(O183)*(N183-1),0)</f>
        <v/>
      </c>
      <c r="S183">
        <f>IFERROR(L183*MAX(N183,1)/R183*IF(ISBLANK(K182),1,K182),0)</f>
        <v/>
      </c>
      <c r="AB183" s="7" t="inlineStr">
        <is>
          <t>^Warhead_CannonHE_Medium, ^Warhead_CannonAP_Light</t>
        </is>
      </c>
    </row>
    <row r="184">
      <c r="B184" s="7" t="inlineStr">
        <is>
          <t xml:space="preserve">  ↳ TS70mmTurChem</t>
        </is>
      </c>
      <c r="C184" s="7" t="inlineStr">
        <is>
          <t>Armament@UPGRADE</t>
        </is>
      </c>
      <c r="L184" s="6" t="n">
        <v>12000</v>
      </c>
      <c r="M184" s="6" t="n">
        <v>10</v>
      </c>
      <c r="N184" s="6" t="n">
        <v>1</v>
      </c>
      <c r="O184" s="6" t="n"/>
      <c r="P184" s="6" t="n">
        <v>6574</v>
      </c>
      <c r="Q184" s="6" t="n">
        <v>1</v>
      </c>
      <c r="R184">
        <f>M184+IF(N184&gt;1,N(O184)*(N184-1),0)</f>
        <v/>
      </c>
      <c r="S184">
        <f>IFERROR(L184*MAX(N184,1)/R184*IF(ISBLANK(K182),1,K182),0)</f>
        <v/>
      </c>
      <c r="AB184" s="7" t="inlineStr">
        <is>
          <t>^Warhead_CannonHE_Medium</t>
        </is>
      </c>
    </row>
    <row r="185">
      <c r="A185" t="inlineStr">
        <is>
          <t>tiberiansun</t>
        </is>
      </c>
      <c r="B185" t="inlineStr">
        <is>
          <t>forgotten_brokenscoopertankturret</t>
        </is>
      </c>
      <c r="C185" t="inlineStr">
        <is>
          <t>actor_forgotten_brokenscoopertankturret.name</t>
        </is>
      </c>
      <c r="D185" s="6" t="inlineStr">
        <is>
          <t>AdvancedDefense</t>
        </is>
      </c>
      <c r="E185" s="6" t="n">
        <v>200000</v>
      </c>
      <c r="F185" s="6" t="n">
        <v>100</v>
      </c>
      <c r="G185" t="inlineStr">
        <is>
          <t>Steel</t>
        </is>
      </c>
      <c r="H185" s="6" t="n">
        <v>0.8824</v>
      </c>
      <c r="I185" s="6" t="n">
        <v>1</v>
      </c>
      <c r="J185" s="6" t="n">
        <v>1</v>
      </c>
      <c r="K185" s="6" t="n"/>
      <c r="P185">
        <f>MAX(P186,P187)</f>
        <v/>
      </c>
      <c r="S185">
        <f>S186+S187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(T185+U185+V185)/3</f>
        <v/>
      </c>
      <c r="X185" s="6" t="n">
        <v>1750</v>
      </c>
      <c r="Y185">
        <f>IFERROR(W185-X185,"")</f>
        <v/>
      </c>
      <c r="Z185">
        <f>IFERROR(ABS(Y185)/MAX(X185,1),"")</f>
        <v/>
      </c>
      <c r="AA185">
        <f>IFERROR((X185-(((E185/100000+F185/100+S185/200)*200*I185*H185)+((E185*F185/25000)*I185*H185))/3)/(((J185/5)*200*I185*H185)+((J185*S185/2.5)*I185*H185)+((E185*F185*J185*S185*I185*H185)/12500000))/3*1000,"")</f>
        <v/>
      </c>
    </row>
    <row r="186">
      <c r="B186" s="7" t="inlineStr">
        <is>
          <t xml:space="preserve">  ↳ TSScoopDualTur</t>
        </is>
      </c>
      <c r="C186" s="7" t="inlineStr">
        <is>
          <t>Armament@PRIMARY</t>
        </is>
      </c>
      <c r="L186" s="6" t="n">
        <v>32000</v>
      </c>
      <c r="M186" s="6" t="n">
        <v>48</v>
      </c>
      <c r="N186" s="6" t="n">
        <v>2</v>
      </c>
      <c r="O186" s="6" t="n">
        <v>2</v>
      </c>
      <c r="P186" s="6" t="n">
        <v>6404</v>
      </c>
      <c r="Q186" s="6" t="n">
        <v>1.125</v>
      </c>
      <c r="R186">
        <f>M186+IF(N186&gt;1,N(O186)*(N186-1),0)</f>
        <v/>
      </c>
      <c r="S186">
        <f>IFERROR(L186*MAX(N186,1)/R186*IF(ISBLANK(K185),1,K185),0)</f>
        <v/>
      </c>
      <c r="AB186" s="7" t="inlineStr">
        <is>
          <t>^Warhead_CannonHE_Heavy, ^Warhead_Concussion_Medium</t>
        </is>
      </c>
    </row>
    <row r="187">
      <c r="B187" s="7" t="inlineStr">
        <is>
          <t xml:space="preserve">  ↳ TSScoopDualTurChem</t>
        </is>
      </c>
      <c r="C187" s="7" t="inlineStr">
        <is>
          <t>Armament@UPGRADE</t>
        </is>
      </c>
      <c r="L187" s="6" t="n">
        <v>48000</v>
      </c>
      <c r="M187" s="6" t="n">
        <v>48</v>
      </c>
      <c r="N187" s="6" t="n">
        <v>2</v>
      </c>
      <c r="O187" s="6" t="n">
        <v>2</v>
      </c>
      <c r="P187" s="6" t="n">
        <v>6404</v>
      </c>
      <c r="Q187" s="6" t="n">
        <v>1.25</v>
      </c>
      <c r="R187">
        <f>M187+IF(N187&gt;1,N(O187)*(N187-1),0)</f>
        <v/>
      </c>
      <c r="S187">
        <f>IFERROR(L187*MAX(N187,1)/R187*IF(ISBLANK(K185),1,K185),0)</f>
        <v/>
      </c>
      <c r="AB187" s="7" t="inlineStr">
        <is>
          <t>^Warhead_CannonHE_Heavy</t>
        </is>
      </c>
    </row>
    <row r="188">
      <c r="A188" t="inlineStr">
        <is>
          <t>tiberiansun</t>
        </is>
      </c>
      <c r="B188" t="inlineStr">
        <is>
          <t>forgotten_brokenwarriortankturret</t>
        </is>
      </c>
      <c r="C188" t="inlineStr">
        <is>
          <t>actor_forgotten_brokenwarriortankturret.name</t>
        </is>
      </c>
      <c r="D188" s="6" t="inlineStr">
        <is>
          <t>AdvancedDefense</t>
        </is>
      </c>
      <c r="E188" s="6" t="n">
        <v>125000</v>
      </c>
      <c r="F188" s="6" t="n">
        <v>100</v>
      </c>
      <c r="G188" t="inlineStr">
        <is>
          <t>Steel</t>
        </is>
      </c>
      <c r="H188" s="6" t="n">
        <v>0.8824</v>
      </c>
      <c r="I188" s="6" t="n">
        <v>1</v>
      </c>
      <c r="J188" s="6" t="n">
        <v>1</v>
      </c>
      <c r="K188" s="6" t="n"/>
      <c r="P188">
        <f>MAX(P189)</f>
        <v/>
      </c>
      <c r="S188">
        <f>S189</f>
        <v/>
      </c>
      <c r="T188">
        <f>(E188/100000+F188/100+(P188/1000)*J188/5+S188/200)*200*I188*H188</f>
        <v/>
      </c>
      <c r="U188">
        <f>((E188*F188/25000)+((P188/1000)*J188*S188/2.5))*I188*H188</f>
        <v/>
      </c>
      <c r="V188">
        <f>(E188*F188*(P188/1000)*J188*S188*I188*H188)/12500000</f>
        <v/>
      </c>
      <c r="W188">
        <f>(T188+U188+V188)/3</f>
        <v/>
      </c>
      <c r="X188" s="6" t="n">
        <v>1500</v>
      </c>
      <c r="Y188">
        <f>IFERROR(W188-X188,"")</f>
        <v/>
      </c>
      <c r="Z188">
        <f>IFERROR(ABS(Y188)/MAX(X188,1),"")</f>
        <v/>
      </c>
      <c r="AA188">
        <f>IFERROR((X188-(((E188/100000+F188/100+S188/200)*200*I188*H188)+((E188*F188/25000)*I188*H188))/3)/(((J188/5)*200*I188*H188)+((J188*S188/2.5)*I188*H188)+((E188*F188*J188*S188*I188*H188)/12500000))/3*1000,"")</f>
        <v/>
      </c>
    </row>
    <row r="189">
      <c r="B189" s="7" t="inlineStr">
        <is>
          <t xml:space="preserve">  ↳ TSHighVelocityTur</t>
        </is>
      </c>
      <c r="C189" s="7" t="inlineStr">
        <is>
          <t>Armament@PRIMARY</t>
        </is>
      </c>
      <c r="L189" s="6" t="n">
        <v>48000</v>
      </c>
      <c r="M189" s="6" t="n">
        <v>30</v>
      </c>
      <c r="N189" s="6" t="n">
        <v>1</v>
      </c>
      <c r="O189" s="6" t="n"/>
      <c r="P189" s="6" t="n">
        <v>9483</v>
      </c>
      <c r="Q189" s="6" t="n">
        <v>0.75</v>
      </c>
      <c r="R189">
        <f>M189+IF(N189&gt;1,N(O189)*(N189-1),0)</f>
        <v/>
      </c>
      <c r="S189">
        <f>IFERROR(L189*MAX(N189,1)/R189*IF(ISBLANK(K188),1,K188),0)</f>
        <v/>
      </c>
      <c r="AB189" s="7" t="inlineStr">
        <is>
          <t>^Warhead_CannonAP_Light</t>
        </is>
      </c>
    </row>
    <row r="190">
      <c r="A190" t="inlineStr">
        <is>
          <t>tiberiansun</t>
        </is>
      </c>
      <c r="B190" t="inlineStr">
        <is>
          <t>forgotten_juggerflakwall</t>
        </is>
      </c>
      <c r="C190" t="inlineStr">
        <is>
          <t>actor_forgotten_juggerflakwall.name</t>
        </is>
      </c>
      <c r="D190" s="6" t="inlineStr">
        <is>
          <t>AntiAirDefense</t>
        </is>
      </c>
      <c r="E190" s="6" t="n">
        <v>75000</v>
      </c>
      <c r="F190" s="6" t="n">
        <v>100</v>
      </c>
      <c r="G190" t="inlineStr">
        <is>
          <t>Concrete</t>
        </is>
      </c>
      <c r="H190" s="6" t="n">
        <v>1</v>
      </c>
      <c r="I190" s="6" t="n">
        <v>1</v>
      </c>
      <c r="J190" s="6" t="n">
        <v>1</v>
      </c>
      <c r="K190" s="6" t="n"/>
      <c r="P190">
        <f>MAX(P191)</f>
        <v/>
      </c>
      <c r="S190">
        <f>S191</f>
        <v/>
      </c>
      <c r="T190">
        <f>(E190/100000+F190/100+(P190/1000)*J190/5+S190/200)*200*I190*H190</f>
        <v/>
      </c>
      <c r="U190">
        <f>((E190*F190/25000)+((P190/1000)*J190*S190/2.5))*I190*H190</f>
        <v/>
      </c>
      <c r="V190">
        <f>(E190*F190*(P190/1000)*J190*S190*I190*H190)/12500000</f>
        <v/>
      </c>
      <c r="W190">
        <f>(T190+U190+V190)/3</f>
        <v/>
      </c>
      <c r="X190" s="6" t="n">
        <v>1000</v>
      </c>
      <c r="Y190">
        <f>IFERROR(W190-X190,"")</f>
        <v/>
      </c>
      <c r="Z190">
        <f>IFERROR(ABS(Y190)/MAX(X190,1),"")</f>
        <v/>
      </c>
      <c r="AA190">
        <f>IFERROR((X190-(((E190/100000+F190/100+S190/200)*200*I190*H190)+((E190*F190/25000)*I190*H190))/3)/(((J190/5)*200*I190*H190)+((J190*S190/2.5)*I190*H190)+((E190*F190*J190*S190*I190*H190)/12500000))/3*1000,"")</f>
        <v/>
      </c>
    </row>
    <row r="191">
      <c r="B191" s="7" t="inlineStr">
        <is>
          <t xml:space="preserve">  ↳ TSJuggerFlakAA</t>
        </is>
      </c>
      <c r="C191" s="7" t="inlineStr">
        <is>
          <t>Armament</t>
        </is>
      </c>
      <c r="L191" s="6" t="n">
        <v>10000</v>
      </c>
      <c r="M191" s="6" t="n">
        <v>28</v>
      </c>
      <c r="N191" s="6" t="n">
        <v>3</v>
      </c>
      <c r="O191" s="6" t="n">
        <v>1</v>
      </c>
      <c r="P191" s="6" t="n">
        <v>11234</v>
      </c>
      <c r="Q191" s="6" t="n">
        <v>1</v>
      </c>
      <c r="R191">
        <f>M191+IF(N191&gt;1,N(O191)*(N191-1),0)</f>
        <v/>
      </c>
      <c r="S191">
        <f>IFERROR(L191*MAX(N191,1)/R191*IF(ISBLANK(K190),1,K190),0)</f>
        <v/>
      </c>
      <c r="AB191" s="7" t="inlineStr">
        <is>
          <t>^Warhead_Flak_Medium</t>
        </is>
      </c>
    </row>
    <row r="192">
      <c r="A192" t="inlineStr">
        <is>
          <t>tiberiansun</t>
        </is>
      </c>
      <c r="B192" t="inlineStr">
        <is>
          <t>forgotten_machineguntower</t>
        </is>
      </c>
      <c r="C192" t="inlineStr">
        <is>
          <t>actor_forgotten_machineguntower.name</t>
        </is>
      </c>
      <c r="D192" s="6" t="inlineStr">
        <is>
          <t>BasicDefense</t>
        </is>
      </c>
      <c r="E192" s="6" t="n">
        <v>80000</v>
      </c>
      <c r="F192" s="6" t="n">
        <v>100</v>
      </c>
      <c r="G192" t="inlineStr">
        <is>
          <t>Concrete</t>
        </is>
      </c>
      <c r="H192" s="6" t="n">
        <v>1</v>
      </c>
      <c r="I192" s="6" t="n">
        <v>1</v>
      </c>
      <c r="J192" s="6" t="n">
        <v>1</v>
      </c>
      <c r="K192" s="6" t="n"/>
      <c r="P192">
        <f>MAX(P193)</f>
        <v/>
      </c>
      <c r="S192">
        <f>S193</f>
        <v/>
      </c>
      <c r="T192">
        <f>(E192/100000+F192/100+(P192/1000)*J192/5+S192/200)*200*I192*H192</f>
        <v/>
      </c>
      <c r="U192">
        <f>((E192*F192/25000)+((P192/1000)*J192*S192/2.5))*I192*H192</f>
        <v/>
      </c>
      <c r="V192">
        <f>(E192*F192*(P192/1000)*J192*S192*I192*H192)/12500000</f>
        <v/>
      </c>
      <c r="W192">
        <f>(T192+U192+V192)/3</f>
        <v/>
      </c>
      <c r="X192" s="6" t="n">
        <v>600</v>
      </c>
      <c r="Y192">
        <f>IFERROR(W192-X192,"")</f>
        <v/>
      </c>
      <c r="Z192">
        <f>IFERROR(ABS(Y192)/MAX(X192,1),"")</f>
        <v/>
      </c>
      <c r="AA192">
        <f>IFERROR((X192-(((E192/100000+F192/100+S192/200)*200*I192*H192)+((E192*F192/25000)*I192*H192))/3)/(((J192/5)*200*I192*H192)+((J192*S192/2.5)*I192*H192)+((E192*F192*J192*S192*I192*H192)/12500000))/3*1000,"")</f>
        <v/>
      </c>
    </row>
    <row r="193">
      <c r="B193" s="7" t="inlineStr">
        <is>
          <t xml:space="preserve">  ↳ TSMutVulcanTurret</t>
        </is>
      </c>
      <c r="C193" s="7" t="inlineStr">
        <is>
          <t>Armament@PRIMARY</t>
        </is>
      </c>
      <c r="L193" s="6" t="n">
        <v>4000</v>
      </c>
      <c r="M193" s="6" t="n">
        <v>6</v>
      </c>
      <c r="N193" s="6" t="n">
        <v>1</v>
      </c>
      <c r="O193" s="6" t="n"/>
      <c r="P193" s="6" t="n">
        <v>6272</v>
      </c>
      <c r="Q193" s="6" t="n">
        <v>0.875</v>
      </c>
      <c r="R193">
        <f>M193+IF(N193&gt;1,N(O193)*(N193-1),0)</f>
        <v/>
      </c>
      <c r="S193">
        <f>IFERROR(L193*MAX(N193,1)/R193*IF(ISBLANK(K192),1,K192),0)</f>
        <v/>
      </c>
      <c r="AB193" s="7" t="inlineStr">
        <is>
          <t>^Warhead_Bullet_Light, ^Warhead_Bullet_Medium</t>
        </is>
      </c>
    </row>
    <row r="194">
      <c r="A194" t="inlineStr">
        <is>
          <t>tiberiansun</t>
        </is>
      </c>
      <c r="B194" t="inlineStr">
        <is>
          <t>forgotten_silo</t>
        </is>
      </c>
      <c r="C194" t="inlineStr">
        <is>
          <t>actor_forgotten_silo.name</t>
        </is>
      </c>
      <c r="D194" s="6" t="inlineStr">
        <is>
          <t>Defense</t>
        </is>
      </c>
      <c r="E194" s="6" t="n">
        <v>200000</v>
      </c>
      <c r="F194" s="6" t="n">
        <v>100</v>
      </c>
      <c r="G194" t="inlineStr">
        <is>
          <t>Wood</t>
        </is>
      </c>
      <c r="H194" s="6" t="n">
        <v>1</v>
      </c>
      <c r="I194" s="6" t="n">
        <v>1</v>
      </c>
      <c r="J194" s="6" t="n">
        <v>1</v>
      </c>
      <c r="K194" s="6" t="n"/>
      <c r="X194" s="6" t="n">
        <v>300</v>
      </c>
    </row>
    <row r="195">
      <c r="A195" t="inlineStr">
        <is>
          <t>tiberiansun</t>
        </is>
      </c>
      <c r="B195" t="inlineStr">
        <is>
          <t>forgotten_veinhole</t>
        </is>
      </c>
      <c r="C195" t="inlineStr">
        <is>
          <t>actor_forgotten_veinhole.name</t>
        </is>
      </c>
      <c r="D195" s="6" t="inlineStr">
        <is>
          <t>Defense</t>
        </is>
      </c>
      <c r="E195" s="6" t="n">
        <v>1000000</v>
      </c>
      <c r="F195" s="6" t="n">
        <v>100</v>
      </c>
      <c r="G195" t="inlineStr">
        <is>
          <t>Wood</t>
        </is>
      </c>
      <c r="H195" s="6" t="n">
        <v>0.8824</v>
      </c>
      <c r="I195" s="6" t="n">
        <v>1</v>
      </c>
      <c r="J195" s="6" t="n">
        <v>1</v>
      </c>
      <c r="K195" s="6" t="n"/>
      <c r="X195" s="6" t="n">
        <v>10000</v>
      </c>
    </row>
    <row r="196">
      <c r="A196" s="4" t="inlineStr">
        <is>
          <t>BUILDINGS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t="inlineStr">
        <is>
          <t>tiberiansun</t>
        </is>
      </c>
      <c r="B197" t="inlineStr">
        <is>
          <t>forgotten_barracks</t>
        </is>
      </c>
      <c r="C197" t="inlineStr">
        <is>
          <t>actor_forgotten_barracks.name</t>
        </is>
      </c>
      <c r="D197" s="6" t="inlineStr">
        <is>
          <t>Building</t>
        </is>
      </c>
      <c r="E197" s="6" t="n">
        <v>200000</v>
      </c>
      <c r="F197" s="6" t="n"/>
      <c r="G197" t="inlineStr">
        <is>
          <t>Wood</t>
        </is>
      </c>
      <c r="H197" s="6" t="n">
        <v>1</v>
      </c>
      <c r="I197" s="6" t="n">
        <v>1</v>
      </c>
      <c r="J197" s="6" t="n">
        <v>1</v>
      </c>
      <c r="K197" s="6" t="n"/>
      <c r="X197" s="6" t="n">
        <v>500</v>
      </c>
    </row>
    <row r="198">
      <c r="A198" t="inlineStr">
        <is>
          <t>tiberiansun</t>
        </is>
      </c>
      <c r="B198" t="inlineStr">
        <is>
          <t>forgotten_chemicalplant</t>
        </is>
      </c>
      <c r="C198" t="inlineStr">
        <is>
          <t>actor_forgotten_chemicalplant.name</t>
        </is>
      </c>
      <c r="D198" s="6" t="inlineStr">
        <is>
          <t>Building</t>
        </is>
      </c>
      <c r="E198" s="6" t="n">
        <v>500000</v>
      </c>
      <c r="F198" s="6" t="n"/>
      <c r="G198" t="inlineStr">
        <is>
          <t>Wood</t>
        </is>
      </c>
      <c r="H198" s="6" t="n">
        <v>0.8824</v>
      </c>
      <c r="I198" s="6" t="n">
        <v>1</v>
      </c>
      <c r="J198" s="6" t="n">
        <v>1</v>
      </c>
      <c r="K198" s="6" t="n"/>
      <c r="X198" s="6" t="n">
        <v>5000</v>
      </c>
    </row>
    <row r="199">
      <c r="A199" t="inlineStr">
        <is>
          <t>tiberiansun</t>
        </is>
      </c>
      <c r="B199" t="inlineStr">
        <is>
          <t>forgotten_church</t>
        </is>
      </c>
      <c r="C199" t="inlineStr">
        <is>
          <t>actor_forgotten_church.name</t>
        </is>
      </c>
      <c r="D199" s="6" t="inlineStr">
        <is>
          <t>Building</t>
        </is>
      </c>
      <c r="E199" s="6" t="n">
        <v>500000</v>
      </c>
      <c r="F199" s="6" t="n"/>
      <c r="G199" t="inlineStr">
        <is>
          <t>Wood</t>
        </is>
      </c>
      <c r="H199" s="6" t="n">
        <v>1</v>
      </c>
      <c r="I199" s="6" t="n">
        <v>1</v>
      </c>
      <c r="J199" s="6" t="n">
        <v>1</v>
      </c>
      <c r="K199" s="6" t="n"/>
      <c r="X199" s="6" t="n">
        <v>5000</v>
      </c>
    </row>
    <row r="200">
      <c r="A200" t="inlineStr">
        <is>
          <t>tiberiansun</t>
        </is>
      </c>
      <c r="B200" t="inlineStr">
        <is>
          <t>forgotten_constructionyard</t>
        </is>
      </c>
      <c r="C200" t="inlineStr">
        <is>
          <t>actor_forgotten_constructionyard.name</t>
        </is>
      </c>
      <c r="D200" s="6" t="inlineStr">
        <is>
          <t>Building</t>
        </is>
      </c>
      <c r="E200" s="6" t="n">
        <v>1000000</v>
      </c>
      <c r="F200" s="6" t="n"/>
      <c r="G200" t="inlineStr">
        <is>
          <t>Wood</t>
        </is>
      </c>
      <c r="H200" s="6" t="n">
        <v>1</v>
      </c>
      <c r="I200" s="6" t="n">
        <v>1</v>
      </c>
      <c r="J200" s="6" t="n">
        <v>1</v>
      </c>
      <c r="K200" s="6" t="n"/>
      <c r="X200" s="6" t="n">
        <v>2500</v>
      </c>
    </row>
    <row r="201">
      <c r="A201" t="inlineStr">
        <is>
          <t>tiberiansun</t>
        </is>
      </c>
      <c r="B201" t="inlineStr">
        <is>
          <t>forgotten_crystalpowerextractor</t>
        </is>
      </c>
      <c r="C201" t="inlineStr">
        <is>
          <t>actor_forgotten_crystalpowerextractor.name</t>
        </is>
      </c>
      <c r="D201" s="6" t="inlineStr">
        <is>
          <t>Building</t>
        </is>
      </c>
      <c r="E201" s="6" t="n">
        <v>150000</v>
      </c>
      <c r="F201" s="6" t="n"/>
      <c r="G201" t="inlineStr">
        <is>
          <t>Wood</t>
        </is>
      </c>
      <c r="H201" s="6" t="n">
        <v>1</v>
      </c>
      <c r="I201" s="6" t="n">
        <v>1</v>
      </c>
      <c r="J201" s="6" t="n">
        <v>1</v>
      </c>
      <c r="K201" s="6" t="n"/>
      <c r="X201" s="6" t="n">
        <v>600</v>
      </c>
    </row>
    <row r="202">
      <c r="A202" t="inlineStr">
        <is>
          <t>tiberiansun</t>
        </is>
      </c>
      <c r="B202" t="inlineStr">
        <is>
          <t>forgotten_helipad</t>
        </is>
      </c>
      <c r="C202" t="inlineStr">
        <is>
          <t>actor_forgotten_helipad.name</t>
        </is>
      </c>
      <c r="D202" s="6" t="inlineStr">
        <is>
          <t>Building</t>
        </is>
      </c>
      <c r="E202" s="6" t="n">
        <v>300000</v>
      </c>
      <c r="F202" s="6" t="n"/>
      <c r="G202" t="inlineStr">
        <is>
          <t>Wood</t>
        </is>
      </c>
      <c r="H202" s="6" t="n">
        <v>1</v>
      </c>
      <c r="I202" s="6" t="n">
        <v>1</v>
      </c>
      <c r="J202" s="6" t="n">
        <v>1</v>
      </c>
      <c r="K202" s="6" t="n"/>
      <c r="X202" s="6" t="n">
        <v>1000</v>
      </c>
    </row>
    <row r="203">
      <c r="A203" t="inlineStr">
        <is>
          <t>tiberiansun</t>
        </is>
      </c>
      <c r="B203" t="inlineStr">
        <is>
          <t>forgotten_navalyard</t>
        </is>
      </c>
      <c r="C203" t="inlineStr">
        <is>
          <t>Forgotten Naval Yard</t>
        </is>
      </c>
      <c r="D203" s="6" t="inlineStr">
        <is>
          <t>Building</t>
        </is>
      </c>
      <c r="E203" s="6" t="n">
        <v>600000</v>
      </c>
      <c r="F203" s="6" t="n"/>
      <c r="G203" t="inlineStr">
        <is>
          <t>Concrete</t>
        </is>
      </c>
      <c r="H203" s="6" t="n">
        <v>1</v>
      </c>
      <c r="I203" s="6" t="n">
        <v>1</v>
      </c>
      <c r="J203" s="6" t="n">
        <v>1</v>
      </c>
      <c r="K203" s="6" t="n"/>
      <c r="X203" s="6" t="n">
        <v>3000</v>
      </c>
    </row>
    <row r="204">
      <c r="A204" t="inlineStr">
        <is>
          <t>tiberiansun</t>
        </is>
      </c>
      <c r="B204" t="inlineStr">
        <is>
          <t>forgotten_radar</t>
        </is>
      </c>
      <c r="C204" t="inlineStr">
        <is>
          <t>actor_forgotten_radar.name</t>
        </is>
      </c>
      <c r="D204" s="6" t="inlineStr">
        <is>
          <t>Building</t>
        </is>
      </c>
      <c r="E204" s="6" t="n">
        <v>250000</v>
      </c>
      <c r="F204" s="6" t="n"/>
      <c r="G204" t="inlineStr">
        <is>
          <t>Wood</t>
        </is>
      </c>
      <c r="H204" s="6" t="n">
        <v>1</v>
      </c>
      <c r="I204" s="6" t="n">
        <v>1</v>
      </c>
      <c r="J204" s="6" t="n">
        <v>1</v>
      </c>
      <c r="K204" s="6" t="n"/>
      <c r="X204" s="6" t="n">
        <v>1000</v>
      </c>
    </row>
    <row r="205">
      <c r="A205" t="inlineStr">
        <is>
          <t>tiberiansun</t>
        </is>
      </c>
      <c r="B205" t="inlineStr">
        <is>
          <t>forgotten_refinery</t>
        </is>
      </c>
      <c r="C205" t="inlineStr">
        <is>
          <t>actor_forgotten_refinery.name</t>
        </is>
      </c>
      <c r="D205" s="6" t="inlineStr">
        <is>
          <t>Building</t>
        </is>
      </c>
      <c r="E205" s="6" t="n">
        <v>300000</v>
      </c>
      <c r="F205" s="6" t="n"/>
      <c r="G205" t="inlineStr">
        <is>
          <t>Concrete</t>
        </is>
      </c>
      <c r="H205" s="6" t="n">
        <v>1</v>
      </c>
      <c r="I205" s="6" t="n">
        <v>1</v>
      </c>
      <c r="J205" s="6" t="n">
        <v>1</v>
      </c>
      <c r="K205" s="6" t="n"/>
      <c r="X205" s="6" t="n">
        <v>1500</v>
      </c>
    </row>
    <row r="206">
      <c r="A206" t="inlineStr">
        <is>
          <t>tiberiansun</t>
        </is>
      </c>
      <c r="B206" t="inlineStr">
        <is>
          <t>forgotten_servicedepot</t>
        </is>
      </c>
      <c r="C206" t="inlineStr">
        <is>
          <t>actor_forgotten_servicedepot.name</t>
        </is>
      </c>
      <c r="D206" s="6" t="inlineStr">
        <is>
          <t>Building</t>
        </is>
      </c>
      <c r="E206" s="6" t="n">
        <v>250000</v>
      </c>
      <c r="F206" s="6" t="n"/>
      <c r="G206" t="inlineStr">
        <is>
          <t>Concrete</t>
        </is>
      </c>
      <c r="H206" s="6" t="n">
        <v>1</v>
      </c>
      <c r="I206" s="6" t="n">
        <v>1</v>
      </c>
      <c r="J206" s="6" t="n">
        <v>1</v>
      </c>
      <c r="K206" s="6" t="n"/>
      <c r="X206" s="6" t="n">
        <v>800</v>
      </c>
    </row>
    <row r="207">
      <c r="A207" t="inlineStr">
        <is>
          <t>tiberiansun</t>
        </is>
      </c>
      <c r="B207" t="inlineStr">
        <is>
          <t>forgotten_tiberiumspike</t>
        </is>
      </c>
      <c r="C207" t="inlineStr">
        <is>
          <t>actor_forgotten_tiberiumspike.name</t>
        </is>
      </c>
      <c r="D207" s="6" t="inlineStr">
        <is>
          <t>Building</t>
        </is>
      </c>
      <c r="E207" s="6" t="n">
        <v>500000</v>
      </c>
      <c r="F207" s="6" t="n"/>
      <c r="G207" t="inlineStr">
        <is>
          <t>Concrete</t>
        </is>
      </c>
      <c r="H207" s="6" t="n">
        <v>0.8824</v>
      </c>
      <c r="I207" s="6" t="n">
        <v>1</v>
      </c>
      <c r="J207" s="6" t="n">
        <v>1</v>
      </c>
      <c r="K207" s="6" t="n"/>
      <c r="X207" s="6" t="n">
        <v>5000</v>
      </c>
    </row>
    <row r="208">
      <c r="A208" t="inlineStr">
        <is>
          <t>tiberiansun</t>
        </is>
      </c>
      <c r="B208" t="inlineStr">
        <is>
          <t>forgotten_warfactory</t>
        </is>
      </c>
      <c r="C208" t="inlineStr">
        <is>
          <t>actor_forgotten_warfactory.name</t>
        </is>
      </c>
      <c r="D208" s="6" t="inlineStr">
        <is>
          <t>Building</t>
        </is>
      </c>
      <c r="E208" s="6" t="n">
        <v>400000</v>
      </c>
      <c r="F208" s="6" t="n"/>
      <c r="G208" t="inlineStr">
        <is>
          <t>Concrete</t>
        </is>
      </c>
      <c r="H208" s="6" t="n">
        <v>1</v>
      </c>
      <c r="I208" s="6" t="n">
        <v>1</v>
      </c>
      <c r="J208" s="6" t="n">
        <v>1</v>
      </c>
      <c r="K208" s="6" t="n"/>
      <c r="X208" s="6" t="n">
        <v>2000</v>
      </c>
    </row>
    <row r="209">
      <c r="A209" s="4" t="inlineStr">
        <is>
          <t>UPGRADES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t="inlineStr">
        <is>
          <t>tiberiansun</t>
        </is>
      </c>
      <c r="B210" t="inlineStr">
        <is>
          <t>forgotten_upgrade_chemicalfuel</t>
        </is>
      </c>
      <c r="C210" t="inlineStr">
        <is>
          <t>actor_forgotten_upgrade_chemicalfuel.name</t>
        </is>
      </c>
      <c r="D210" s="6" t="inlineStr">
        <is>
          <t>ResearchedUpgrade</t>
        </is>
      </c>
      <c r="E210" s="6" t="n"/>
      <c r="F210" s="6" t="n"/>
      <c r="H210" s="6" t="n">
        <v>1</v>
      </c>
      <c r="I210" s="6" t="n">
        <v>1</v>
      </c>
      <c r="J210" s="6" t="n">
        <v>1</v>
      </c>
      <c r="K210" s="6" t="n"/>
      <c r="X210" s="6" t="n">
        <v>2500</v>
      </c>
    </row>
    <row r="211">
      <c r="A211" t="inlineStr">
        <is>
          <t>tiberiansun</t>
        </is>
      </c>
      <c r="B211" t="inlineStr">
        <is>
          <t>forgotten_upgrade_chemicalweapons</t>
        </is>
      </c>
      <c r="C211" t="inlineStr">
        <is>
          <t>actor_forgotten_upgrade_chemicalweapons.name</t>
        </is>
      </c>
      <c r="D211" s="6" t="inlineStr">
        <is>
          <t>ResearchedUpgrade</t>
        </is>
      </c>
      <c r="E211" s="6" t="n"/>
      <c r="F211" s="6" t="n"/>
      <c r="H211" s="6" t="n">
        <v>0.8824</v>
      </c>
      <c r="I211" s="6" t="n">
        <v>1</v>
      </c>
      <c r="J211" s="6" t="n">
        <v>1</v>
      </c>
      <c r="K211" s="6" t="n"/>
      <c r="X211" s="6" t="n">
        <v>5000</v>
      </c>
    </row>
    <row r="212">
      <c r="A212" t="inlineStr">
        <is>
          <t>tiberiansun</t>
        </is>
      </c>
      <c r="B212" t="inlineStr">
        <is>
          <t>forgotten_upgrade_friendlywildlife</t>
        </is>
      </c>
      <c r="C212" t="inlineStr">
        <is>
          <t>actor_forgotten_upgrade_friendlywildlife.name</t>
        </is>
      </c>
      <c r="D212" s="6" t="inlineStr">
        <is>
          <t>ResearchedUpgrade</t>
        </is>
      </c>
      <c r="E212" s="6" t="n"/>
      <c r="F212" s="6" t="n"/>
      <c r="H212" s="6" t="n">
        <v>1</v>
      </c>
      <c r="I212" s="6" t="n">
        <v>1</v>
      </c>
      <c r="J212" s="6" t="n">
        <v>1</v>
      </c>
      <c r="K212" s="6" t="n"/>
      <c r="X212" s="6" t="n">
        <v>5000</v>
      </c>
    </row>
    <row r="213">
      <c r="A213" t="inlineStr">
        <is>
          <t>tiberiansun</t>
        </is>
      </c>
      <c r="B213" t="inlineStr">
        <is>
          <t>forgotten_upgrade_genomemapping</t>
        </is>
      </c>
      <c r="C213" t="inlineStr">
        <is>
          <t>actor_forgotten_upgrade_genomemapping.name</t>
        </is>
      </c>
      <c r="D213" s="6" t="inlineStr">
        <is>
          <t>ResearchedUpgrade</t>
        </is>
      </c>
      <c r="E213" s="6" t="n"/>
      <c r="F213" s="6" t="n"/>
      <c r="H213" s="6" t="n">
        <v>1</v>
      </c>
      <c r="I213" s="6" t="n">
        <v>1</v>
      </c>
      <c r="J213" s="6" t="n">
        <v>1</v>
      </c>
      <c r="K213" s="6" t="n"/>
      <c r="X213" s="6" t="n">
        <v>3500</v>
      </c>
    </row>
    <row r="214">
      <c r="A214" t="inlineStr">
        <is>
          <t>tiberiansun</t>
        </is>
      </c>
      <c r="B214" t="inlineStr">
        <is>
          <t>forgotten_upgrade_junkarmor</t>
        </is>
      </c>
      <c r="C214" t="inlineStr">
        <is>
          <t>actor_forgotten_upgrade_junkarmor.name</t>
        </is>
      </c>
      <c r="D214" s="6" t="inlineStr">
        <is>
          <t>ResearchedUpgrade</t>
        </is>
      </c>
      <c r="E214" s="6" t="n"/>
      <c r="F214" s="6" t="n"/>
      <c r="H214" s="6" t="n">
        <v>0.8824</v>
      </c>
      <c r="I214" s="6" t="n">
        <v>1</v>
      </c>
      <c r="J214" s="6" t="n">
        <v>1</v>
      </c>
      <c r="K214" s="6" t="n"/>
      <c r="X214" s="6" t="n">
        <v>5000</v>
      </c>
    </row>
    <row r="215">
      <c r="A215" t="inlineStr">
        <is>
          <t>tiberiansun</t>
        </is>
      </c>
      <c r="B215" t="inlineStr">
        <is>
          <t>forgotten_upgrade_mutantsoldier</t>
        </is>
      </c>
      <c r="C215" t="inlineStr">
        <is>
          <t>actor_forgotten_upgrade_mutantsoldier.name</t>
        </is>
      </c>
      <c r="D215" s="6" t="inlineStr">
        <is>
          <t>UnitUpgrade</t>
        </is>
      </c>
      <c r="E215" s="6" t="n"/>
      <c r="F215" s="6" t="n"/>
      <c r="H215" s="6" t="n">
        <v>1</v>
      </c>
      <c r="I215" s="6" t="n">
        <v>1</v>
      </c>
      <c r="J215" s="6" t="n">
        <v>1</v>
      </c>
      <c r="K215" s="6" t="n"/>
      <c r="X215" s="6" t="n">
        <v>2500</v>
      </c>
    </row>
    <row r="216">
      <c r="A216" t="inlineStr">
        <is>
          <t>tiberiansun</t>
        </is>
      </c>
      <c r="B216" t="inlineStr">
        <is>
          <t>forgotten_upgrade_tiberiumadaptability</t>
        </is>
      </c>
      <c r="C216" t="inlineStr">
        <is>
          <t>actor_forgotten_upgrade_tiberiumadaptability.name</t>
        </is>
      </c>
      <c r="D216" s="6" t="inlineStr">
        <is>
          <t>ResearchedUpgrade</t>
        </is>
      </c>
      <c r="E216" s="6" t="n"/>
      <c r="F216" s="6" t="n"/>
      <c r="H216" s="6" t="n">
        <v>0.8824</v>
      </c>
      <c r="I216" s="6" t="n">
        <v>1</v>
      </c>
      <c r="J216" s="6" t="n">
        <v>1</v>
      </c>
      <c r="K216" s="6" t="n"/>
      <c r="X216" s="6" t="n">
        <v>10000</v>
      </c>
    </row>
    <row r="217">
      <c r="A217" t="inlineStr">
        <is>
          <t>tiberiansun</t>
        </is>
      </c>
      <c r="B217" t="inlineStr">
        <is>
          <t>forgotten_upgrade_tiberiumboosters</t>
        </is>
      </c>
      <c r="C217" t="inlineStr">
        <is>
          <t>actor_forgotten_upgrade_tiberiumboosters.name</t>
        </is>
      </c>
      <c r="D217" s="6" t="inlineStr">
        <is>
          <t>ResearchedUpgrade</t>
        </is>
      </c>
      <c r="E217" s="6" t="n"/>
      <c r="F217" s="6" t="n"/>
      <c r="H217" s="6" t="n">
        <v>0.8824</v>
      </c>
      <c r="I217" s="6" t="n">
        <v>1</v>
      </c>
      <c r="J217" s="6" t="n">
        <v>1</v>
      </c>
      <c r="K217" s="6" t="n"/>
      <c r="X217" s="6" t="n">
        <v>4000</v>
      </c>
    </row>
    <row r="218">
      <c r="A218" t="inlineStr">
        <is>
          <t>tiberiansun</t>
        </is>
      </c>
      <c r="B218" t="inlineStr">
        <is>
          <t>forgotten_upgrade_unity</t>
        </is>
      </c>
      <c r="C218" t="inlineStr">
        <is>
          <t>actor_forgotten_upgrade_unity.name</t>
        </is>
      </c>
      <c r="D218" s="6" t="inlineStr">
        <is>
          <t>ResearchedUpgrade</t>
        </is>
      </c>
      <c r="E218" s="6" t="n"/>
      <c r="F218" s="6" t="n"/>
      <c r="H218" s="6" t="n">
        <v>0.8824</v>
      </c>
      <c r="I218" s="6" t="n">
        <v>1</v>
      </c>
      <c r="J218" s="6" t="n">
        <v>1</v>
      </c>
      <c r="K218" s="6" t="n"/>
      <c r="X218" s="6" t="n">
        <v>5000</v>
      </c>
    </row>
    <row r="219">
      <c r="A219" s="4" t="inlineStr">
        <is>
          <t>PROMOTIONS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t="inlineStr">
        <is>
          <t>tiberiansun</t>
        </is>
      </c>
      <c r="B220" t="inlineStr">
        <is>
          <t>forgotten_promotion_bowler</t>
        </is>
      </c>
      <c r="C220" t="inlineStr">
        <is>
          <t>actor_forgotten_promotion_bowler.name</t>
        </is>
      </c>
      <c r="D220" s="6" t="inlineStr">
        <is>
          <t>PromotionUpgrade</t>
        </is>
      </c>
      <c r="E220" s="6" t="n"/>
      <c r="F220" s="6" t="n"/>
      <c r="H220" s="6" t="n">
        <v>1</v>
      </c>
      <c r="I220" s="6" t="n">
        <v>1</v>
      </c>
      <c r="J220" s="6" t="n">
        <v>1</v>
      </c>
      <c r="K220" s="6" t="n"/>
      <c r="X220" s="6" t="n"/>
    </row>
    <row r="221">
      <c r="A221" t="inlineStr">
        <is>
          <t>tiberiansun</t>
        </is>
      </c>
      <c r="B221" t="inlineStr">
        <is>
          <t>forgotten_promotion_chemicalmammothtank</t>
        </is>
      </c>
      <c r="C221" t="inlineStr">
        <is>
          <t>actor_forgotten_promotion_chemicalmammothtank.name</t>
        </is>
      </c>
      <c r="D221" s="6" t="inlineStr">
        <is>
          <t>PromotionUpgrade</t>
        </is>
      </c>
      <c r="E221" s="6" t="n"/>
      <c r="F221" s="6" t="n"/>
      <c r="H221" s="6" t="n">
        <v>1</v>
      </c>
      <c r="I221" s="6" t="n">
        <v>1</v>
      </c>
      <c r="J221" s="6" t="n">
        <v>1</v>
      </c>
      <c r="K221" s="6" t="n"/>
      <c r="X221" s="6" t="n"/>
    </row>
    <row r="222">
      <c r="A222" t="inlineStr">
        <is>
          <t>tiberiansun</t>
        </is>
      </c>
      <c r="B222" t="inlineStr">
        <is>
          <t>forgotten_promotion_cobracopter</t>
        </is>
      </c>
      <c r="C222" t="inlineStr">
        <is>
          <t>actor_forgotten_promotion_cobracopter.name</t>
        </is>
      </c>
      <c r="D222" s="6" t="inlineStr">
        <is>
          <t>PromotionUpgrade</t>
        </is>
      </c>
      <c r="E222" s="6" t="n"/>
      <c r="F222" s="6" t="n"/>
      <c r="H222" s="6" t="n">
        <v>1</v>
      </c>
      <c r="I222" s="6" t="n">
        <v>1</v>
      </c>
      <c r="J222" s="6" t="n">
        <v>1</v>
      </c>
      <c r="K222" s="6" t="n"/>
      <c r="X222" s="6" t="n"/>
    </row>
    <row r="223">
      <c r="A223" t="inlineStr">
        <is>
          <t>tiberiansun</t>
        </is>
      </c>
      <c r="B223" t="inlineStr">
        <is>
          <t>forgotten_promotion_experimentalmammothtank</t>
        </is>
      </c>
      <c r="C223" t="inlineStr">
        <is>
          <t>actor_forgotten_promotion_experimentalmammothtank.name</t>
        </is>
      </c>
      <c r="D223" s="6" t="inlineStr">
        <is>
          <t>PromotionUpgrade</t>
        </is>
      </c>
      <c r="E223" s="6" t="n"/>
      <c r="F223" s="6" t="n"/>
      <c r="H223" s="6" t="n">
        <v>1</v>
      </c>
      <c r="I223" s="6" t="n">
        <v>1</v>
      </c>
      <c r="J223" s="6" t="n">
        <v>1</v>
      </c>
      <c r="K223" s="6" t="n"/>
      <c r="X223" s="6" t="n"/>
    </row>
    <row r="224">
      <c r="A224" t="inlineStr">
        <is>
          <t>tiberiansun</t>
        </is>
      </c>
      <c r="B224" t="inlineStr">
        <is>
          <t>forgotten_promotion_flametank</t>
        </is>
      </c>
      <c r="C224" t="inlineStr">
        <is>
          <t>actor_forgotten_promotion_flametank.name</t>
        </is>
      </c>
      <c r="D224" s="6" t="inlineStr">
        <is>
          <t>PromotionUpgrade</t>
        </is>
      </c>
      <c r="E224" s="6" t="n"/>
      <c r="F224" s="6" t="n"/>
      <c r="H224" s="6" t="n">
        <v>1</v>
      </c>
      <c r="I224" s="6" t="n">
        <v>1</v>
      </c>
      <c r="J224" s="6" t="n">
        <v>1</v>
      </c>
      <c r="K224" s="6" t="n"/>
      <c r="X224" s="6" t="n"/>
    </row>
    <row r="225">
      <c r="A225" t="inlineStr">
        <is>
          <t>tiberiansun</t>
        </is>
      </c>
      <c r="B225" t="inlineStr">
        <is>
          <t>forgotten_promotion_ghoststalker</t>
        </is>
      </c>
      <c r="C225" t="inlineStr">
        <is>
          <t>actor_forgotten_promotion_ghoststalker.name</t>
        </is>
      </c>
      <c r="D225" s="6" t="inlineStr">
        <is>
          <t>PromotionUpgrade</t>
        </is>
      </c>
      <c r="E225" s="6" t="n"/>
      <c r="F225" s="6" t="n"/>
      <c r="H225" s="6" t="n">
        <v>1</v>
      </c>
      <c r="I225" s="6" t="n">
        <v>1</v>
      </c>
      <c r="J225" s="6" t="n">
        <v>1</v>
      </c>
      <c r="K225" s="6" t="n"/>
      <c r="X225" s="6" t="n"/>
    </row>
    <row r="226">
      <c r="A226" t="inlineStr">
        <is>
          <t>tiberiansun</t>
        </is>
      </c>
      <c r="B226" t="inlineStr">
        <is>
          <t>forgotten_promotion_locustbomber</t>
        </is>
      </c>
      <c r="C226" t="inlineStr">
        <is>
          <t>actor_forgotten_promotion_locustbomber.name</t>
        </is>
      </c>
      <c r="D226" s="6" t="inlineStr">
        <is>
          <t>PromotionUpgrade</t>
        </is>
      </c>
      <c r="E226" s="6" t="n"/>
      <c r="F226" s="6" t="n"/>
      <c r="H226" s="6" t="n">
        <v>1</v>
      </c>
      <c r="I226" s="6" t="n">
        <v>1</v>
      </c>
      <c r="J226" s="6" t="n">
        <v>1</v>
      </c>
      <c r="K226" s="6" t="n"/>
      <c r="X226" s="6" t="n"/>
    </row>
    <row r="227">
      <c r="A227" t="inlineStr">
        <is>
          <t>tiberiansun</t>
        </is>
      </c>
      <c r="B227" t="inlineStr">
        <is>
          <t>forgotten_promotion_mlrs</t>
        </is>
      </c>
      <c r="C227" t="inlineStr">
        <is>
          <t>actor_forgotten_promotion_mlrs.name</t>
        </is>
      </c>
      <c r="D227" s="6" t="inlineStr">
        <is>
          <t>PromotionUpgrade</t>
        </is>
      </c>
      <c r="E227" s="6" t="n"/>
      <c r="F227" s="6" t="n"/>
      <c r="H227" s="6" t="n">
        <v>1</v>
      </c>
      <c r="I227" s="6" t="n">
        <v>1</v>
      </c>
      <c r="J227" s="6" t="n">
        <v>1</v>
      </c>
      <c r="K227" s="6" t="n"/>
      <c r="X227" s="6" t="n"/>
    </row>
    <row r="228">
      <c r="A228" t="inlineStr">
        <is>
          <t>tiberiansun</t>
        </is>
      </c>
      <c r="B228" t="inlineStr">
        <is>
          <t>forgotten_promotion_runnershotgal</t>
        </is>
      </c>
      <c r="C228" t="inlineStr">
        <is>
          <t>actor_forgotten_promotion_runnershotgal.name</t>
        </is>
      </c>
      <c r="D228" s="6" t="inlineStr">
        <is>
          <t>PromotionUpgrade</t>
        </is>
      </c>
      <c r="E228" s="6" t="n"/>
      <c r="F228" s="6" t="n"/>
      <c r="H228" s="6" t="n">
        <v>1</v>
      </c>
      <c r="I228" s="6" t="n">
        <v>1</v>
      </c>
      <c r="J228" s="6" t="n">
        <v>1</v>
      </c>
      <c r="K228" s="6" t="n"/>
      <c r="X228" s="6" t="n"/>
    </row>
    <row r="229">
      <c r="A229" t="inlineStr">
        <is>
          <t>tiberiansun</t>
        </is>
      </c>
      <c r="B229" t="inlineStr">
        <is>
          <t>forgotten_promotion_scoopertank</t>
        </is>
      </c>
      <c r="C229" t="inlineStr">
        <is>
          <t>actor_forgotten_promotion_scoopertank.name</t>
        </is>
      </c>
      <c r="D229" s="6" t="inlineStr">
        <is>
          <t>PromotionUpgrade</t>
        </is>
      </c>
      <c r="E229" s="6" t="n"/>
      <c r="F229" s="6" t="n"/>
      <c r="H229" s="6" t="n">
        <v>1</v>
      </c>
      <c r="I229" s="6" t="n">
        <v>1</v>
      </c>
      <c r="J229" s="6" t="n">
        <v>1</v>
      </c>
      <c r="K229" s="6" t="n"/>
      <c r="X229" s="6" t="n"/>
    </row>
    <row r="230">
      <c r="A230" t="inlineStr">
        <is>
          <t>tiberiansun</t>
        </is>
      </c>
      <c r="B230" t="inlineStr">
        <is>
          <t>forgotten_promotion_viniferafiend</t>
        </is>
      </c>
      <c r="C230" t="inlineStr">
        <is>
          <t>actor_forgotten_promotion_viniferafiend.name</t>
        </is>
      </c>
      <c r="D230" s="6" t="inlineStr">
        <is>
          <t>PromotionUpgrade</t>
        </is>
      </c>
      <c r="E230" s="6" t="n"/>
      <c r="F230" s="6" t="n"/>
      <c r="H230" s="6" t="n">
        <v>1</v>
      </c>
      <c r="I230" s="6" t="n">
        <v>1</v>
      </c>
      <c r="J230" s="6" t="n">
        <v>1</v>
      </c>
      <c r="K230" s="6" t="n"/>
      <c r="X230" s="6" t="n"/>
    </row>
    <row r="231">
      <c r="A231" t="inlineStr">
        <is>
          <t>tiberiansun</t>
        </is>
      </c>
      <c r="B231" t="inlineStr">
        <is>
          <t>forgotten_promotion_warriortank</t>
        </is>
      </c>
      <c r="C231" t="inlineStr">
        <is>
          <t>actor_forgotten_promotion_warriortank.name</t>
        </is>
      </c>
      <c r="D231" s="6" t="inlineStr">
        <is>
          <t>PromotionUpgrade</t>
        </is>
      </c>
      <c r="E231" s="6" t="n"/>
      <c r="F231" s="6" t="n"/>
      <c r="H231" s="6" t="n">
        <v>1</v>
      </c>
      <c r="I231" s="6" t="n">
        <v>1</v>
      </c>
      <c r="J231" s="6" t="n">
        <v>1</v>
      </c>
      <c r="K231" s="6" t="n"/>
      <c r="X231" s="6" t="n"/>
    </row>
    <row r="232">
      <c r="A232" s="4" t="inlineStr">
        <is>
          <t>MISC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t="inlineStr">
        <is>
          <t>tiberiansun</t>
        </is>
      </c>
      <c r="B233" t="inlineStr">
        <is>
          <t>forgotten_upgrade_tiberiumadaptability_proxy_actor</t>
        </is>
      </c>
      <c r="C233" t="inlineStr">
        <is>
          <t>Tiberium Adaptability (Team Upgrade)</t>
        </is>
      </c>
      <c r="D233" s="6" t="inlineStr">
        <is>
          <t>ResearchedUpgrade</t>
        </is>
      </c>
      <c r="E233" s="6" t="n"/>
      <c r="F233" s="6" t="n"/>
      <c r="H233" s="6" t="n">
        <v>1</v>
      </c>
      <c r="I233" s="6" t="n">
        <v>1</v>
      </c>
      <c r="J233" s="6" t="n">
        <v>1</v>
      </c>
      <c r="K233" s="6" t="n"/>
      <c r="X233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UPGRADES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ra2_yuri_upgrade_geneticboost_proxy_actor</t>
        </is>
      </c>
      <c r="C3" t="inlineStr">
        <is>
          <t>Infantry Stealth Suits</t>
        </is>
      </c>
      <c r="D3" s="6" t="inlineStr">
        <is>
          <t>ResearchedUpgrade</t>
        </is>
      </c>
      <c r="E3" s="6" t="n"/>
      <c r="F3" s="6" t="n"/>
      <c r="H3" s="6" t="n">
        <v>1</v>
      </c>
      <c r="I3" s="6" t="n">
        <v>1</v>
      </c>
      <c r="J3" s="6" t="n">
        <v>1</v>
      </c>
      <c r="K3" s="6" t="n"/>
      <c r="X3" s="6" t="n"/>
    </row>
    <row r="4">
      <c r="A4" t="inlineStr">
        <is>
          <t>shared</t>
        </is>
      </c>
      <c r="B4" t="inlineStr">
        <is>
          <t>ra2_yuri_upgrade_psychicvision_proxy_actor</t>
        </is>
      </c>
      <c r="C4" t="inlineStr">
        <is>
          <t>Psychic Vision</t>
        </is>
      </c>
      <c r="D4" s="6" t="inlineStr">
        <is>
          <t>ResearchedUpgrade</t>
        </is>
      </c>
      <c r="E4" s="6" t="n"/>
      <c r="F4" s="6" t="n"/>
      <c r="H4" s="6" t="n">
        <v>1</v>
      </c>
      <c r="I4" s="6" t="n">
        <v>1</v>
      </c>
      <c r="J4" s="6" t="n">
        <v>1</v>
      </c>
      <c r="K4" s="6" t="n"/>
      <c r="X4" s="6" t="n"/>
    </row>
    <row r="5">
      <c r="A5" t="inlineStr">
        <is>
          <t>shared</t>
        </is>
      </c>
      <c r="B5" t="inlineStr">
        <is>
          <t>ra2_yuri_upgrade_stealthsuits_proxy_actor</t>
        </is>
      </c>
      <c r="C5" t="inlineStr">
        <is>
          <t>Infantry Stealth Suits</t>
        </is>
      </c>
      <c r="D5" s="6" t="inlineStr">
        <is>
          <t>ResearchedUpgrade</t>
        </is>
      </c>
      <c r="E5" s="6" t="n"/>
      <c r="F5" s="6" t="n"/>
      <c r="H5" s="6" t="n">
        <v>1</v>
      </c>
      <c r="I5" s="6" t="n">
        <v>1</v>
      </c>
      <c r="J5" s="6" t="n">
        <v>1</v>
      </c>
      <c r="K5" s="6" t="n"/>
      <c r="X5" s="6" t="n"/>
    </row>
    <row r="6">
      <c r="A6" s="4" t="inlineStr">
        <is>
          <t>MISC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shared</t>
        </is>
      </c>
      <c r="B7" t="inlineStr">
        <is>
          <t>OILB.RA2</t>
        </is>
      </c>
      <c r="C7" t="inlineStr">
        <is>
          <t>RA2 Oil Derrick</t>
        </is>
      </c>
      <c r="D7" s="6" t="inlineStr">
        <is>
          <t>Misc</t>
        </is>
      </c>
      <c r="E7" s="6" t="n">
        <v>250000</v>
      </c>
      <c r="F7" s="6" t="n"/>
      <c r="G7" t="inlineStr">
        <is>
          <t>Wood</t>
        </is>
      </c>
      <c r="H7" s="6" t="n">
        <v>1</v>
      </c>
      <c r="I7" s="6" t="n">
        <v>1</v>
      </c>
      <c r="J7" s="6" t="n">
        <v>1</v>
      </c>
      <c r="K7" s="6" t="n"/>
      <c r="X7" s="6" t="n">
        <v>2500</v>
      </c>
    </row>
    <row r="8">
      <c r="A8" t="inlineStr">
        <is>
          <t>shared</t>
        </is>
      </c>
      <c r="B8" t="inlineStr">
        <is>
          <t>YRSLAV</t>
        </is>
      </c>
      <c r="C8" t="inlineStr">
        <is>
          <t>Slave</t>
        </is>
      </c>
      <c r="D8" s="6" t="inlineStr">
        <is>
          <t>MeleeInfantry</t>
        </is>
      </c>
      <c r="E8" s="6" t="n">
        <v>10000</v>
      </c>
      <c r="F8" s="6" t="n">
        <v>60</v>
      </c>
      <c r="G8" t="inlineStr">
        <is>
          <t>Plate</t>
        </is>
      </c>
      <c r="H8" s="6" t="n">
        <v>1</v>
      </c>
      <c r="I8" s="6" t="n">
        <v>1</v>
      </c>
      <c r="J8" s="6" t="n">
        <v>1</v>
      </c>
      <c r="K8" s="6" t="n"/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250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RA2Shovel</t>
        </is>
      </c>
      <c r="C9" s="7" t="inlineStr">
        <is>
          <t>Armament@PRIMARY</t>
        </is>
      </c>
      <c r="L9" s="6" t="n">
        <v>2000</v>
      </c>
      <c r="M9" s="6" t="n">
        <v>30</v>
      </c>
      <c r="N9" s="6" t="n">
        <v>1</v>
      </c>
      <c r="O9" s="6" t="n"/>
      <c r="P9" s="6" t="n">
        <v>1500</v>
      </c>
      <c r="Q9" s="6" t="n">
        <v>1</v>
      </c>
      <c r="R9">
        <f>M9+IF(N9&gt;1,N(O9)*(N9-1),0)</f>
        <v/>
      </c>
      <c r="S9">
        <f>IFERROR(L9*MAX(N9,1)/R9*IF(ISBLANK(K8),1,K8),0)</f>
        <v/>
      </c>
      <c r="AB9" s="7" t="inlineStr">
        <is>
          <t>^Warhead_Melee_Medium</t>
        </is>
      </c>
    </row>
    <row r="10">
      <c r="B10" s="7" t="inlineStr">
        <is>
          <t xml:space="preserve">  ↳ RA2Shovel</t>
        </is>
      </c>
      <c r="C10" s="7" t="inlineStr">
        <is>
          <t>Armament@GARRISONED</t>
        </is>
      </c>
      <c r="L10" s="6" t="n">
        <v>2000</v>
      </c>
      <c r="M10" s="6" t="n">
        <v>30</v>
      </c>
      <c r="N10" s="6" t="n">
        <v>1</v>
      </c>
      <c r="O10" s="6" t="n"/>
      <c r="P10" s="6" t="n">
        <v>1500</v>
      </c>
      <c r="Q10" s="6" t="n">
        <v>1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^Warhead_Melee_Medium</t>
        </is>
      </c>
    </row>
    <row r="11">
      <c r="A11" t="inlineStr">
        <is>
          <t>shared</t>
        </is>
      </c>
      <c r="B11" t="inlineStr">
        <is>
          <t>ra2_ambu</t>
        </is>
      </c>
      <c r="C11" t="inlineStr">
        <is>
          <t>Civilian Vehicle</t>
        </is>
      </c>
      <c r="D11" s="6" t="inlineStr">
        <is>
          <t>Misc</t>
        </is>
      </c>
      <c r="E11" s="6" t="n">
        <v>20000</v>
      </c>
      <c r="F11" s="6" t="n">
        <v>100</v>
      </c>
      <c r="G11" t="inlineStr">
        <is>
          <t>Light</t>
        </is>
      </c>
      <c r="H11" s="6" t="n">
        <v>1</v>
      </c>
      <c r="I11" s="6" t="n">
        <v>1</v>
      </c>
      <c r="J11" s="6" t="n">
        <v>1</v>
      </c>
      <c r="K11" s="6" t="n"/>
      <c r="X11" s="6" t="n">
        <v>0</v>
      </c>
    </row>
    <row r="12">
      <c r="A12" t="inlineStr">
        <is>
          <t>shared</t>
        </is>
      </c>
      <c r="B12" t="inlineStr">
        <is>
          <t>ra2_ambu_demo</t>
        </is>
      </c>
      <c r="C12" t="inlineStr">
        <is>
          <t>Bomb Car</t>
        </is>
      </c>
      <c r="D12" s="6" t="inlineStr">
        <is>
          <t>Misc</t>
        </is>
      </c>
      <c r="E12" s="6" t="n">
        <v>20000</v>
      </c>
      <c r="F12" s="6" t="n">
        <v>100</v>
      </c>
      <c r="G12" t="inlineStr">
        <is>
          <t>Light</t>
        </is>
      </c>
      <c r="H12" s="6" t="n">
        <v>1</v>
      </c>
      <c r="I12" s="6" t="n">
        <v>1</v>
      </c>
      <c r="J12" s="6" t="n">
        <v>1</v>
      </c>
      <c r="K12" s="6" t="n"/>
      <c r="X12" s="6" t="n">
        <v>500</v>
      </c>
    </row>
    <row r="13">
      <c r="B13" s="7" t="inlineStr">
        <is>
          <t xml:space="preserve">  ↳ DemoTruckTargeting</t>
        </is>
      </c>
      <c r="C13" s="7" t="inlineStr">
        <is>
          <t>Armament@PRIMARY</t>
        </is>
      </c>
      <c r="L13" s="6" t="n"/>
      <c r="M13" s="6" t="n"/>
      <c r="N13" s="6" t="n">
        <v>1</v>
      </c>
      <c r="O13" s="6" t="n"/>
      <c r="P13" s="6" t="n">
        <v>2000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/>
    </row>
    <row r="14">
      <c r="A14" t="inlineStr">
        <is>
          <t>shared</t>
        </is>
      </c>
      <c r="B14" t="inlineStr">
        <is>
          <t>ra2_ambu_driveby</t>
        </is>
      </c>
      <c r="C14" t="inlineStr">
        <is>
          <t>Drive By Car</t>
        </is>
      </c>
      <c r="D14" s="6" t="inlineStr">
        <is>
          <t>ScoutVehicle</t>
        </is>
      </c>
      <c r="E14" s="6" t="n">
        <v>25000</v>
      </c>
      <c r="F14" s="6" t="n">
        <v>100</v>
      </c>
      <c r="G14" t="inlineStr">
        <is>
          <t>Scout</t>
        </is>
      </c>
      <c r="H14" s="6" t="n">
        <v>1</v>
      </c>
      <c r="I14" s="6" t="n">
        <v>1</v>
      </c>
      <c r="J14" s="6" t="n">
        <v>1</v>
      </c>
      <c r="K14" s="6" t="n"/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1000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RA220mmrapid</t>
        </is>
      </c>
      <c r="C15" s="7" t="inlineStr">
        <is>
          <t>Armament</t>
        </is>
      </c>
      <c r="L15" s="6" t="n">
        <v>8000</v>
      </c>
      <c r="M15" s="6" t="n">
        <v>15</v>
      </c>
      <c r="N15" s="6" t="n">
        <v>1</v>
      </c>
      <c r="O15" s="6" t="n"/>
      <c r="P15" s="6" t="n">
        <v>5000</v>
      </c>
      <c r="Q15" s="6" t="n">
        <v>0.875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^Warhead_Bullet_Light, ^Warhead_Bullet_Medium</t>
        </is>
      </c>
    </row>
    <row r="16">
      <c r="A16" t="inlineStr">
        <is>
          <t>shared</t>
        </is>
      </c>
      <c r="B16" t="inlineStr">
        <is>
          <t>ra2_awall</t>
        </is>
      </c>
      <c r="C16" t="inlineStr">
        <is>
          <t>Concrete Barrier</t>
        </is>
      </c>
      <c r="D16" s="6" t="inlineStr">
        <is>
          <t>Misc</t>
        </is>
      </c>
      <c r="E16" s="6" t="n">
        <v>100000</v>
      </c>
      <c r="F16" s="6" t="n"/>
      <c r="G16" t="inlineStr">
        <is>
          <t>Concrete</t>
        </is>
      </c>
      <c r="H16" s="6" t="n">
        <v>1</v>
      </c>
      <c r="I16" s="6" t="n">
        <v>1</v>
      </c>
      <c r="J16" s="6" t="n">
        <v>1</v>
      </c>
      <c r="K16" s="6" t="n"/>
      <c r="X16" s="6" t="n">
        <v>200</v>
      </c>
    </row>
    <row r="17">
      <c r="A17" t="inlineStr">
        <is>
          <t>shared</t>
        </is>
      </c>
      <c r="B17" t="inlineStr">
        <is>
          <t>ra2_bcab</t>
        </is>
      </c>
      <c r="C17" t="inlineStr">
        <is>
          <t>Civilian Vehicle</t>
        </is>
      </c>
      <c r="D17" s="6" t="inlineStr">
        <is>
          <t>Misc</t>
        </is>
      </c>
      <c r="E17" s="6" t="n">
        <v>20000</v>
      </c>
      <c r="F17" s="6" t="n">
        <v>100</v>
      </c>
      <c r="G17" t="inlineStr">
        <is>
          <t>Light</t>
        </is>
      </c>
      <c r="H17" s="6" t="n">
        <v>1</v>
      </c>
      <c r="I17" s="6" t="n">
        <v>1</v>
      </c>
      <c r="J17" s="6" t="n">
        <v>1</v>
      </c>
      <c r="K17" s="6" t="n"/>
      <c r="X17" s="6" t="n">
        <v>0</v>
      </c>
    </row>
    <row r="18">
      <c r="A18" t="inlineStr">
        <is>
          <t>shared</t>
        </is>
      </c>
      <c r="B18" t="inlineStr">
        <is>
          <t>ra2_bcab_demo</t>
        </is>
      </c>
      <c r="C18" t="inlineStr">
        <is>
          <t>Bomb Car</t>
        </is>
      </c>
      <c r="D18" s="6" t="inlineStr">
        <is>
          <t>Misc</t>
        </is>
      </c>
      <c r="E18" s="6" t="n">
        <v>20000</v>
      </c>
      <c r="F18" s="6" t="n">
        <v>100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K18" s="6" t="n"/>
      <c r="X18" s="6" t="n">
        <v>500</v>
      </c>
    </row>
    <row r="19">
      <c r="B19" s="7" t="inlineStr">
        <is>
          <t xml:space="preserve">  ↳ DemoTruckTargeting</t>
        </is>
      </c>
      <c r="C19" s="7" t="inlineStr">
        <is>
          <t>Armament@PRIMARY</t>
        </is>
      </c>
      <c r="L19" s="6" t="n"/>
      <c r="M19" s="6" t="n"/>
      <c r="N19" s="6" t="n">
        <v>1</v>
      </c>
      <c r="O19" s="6" t="n"/>
      <c r="P19" s="6" t="n">
        <v>2000</v>
      </c>
      <c r="Q19" s="6" t="n">
        <v>1</v>
      </c>
      <c r="R19">
        <f>M19+IF(N19&gt;1,N(O19)*(N19-1),0)</f>
        <v/>
      </c>
      <c r="S19">
        <f>IFERROR(L19*MAX(N19,1)/R19*IF(ISBLANK(K18),1,K18),0)</f>
        <v/>
      </c>
      <c r="AB19" s="7" t="inlineStr"/>
    </row>
    <row r="20">
      <c r="A20" t="inlineStr">
        <is>
          <t>shared</t>
        </is>
      </c>
      <c r="B20" t="inlineStr">
        <is>
          <t>ra2_bcab_driveby</t>
        </is>
      </c>
      <c r="C20" t="inlineStr">
        <is>
          <t>Drive By Car</t>
        </is>
      </c>
      <c r="D20" s="6" t="inlineStr">
        <is>
          <t>ScoutVehicle</t>
        </is>
      </c>
      <c r="E20" s="6" t="n">
        <v>25000</v>
      </c>
      <c r="F20" s="6" t="n">
        <v>100</v>
      </c>
      <c r="G20" t="inlineStr">
        <is>
          <t>Scout</t>
        </is>
      </c>
      <c r="H20" s="6" t="n">
        <v>1</v>
      </c>
      <c r="I20" s="6" t="n">
        <v>1</v>
      </c>
      <c r="J20" s="6" t="n">
        <v>1</v>
      </c>
      <c r="K20" s="6" t="n"/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RA220mmrapid</t>
        </is>
      </c>
      <c r="C21" s="7" t="inlineStr">
        <is>
          <t>Armament</t>
        </is>
      </c>
      <c r="L21" s="6" t="n">
        <v>8000</v>
      </c>
      <c r="M21" s="6" t="n">
        <v>15</v>
      </c>
      <c r="N21" s="6" t="n">
        <v>1</v>
      </c>
      <c r="O21" s="6" t="n"/>
      <c r="P21" s="6" t="n">
        <v>5000</v>
      </c>
      <c r="Q21" s="6" t="n">
        <v>0.875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A22" t="inlineStr">
        <is>
          <t>shared</t>
        </is>
      </c>
      <c r="B22" t="inlineStr">
        <is>
          <t>ra2_bus</t>
        </is>
      </c>
      <c r="C22" t="inlineStr">
        <is>
          <t>Civilian Vehicle</t>
        </is>
      </c>
      <c r="D22" s="6" t="inlineStr">
        <is>
          <t>Misc</t>
        </is>
      </c>
      <c r="E22" s="6" t="n">
        <v>20000</v>
      </c>
      <c r="F22" s="6" t="n">
        <v>100</v>
      </c>
      <c r="G22" t="inlineStr">
        <is>
          <t>Light</t>
        </is>
      </c>
      <c r="H22" s="6" t="n">
        <v>1</v>
      </c>
      <c r="I22" s="6" t="n">
        <v>1</v>
      </c>
      <c r="J22" s="6" t="n">
        <v>1</v>
      </c>
      <c r="K22" s="6" t="n"/>
      <c r="X22" s="6" t="n">
        <v>0</v>
      </c>
    </row>
    <row r="23">
      <c r="A23" t="inlineStr">
        <is>
          <t>shared</t>
        </is>
      </c>
      <c r="B23" t="inlineStr">
        <is>
          <t>ra2_bus_demo</t>
        </is>
      </c>
      <c r="C23" t="inlineStr">
        <is>
          <t>Bomb Car</t>
        </is>
      </c>
      <c r="D23" s="6" t="inlineStr">
        <is>
          <t>Misc</t>
        </is>
      </c>
      <c r="E23" s="6" t="n">
        <v>20000</v>
      </c>
      <c r="F23" s="6" t="n">
        <v>100</v>
      </c>
      <c r="G23" t="inlineStr">
        <is>
          <t>Light</t>
        </is>
      </c>
      <c r="H23" s="6" t="n">
        <v>1</v>
      </c>
      <c r="I23" s="6" t="n">
        <v>1</v>
      </c>
      <c r="J23" s="6" t="n">
        <v>1</v>
      </c>
      <c r="K23" s="6" t="n"/>
      <c r="X23" s="6" t="n">
        <v>500</v>
      </c>
    </row>
    <row r="24">
      <c r="B24" s="7" t="inlineStr">
        <is>
          <t xml:space="preserve">  ↳ DemoTruckTargeting</t>
        </is>
      </c>
      <c r="C24" s="7" t="inlineStr">
        <is>
          <t>Armament@PRIMARY</t>
        </is>
      </c>
      <c r="L24" s="6" t="n"/>
      <c r="M24" s="6" t="n"/>
      <c r="N24" s="6" t="n">
        <v>1</v>
      </c>
      <c r="O24" s="6" t="n"/>
      <c r="P24" s="6" t="n">
        <v>2000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/>
    </row>
    <row r="25">
      <c r="A25" t="inlineStr">
        <is>
          <t>shared</t>
        </is>
      </c>
      <c r="B25" t="inlineStr">
        <is>
          <t>ra2_bus_driveby</t>
        </is>
      </c>
      <c r="C25" t="inlineStr">
        <is>
          <t>Drive By Car</t>
        </is>
      </c>
      <c r="D25" s="6" t="inlineStr">
        <is>
          <t>ScoutVehicle</t>
        </is>
      </c>
      <c r="E25" s="6" t="n">
        <v>25000</v>
      </c>
      <c r="F25" s="6" t="n">
        <v>100</v>
      </c>
      <c r="G25" t="inlineStr">
        <is>
          <t>Scout</t>
        </is>
      </c>
      <c r="H25" s="6" t="n">
        <v>1</v>
      </c>
      <c r="I25" s="6" t="n">
        <v>1</v>
      </c>
      <c r="J25" s="6" t="n">
        <v>1</v>
      </c>
      <c r="K25" s="6" t="n"/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1000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RA220mmrapid</t>
        </is>
      </c>
      <c r="C26" s="7" t="inlineStr">
        <is>
          <t>Armament</t>
        </is>
      </c>
      <c r="L26" s="6" t="n">
        <v>8000</v>
      </c>
      <c r="M26" s="6" t="n">
        <v>15</v>
      </c>
      <c r="N26" s="6" t="n">
        <v>1</v>
      </c>
      <c r="O26" s="6" t="n"/>
      <c r="P26" s="6" t="n">
        <v>5000</v>
      </c>
      <c r="Q26" s="6" t="n">
        <v>0.875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^Warhead_Bullet_Light, ^Warhead_Bullet_Medium</t>
        </is>
      </c>
    </row>
    <row r="27">
      <c r="A27" t="inlineStr">
        <is>
          <t>shared</t>
        </is>
      </c>
      <c r="B27" t="inlineStr">
        <is>
          <t>ra2_c_abram</t>
        </is>
      </c>
      <c r="C27" t="inlineStr">
        <is>
          <t>Civilian MBT</t>
        </is>
      </c>
      <c r="D27" s="6" t="inlineStr">
        <is>
          <t>MainBattleTank</t>
        </is>
      </c>
      <c r="E27" s="6" t="n">
        <v>190000</v>
      </c>
      <c r="F27" s="6" t="n">
        <v>75</v>
      </c>
      <c r="G27" t="inlineStr">
        <is>
          <t>Heavy</t>
        </is>
      </c>
      <c r="H27" s="6" t="n">
        <v>1</v>
      </c>
      <c r="I27" s="6" t="n">
        <v>1</v>
      </c>
      <c r="J27" s="6" t="n">
        <v>1</v>
      </c>
      <c r="K27" s="6" t="n"/>
      <c r="P27">
        <f>MAX(P28,P29,P30)</f>
        <v/>
      </c>
      <c r="S27">
        <f>S28+S29+S30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(((E27/240000)+(F27/95)+(S27/600)+((P27/5500)*J27))*800/4+(((E27/240000)*(F27/95))+(((P27/5500)*J27)*(S27/600)))*800/2+((E27/240000)*(F27/95)*((P27/5500)*J27)*(S27/600))*800)*(H27/1.0)/3</f>
        <v/>
      </c>
      <c r="X27" s="6" t="n">
        <v>900</v>
      </c>
      <c r="Y27">
        <f>IFERROR(W27-X27,"")</f>
        <v/>
      </c>
      <c r="Z27">
        <f>IFERROR(ABS(Y27)/MAX(X27,1),"")</f>
        <v/>
      </c>
      <c r="AA27">
        <f>IFERROR(ROUND(((3*X27-(((E27/240000)+(F27/95)+(S27/600))*800/4+((E27/240000)*(F27/95))*800/2)*(H27/1.0))/(800/4+((S27/600))*800/2+((E27/240000)*(F27/95)*(S27/600))*800)*(H27/1.0)*5500)/J27,-1),"")</f>
        <v/>
      </c>
    </row>
    <row r="28">
      <c r="B28" s="7" t="inlineStr">
        <is>
          <t xml:space="preserve">  ↳ RA2120mm</t>
        </is>
      </c>
      <c r="C28" s="7" t="inlineStr">
        <is>
          <t>Armament</t>
        </is>
      </c>
      <c r="L28" s="6" t="n">
        <v>10000</v>
      </c>
      <c r="M28" s="6" t="n">
        <v>54</v>
      </c>
      <c r="N28" s="6" t="n">
        <v>1</v>
      </c>
      <c r="O28" s="6" t="n"/>
      <c r="P28" s="6" t="n">
        <v>5374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^Warhead_CannonHE_Medium</t>
        </is>
      </c>
    </row>
    <row r="29">
      <c r="B29" s="7" t="inlineStr">
        <is>
          <t xml:space="preserve">  ↳ RA2120mm_elite</t>
        </is>
      </c>
      <c r="C29" s="7" t="inlineStr">
        <is>
          <t>Armament@elite</t>
        </is>
      </c>
      <c r="L29" s="6" t="n">
        <v>10000</v>
      </c>
      <c r="M29" s="6" t="n">
        <v>54</v>
      </c>
      <c r="N29" s="6" t="n">
        <v>2</v>
      </c>
      <c r="O29" s="6" t="n">
        <v>3</v>
      </c>
      <c r="P29" s="6" t="n">
        <v>6374</v>
      </c>
      <c r="Q29" s="6" t="n">
        <v>1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^Warhead_CannonHE_Medium</t>
        </is>
      </c>
    </row>
    <row r="30">
      <c r="B30" s="7" t="inlineStr">
        <is>
          <t xml:space="preserve">  ↳ RA2GattlingMG1</t>
        </is>
      </c>
      <c r="C30" s="7" t="inlineStr">
        <is>
          <t>Armament@machinegun</t>
        </is>
      </c>
      <c r="L30" s="6" t="n">
        <v>4000</v>
      </c>
      <c r="M30" s="6" t="n">
        <v>6</v>
      </c>
      <c r="N30" s="6" t="n">
        <v>1</v>
      </c>
      <c r="O30" s="6" t="n"/>
      <c r="P30" s="6" t="n">
        <v>5000</v>
      </c>
      <c r="Q30" s="6" t="n">
        <v>0.875</v>
      </c>
      <c r="R30">
        <f>M30+IF(N30&gt;1,N(O30)*(N30-1),0)</f>
        <v/>
      </c>
      <c r="S30">
        <f>IFERROR(L30*MAX(N30,1)/R30*IF(ISBLANK(K27),1,K27),0)</f>
        <v/>
      </c>
      <c r="AB30" s="7" t="inlineStr">
        <is>
          <t>^Warhead_Bullet_Light, ^Warhead_Bullet_Medium</t>
        </is>
      </c>
    </row>
    <row r="31">
      <c r="A31" t="inlineStr">
        <is>
          <t>shared</t>
        </is>
      </c>
      <c r="B31" t="inlineStr">
        <is>
          <t>ra2_c_hum</t>
        </is>
      </c>
      <c r="C31" t="inlineStr">
        <is>
          <t>Humvee</t>
        </is>
      </c>
      <c r="D31" s="6" t="inlineStr">
        <is>
          <t>ScoutVehicle</t>
        </is>
      </c>
      <c r="E31" s="6" t="n">
        <v>80000</v>
      </c>
      <c r="F31" s="6" t="n">
        <v>100</v>
      </c>
      <c r="G31" t="inlineStr">
        <is>
          <t>Light</t>
        </is>
      </c>
      <c r="H31" s="6" t="n">
        <v>1</v>
      </c>
      <c r="I31" s="6" t="n">
        <v>1</v>
      </c>
      <c r="J31" s="6" t="n">
        <v>1</v>
      </c>
      <c r="K31" s="6" t="n"/>
      <c r="P31">
        <f>MAX(P32,P33)</f>
        <v/>
      </c>
      <c r="S31">
        <f>S32+S33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400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RA2GattlingMG1</t>
        </is>
      </c>
      <c r="C32" s="7" t="inlineStr">
        <is>
          <t>Armament</t>
        </is>
      </c>
      <c r="L32" s="6" t="n">
        <v>4000</v>
      </c>
      <c r="M32" s="6" t="n">
        <v>6</v>
      </c>
      <c r="N32" s="6" t="n">
        <v>1</v>
      </c>
      <c r="O32" s="6" t="n"/>
      <c r="P32" s="6" t="n">
        <v>5000</v>
      </c>
      <c r="Q32" s="6" t="n">
        <v>0.875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^Warhead_Bullet_Light, ^Warhead_Bullet_Medium</t>
        </is>
      </c>
    </row>
    <row r="33">
      <c r="B33" s="7" t="inlineStr">
        <is>
          <t xml:space="preserve">  ↳ RA2GattlingMG2</t>
        </is>
      </c>
      <c r="C33" s="7" t="inlineStr">
        <is>
          <t>Armament@elite</t>
        </is>
      </c>
      <c r="L33" s="6" t="n">
        <v>4000</v>
      </c>
      <c r="M33" s="6" t="n">
        <v>4</v>
      </c>
      <c r="N33" s="6" t="n">
        <v>1</v>
      </c>
      <c r="O33" s="6" t="n"/>
      <c r="P33" s="6" t="n">
        <v>5250</v>
      </c>
      <c r="Q33" s="6" t="n">
        <v>0.875</v>
      </c>
      <c r="R33">
        <f>M33+IF(N33&gt;1,N(O33)*(N33-1),0)</f>
        <v/>
      </c>
      <c r="S33">
        <f>IFERROR(L33*MAX(N33,1)/R33*IF(ISBLANK(K31),1,K31),0)</f>
        <v/>
      </c>
      <c r="AB33" s="7" t="inlineStr">
        <is>
          <t>^Warhead_Bullet_Light, ^Warhead_Bullet_Medium</t>
        </is>
      </c>
    </row>
    <row r="34">
      <c r="A34" t="inlineStr">
        <is>
          <t>shared</t>
        </is>
      </c>
      <c r="B34" t="inlineStr">
        <is>
          <t>ra2_c_hum2</t>
        </is>
      </c>
      <c r="C34" t="inlineStr">
        <is>
          <t>Civilian Humvee</t>
        </is>
      </c>
      <c r="D34" s="6" t="inlineStr">
        <is>
          <t>ScoutVehicle</t>
        </is>
      </c>
      <c r="E34" s="6" t="n">
        <v>80000</v>
      </c>
      <c r="F34" s="6" t="n">
        <v>100</v>
      </c>
      <c r="G34" t="inlineStr">
        <is>
          <t>Light</t>
        </is>
      </c>
      <c r="H34" s="6" t="n">
        <v>1</v>
      </c>
      <c r="I34" s="6" t="n">
        <v>1</v>
      </c>
      <c r="J34" s="6" t="n">
        <v>1</v>
      </c>
      <c r="K34" s="6" t="n"/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400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RA2GattlingMG1</t>
        </is>
      </c>
      <c r="C35" s="7" t="inlineStr">
        <is>
          <t>Armament</t>
        </is>
      </c>
      <c r="L35" s="6" t="n">
        <v>4000</v>
      </c>
      <c r="M35" s="6" t="n">
        <v>6</v>
      </c>
      <c r="N35" s="6" t="n">
        <v>1</v>
      </c>
      <c r="O35" s="6" t="n"/>
      <c r="P35" s="6" t="n">
        <v>5000</v>
      </c>
      <c r="Q35" s="6" t="n">
        <v>0.875</v>
      </c>
      <c r="R35">
        <f>M35+IF(N35&gt;1,N(O35)*(N35-1),0)</f>
        <v/>
      </c>
      <c r="S35">
        <f>IFERROR(L35*MAX(N35,1)/R35*IF(ISBLANK(K34),1,K34),0)</f>
        <v/>
      </c>
      <c r="AB35" s="7" t="inlineStr">
        <is>
          <t>^Warhead_Bullet_Light, ^Warhead_Bullet_Medium</t>
        </is>
      </c>
    </row>
    <row r="36">
      <c r="B36" s="7" t="inlineStr">
        <is>
          <t xml:space="preserve">  ↳ RA2GattlingMG2</t>
        </is>
      </c>
      <c r="C36" s="7" t="inlineStr">
        <is>
          <t>Armament@elite</t>
        </is>
      </c>
      <c r="L36" s="6" t="n">
        <v>4000</v>
      </c>
      <c r="M36" s="6" t="n">
        <v>4</v>
      </c>
      <c r="N36" s="6" t="n">
        <v>1</v>
      </c>
      <c r="O36" s="6" t="n"/>
      <c r="P36" s="6" t="n">
        <v>5250</v>
      </c>
      <c r="Q36" s="6" t="n">
        <v>0.875</v>
      </c>
      <c r="R36">
        <f>M36+IF(N36&gt;1,N(O36)*(N36-1),0)</f>
        <v/>
      </c>
      <c r="S36">
        <f>IFERROR(L36*MAX(N36,1)/R36*IF(ISBLANK(K34),1,K34),0)</f>
        <v/>
      </c>
      <c r="AB36" s="7" t="inlineStr">
        <is>
          <t>^Warhead_Bullet_Light, ^Warhead_Bullet_Medium</t>
        </is>
      </c>
    </row>
    <row r="37">
      <c r="A37" t="inlineStr">
        <is>
          <t>shared</t>
        </is>
      </c>
      <c r="B37" t="inlineStr">
        <is>
          <t>ra2_c_ifv</t>
        </is>
      </c>
      <c r="C37" t="inlineStr">
        <is>
          <t>Machinegunner IFV</t>
        </is>
      </c>
      <c r="D37" s="6" t="inlineStr">
        <is>
          <t>MainBattleTank</t>
        </is>
      </c>
      <c r="E37" s="6" t="n">
        <v>120000</v>
      </c>
      <c r="F37" s="6" t="n">
        <v>100</v>
      </c>
      <c r="G37" t="inlineStr">
        <is>
          <t>Medium</t>
        </is>
      </c>
      <c r="H37" s="6" t="n">
        <v>1</v>
      </c>
      <c r="I37" s="6" t="n">
        <v>1</v>
      </c>
      <c r="J37" s="6" t="n">
        <v>1</v>
      </c>
      <c r="K37" s="6" t="n"/>
      <c r="P37">
        <f>MAX(P38,P39,P40,P41)</f>
        <v/>
      </c>
      <c r="S37">
        <f>S38+S39+S40+S41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(((E37/240000)+(F37/95)+(S37/600)+((P37/5500)*J37))*800/4+(((E37/240000)*(F37/95))+(((P37/5500)*J37)*(S37/600)))*800/2+((E37/240000)*(F37/95)*((P37/5500)*J37)*(S37/600))*800)*(H37/1.0)/3</f>
        <v/>
      </c>
      <c r="X37" s="6" t="n">
        <v>600</v>
      </c>
      <c r="Y37">
        <f>IFERROR(W37-X37,"")</f>
        <v/>
      </c>
      <c r="Z37">
        <f>IFERROR(ABS(Y37)/MAX(X37,1),"")</f>
        <v/>
      </c>
      <c r="AA37">
        <f>IFERROR(ROUND(((3*X37-(((E37/240000)+(F37/95)+(S37/600))*800/4+((E37/240000)*(F37/95))*800/2)*(H37/1.0))/(800/4+((S37/600))*800/2+((E37/240000)*(F37/95)*(S37/600))*800)*(H37/1.0)*5500)/J37,-1),"")</f>
        <v/>
      </c>
    </row>
    <row r="38">
      <c r="B38" s="7" t="inlineStr">
        <is>
          <t xml:space="preserve">  ↳ RA2GattlingMG1</t>
        </is>
      </c>
      <c r="C38" s="7" t="inlineStr">
        <is>
          <t>Armament</t>
        </is>
      </c>
      <c r="L38" s="6" t="n">
        <v>4000</v>
      </c>
      <c r="M38" s="6" t="n">
        <v>6</v>
      </c>
      <c r="N38" s="6" t="n">
        <v>1</v>
      </c>
      <c r="O38" s="6" t="n"/>
      <c r="P38" s="6" t="n">
        <v>5000</v>
      </c>
      <c r="Q38" s="6" t="n">
        <v>0.875</v>
      </c>
      <c r="R38">
        <f>M38+IF(N38&gt;1,N(O38)*(N38-1),0)</f>
        <v/>
      </c>
      <c r="S38">
        <f>IFERROR(L38*MAX(N38,1)/R38*IF(ISBLANK(K37),1,K37),0)</f>
        <v/>
      </c>
      <c r="AB38" s="7" t="inlineStr">
        <is>
          <t>^Warhead_Bullet_Light, ^Warhead_Bullet_Medium</t>
        </is>
      </c>
    </row>
    <row r="39">
      <c r="B39" s="7" t="inlineStr">
        <is>
          <t xml:space="preserve">  ↳ RA2GattlingMG2</t>
        </is>
      </c>
      <c r="C39" s="7" t="inlineStr">
        <is>
          <t>Armament@elite</t>
        </is>
      </c>
      <c r="L39" s="6" t="n">
        <v>4000</v>
      </c>
      <c r="M39" s="6" t="n">
        <v>4</v>
      </c>
      <c r="N39" s="6" t="n">
        <v>1</v>
      </c>
      <c r="O39" s="6" t="n"/>
      <c r="P39" s="6" t="n">
        <v>5250</v>
      </c>
      <c r="Q39" s="6" t="n">
        <v>0.875</v>
      </c>
      <c r="R39">
        <f>M39+IF(N39&gt;1,N(O39)*(N39-1),0)</f>
        <v/>
      </c>
      <c r="S39">
        <f>IFERROR(L39*MAX(N39,1)/R39*IF(ISBLANK(K37),1,K37),0)</f>
        <v/>
      </c>
      <c r="AB39" s="7" t="inlineStr">
        <is>
          <t>^Warhead_Bullet_Light, ^Warhead_Bullet_Medium</t>
        </is>
      </c>
    </row>
    <row r="40">
      <c r="B40" s="7" t="inlineStr">
        <is>
          <t xml:space="preserve">  ↳ RA2GattlingMG1_AA</t>
        </is>
      </c>
      <c r="C40" s="7" t="inlineStr">
        <is>
          <t>Armament@AA</t>
        </is>
      </c>
      <c r="L40" s="6" t="n">
        <v>8000</v>
      </c>
      <c r="M40" s="6" t="n">
        <v>6</v>
      </c>
      <c r="N40" s="6" t="n">
        <v>1</v>
      </c>
      <c r="O40" s="6" t="n"/>
      <c r="P40" s="6" t="n">
        <v>6750</v>
      </c>
      <c r="Q40" s="6" t="n">
        <v>0.875</v>
      </c>
      <c r="R40">
        <f>M40+IF(N40&gt;1,N(O40)*(N40-1),0)</f>
        <v/>
      </c>
      <c r="S40">
        <f>IFERROR(L40*MAX(N40,1)/R40*IF(ISBLANK(K37),1,K37),0)</f>
        <v/>
      </c>
      <c r="AB40" s="7" t="inlineStr">
        <is>
          <t>^Warhead_Bullet_Light, ^Warhead_Bullet_Medium</t>
        </is>
      </c>
    </row>
    <row r="41">
      <c r="B41" s="7" t="inlineStr">
        <is>
          <t xml:space="preserve">  ↳ RA2GattlingMG2_AA</t>
        </is>
      </c>
      <c r="C41" s="7" t="inlineStr">
        <is>
          <t>Armament@eliteAA</t>
        </is>
      </c>
      <c r="L41" s="6" t="n">
        <v>8000</v>
      </c>
      <c r="M41" s="6" t="n">
        <v>4</v>
      </c>
      <c r="N41" s="6" t="n">
        <v>1</v>
      </c>
      <c r="O41" s="6" t="n"/>
      <c r="P41" s="6" t="n">
        <v>7500</v>
      </c>
      <c r="Q41" s="6" t="n">
        <v>0.875</v>
      </c>
      <c r="R41">
        <f>M41+IF(N41&gt;1,N(O41)*(N41-1),0)</f>
        <v/>
      </c>
      <c r="S41">
        <f>IFERROR(L41*MAX(N41,1)/R41*IF(ISBLANK(K37),1,K37),0)</f>
        <v/>
      </c>
      <c r="AB41" s="7" t="inlineStr">
        <is>
          <t>^Warhead_Bullet_Light, ^Warhead_Bullet_Medium</t>
        </is>
      </c>
    </row>
    <row r="42">
      <c r="A42" t="inlineStr">
        <is>
          <t>shared</t>
        </is>
      </c>
      <c r="B42" t="inlineStr">
        <is>
          <t>ra2_car</t>
        </is>
      </c>
      <c r="C42" t="inlineStr">
        <is>
          <t>Civilian Vehicle</t>
        </is>
      </c>
      <c r="D42" s="6" t="inlineStr">
        <is>
          <t>Misc</t>
        </is>
      </c>
      <c r="E42" s="6" t="n">
        <v>20000</v>
      </c>
      <c r="F42" s="6" t="n">
        <v>100</v>
      </c>
      <c r="G42" t="inlineStr">
        <is>
          <t>Light</t>
        </is>
      </c>
      <c r="H42" s="6" t="n">
        <v>1</v>
      </c>
      <c r="I42" s="6" t="n">
        <v>1</v>
      </c>
      <c r="J42" s="6" t="n">
        <v>1</v>
      </c>
      <c r="K42" s="6" t="n"/>
      <c r="X42" s="6" t="n">
        <v>0</v>
      </c>
    </row>
    <row r="43">
      <c r="A43" t="inlineStr">
        <is>
          <t>shared</t>
        </is>
      </c>
      <c r="B43" t="inlineStr">
        <is>
          <t>ra2_car_demo</t>
        </is>
      </c>
      <c r="C43" t="inlineStr">
        <is>
          <t>Bomb Car</t>
        </is>
      </c>
      <c r="D43" s="6" t="inlineStr">
        <is>
          <t>Misc</t>
        </is>
      </c>
      <c r="E43" s="6" t="n">
        <v>20000</v>
      </c>
      <c r="F43" s="6" t="n">
        <v>100</v>
      </c>
      <c r="G43" t="inlineStr">
        <is>
          <t>Light</t>
        </is>
      </c>
      <c r="H43" s="6" t="n">
        <v>1</v>
      </c>
      <c r="I43" s="6" t="n">
        <v>1</v>
      </c>
      <c r="J43" s="6" t="n">
        <v>1</v>
      </c>
      <c r="K43" s="6" t="n"/>
      <c r="X43" s="6" t="n">
        <v>500</v>
      </c>
    </row>
    <row r="44">
      <c r="B44" s="7" t="inlineStr">
        <is>
          <t xml:space="preserve">  ↳ DemoTruckTargeting</t>
        </is>
      </c>
      <c r="C44" s="7" t="inlineStr">
        <is>
          <t>Armament@PRIMARY</t>
        </is>
      </c>
      <c r="L44" s="6" t="n"/>
      <c r="M44" s="6" t="n"/>
      <c r="N44" s="6" t="n">
        <v>1</v>
      </c>
      <c r="O44" s="6" t="n"/>
      <c r="P44" s="6" t="n">
        <v>2000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/>
    </row>
    <row r="45">
      <c r="A45" t="inlineStr">
        <is>
          <t>shared</t>
        </is>
      </c>
      <c r="B45" t="inlineStr">
        <is>
          <t>ra2_car_driveby</t>
        </is>
      </c>
      <c r="C45" t="inlineStr">
        <is>
          <t>Drive By Car</t>
        </is>
      </c>
      <c r="D45" s="6" t="inlineStr">
        <is>
          <t>ScoutVehicle</t>
        </is>
      </c>
      <c r="E45" s="6" t="n">
        <v>25000</v>
      </c>
      <c r="F45" s="6" t="n">
        <v>100</v>
      </c>
      <c r="G45" t="inlineStr">
        <is>
          <t>Scout</t>
        </is>
      </c>
      <c r="H45" s="6" t="n">
        <v>1</v>
      </c>
      <c r="I45" s="6" t="n">
        <v>1</v>
      </c>
      <c r="J45" s="6" t="n">
        <v>1</v>
      </c>
      <c r="K45" s="6" t="n"/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1000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RA220mmrapid</t>
        </is>
      </c>
      <c r="C46" s="7" t="inlineStr">
        <is>
          <t>Armament</t>
        </is>
      </c>
      <c r="L46" s="6" t="n">
        <v>8000</v>
      </c>
      <c r="M46" s="6" t="n">
        <v>15</v>
      </c>
      <c r="N46" s="6" t="n">
        <v>1</v>
      </c>
      <c r="O46" s="6" t="n"/>
      <c r="P46" s="6" t="n">
        <v>5000</v>
      </c>
      <c r="Q46" s="6" t="n">
        <v>0.875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A47" t="inlineStr">
        <is>
          <t>shared</t>
        </is>
      </c>
      <c r="B47" t="inlineStr">
        <is>
          <t>ra2_cona</t>
        </is>
      </c>
      <c r="C47" t="inlineStr">
        <is>
          <t>Civilian Vehicle</t>
        </is>
      </c>
      <c r="D47" s="6" t="inlineStr">
        <is>
          <t>Misc</t>
        </is>
      </c>
      <c r="E47" s="6" t="n">
        <v>20000</v>
      </c>
      <c r="F47" s="6" t="n">
        <v>100</v>
      </c>
      <c r="G47" t="inlineStr">
        <is>
          <t>Light</t>
        </is>
      </c>
      <c r="H47" s="6" t="n">
        <v>1</v>
      </c>
      <c r="I47" s="6" t="n">
        <v>1</v>
      </c>
      <c r="J47" s="6" t="n">
        <v>1</v>
      </c>
      <c r="K47" s="6" t="n"/>
      <c r="X47" s="6" t="n">
        <v>0</v>
      </c>
    </row>
    <row r="48">
      <c r="A48" t="inlineStr">
        <is>
          <t>shared</t>
        </is>
      </c>
      <c r="B48" t="inlineStr">
        <is>
          <t>ra2_cona_demo</t>
        </is>
      </c>
      <c r="C48" t="inlineStr">
        <is>
          <t>Bomb Car</t>
        </is>
      </c>
      <c r="D48" s="6" t="inlineStr">
        <is>
          <t>Misc</t>
        </is>
      </c>
      <c r="E48" s="6" t="n">
        <v>20000</v>
      </c>
      <c r="F48" s="6" t="n">
        <v>100</v>
      </c>
      <c r="G48" t="inlineStr">
        <is>
          <t>Light</t>
        </is>
      </c>
      <c r="H48" s="6" t="n">
        <v>1</v>
      </c>
      <c r="I48" s="6" t="n">
        <v>1</v>
      </c>
      <c r="J48" s="6" t="n">
        <v>1</v>
      </c>
      <c r="K48" s="6" t="n"/>
      <c r="X48" s="6" t="n">
        <v>500</v>
      </c>
    </row>
    <row r="49">
      <c r="B49" s="7" t="inlineStr">
        <is>
          <t xml:space="preserve">  ↳ DemoTruckTargeting</t>
        </is>
      </c>
      <c r="C49" s="7" t="inlineStr">
        <is>
          <t>Armament@PRIMARY</t>
        </is>
      </c>
      <c r="L49" s="6" t="n"/>
      <c r="M49" s="6" t="n"/>
      <c r="N49" s="6" t="n">
        <v>1</v>
      </c>
      <c r="O49" s="6" t="n"/>
      <c r="P49" s="6" t="n">
        <v>2000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/>
    </row>
    <row r="50">
      <c r="A50" t="inlineStr">
        <is>
          <t>shared</t>
        </is>
      </c>
      <c r="B50" t="inlineStr">
        <is>
          <t>ra2_cona_driveby</t>
        </is>
      </c>
      <c r="C50" t="inlineStr">
        <is>
          <t>Drive By Car</t>
        </is>
      </c>
      <c r="D50" s="6" t="inlineStr">
        <is>
          <t>ScoutVehicle</t>
        </is>
      </c>
      <c r="E50" s="6" t="n">
        <v>25000</v>
      </c>
      <c r="F50" s="6" t="n">
        <v>100</v>
      </c>
      <c r="G50" t="inlineStr">
        <is>
          <t>Scout</t>
        </is>
      </c>
      <c r="H50" s="6" t="n">
        <v>1</v>
      </c>
      <c r="I50" s="6" t="n">
        <v>1</v>
      </c>
      <c r="J50" s="6" t="n">
        <v>1</v>
      </c>
      <c r="K50" s="6" t="n"/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1000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RA220mmrapid</t>
        </is>
      </c>
      <c r="C51" s="7" t="inlineStr">
        <is>
          <t>Armament</t>
        </is>
      </c>
      <c r="L51" s="6" t="n">
        <v>8000</v>
      </c>
      <c r="M51" s="6" t="n">
        <v>15</v>
      </c>
      <c r="N51" s="6" t="n">
        <v>1</v>
      </c>
      <c r="O51" s="6" t="n"/>
      <c r="P51" s="6" t="n">
        <v>5000</v>
      </c>
      <c r="Q51" s="6" t="n">
        <v>0.875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^Warhead_Bullet_Light, ^Warhead_Bullet_Medium</t>
        </is>
      </c>
    </row>
    <row r="52">
      <c r="A52" t="inlineStr">
        <is>
          <t>shared</t>
        </is>
      </c>
      <c r="B52" t="inlineStr">
        <is>
          <t>ra2_cop</t>
        </is>
      </c>
      <c r="C52" t="inlineStr">
        <is>
          <t>Civilian Vehicle</t>
        </is>
      </c>
      <c r="D52" s="6" t="inlineStr">
        <is>
          <t>Misc</t>
        </is>
      </c>
      <c r="E52" s="6" t="n">
        <v>20000</v>
      </c>
      <c r="F52" s="6" t="n">
        <v>100</v>
      </c>
      <c r="G52" t="inlineStr">
        <is>
          <t>Light</t>
        </is>
      </c>
      <c r="H52" s="6" t="n">
        <v>1</v>
      </c>
      <c r="I52" s="6" t="n">
        <v>1</v>
      </c>
      <c r="J52" s="6" t="n">
        <v>1</v>
      </c>
      <c r="K52" s="6" t="n"/>
      <c r="X52" s="6" t="n">
        <v>0</v>
      </c>
    </row>
    <row r="53">
      <c r="A53" t="inlineStr">
        <is>
          <t>shared</t>
        </is>
      </c>
      <c r="B53" t="inlineStr">
        <is>
          <t>ra2_cop_demo</t>
        </is>
      </c>
      <c r="C53" t="inlineStr">
        <is>
          <t>Bomb Car</t>
        </is>
      </c>
      <c r="D53" s="6" t="inlineStr">
        <is>
          <t>Misc</t>
        </is>
      </c>
      <c r="E53" s="6" t="n">
        <v>20000</v>
      </c>
      <c r="F53" s="6" t="n">
        <v>100</v>
      </c>
      <c r="G53" t="inlineStr">
        <is>
          <t>Light</t>
        </is>
      </c>
      <c r="H53" s="6" t="n">
        <v>1</v>
      </c>
      <c r="I53" s="6" t="n">
        <v>1</v>
      </c>
      <c r="J53" s="6" t="n">
        <v>1</v>
      </c>
      <c r="K53" s="6" t="n"/>
      <c r="X53" s="6" t="n">
        <v>500</v>
      </c>
    </row>
    <row r="54">
      <c r="B54" s="7" t="inlineStr">
        <is>
          <t xml:space="preserve">  ↳ DemoTruckTargeting</t>
        </is>
      </c>
      <c r="C54" s="7" t="inlineStr">
        <is>
          <t>Armament@PRIMARY</t>
        </is>
      </c>
      <c r="L54" s="6" t="n"/>
      <c r="M54" s="6" t="n"/>
      <c r="N54" s="6" t="n">
        <v>1</v>
      </c>
      <c r="O54" s="6" t="n"/>
      <c r="P54" s="6" t="n">
        <v>2000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/>
    </row>
    <row r="55">
      <c r="A55" t="inlineStr">
        <is>
          <t>shared</t>
        </is>
      </c>
      <c r="B55" t="inlineStr">
        <is>
          <t>ra2_cop_driveby</t>
        </is>
      </c>
      <c r="C55" t="inlineStr">
        <is>
          <t>Drive By Car</t>
        </is>
      </c>
      <c r="D55" s="6" t="inlineStr">
        <is>
          <t>ScoutVehicle</t>
        </is>
      </c>
      <c r="E55" s="6" t="n">
        <v>25000</v>
      </c>
      <c r="F55" s="6" t="n">
        <v>100</v>
      </c>
      <c r="G55" t="inlineStr">
        <is>
          <t>Scout</t>
        </is>
      </c>
      <c r="H55" s="6" t="n">
        <v>1</v>
      </c>
      <c r="I55" s="6" t="n">
        <v>1</v>
      </c>
      <c r="J55" s="6" t="n">
        <v>1</v>
      </c>
      <c r="K55" s="6" t="n"/>
      <c r="P55">
        <f>MAX(P56)</f>
        <v/>
      </c>
      <c r="S55">
        <f>S56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1000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RA220mmrapid</t>
        </is>
      </c>
      <c r="C56" s="7" t="inlineStr">
        <is>
          <t>Armament</t>
        </is>
      </c>
      <c r="L56" s="6" t="n">
        <v>8000</v>
      </c>
      <c r="M56" s="6" t="n">
        <v>15</v>
      </c>
      <c r="N56" s="6" t="n">
        <v>1</v>
      </c>
      <c r="O56" s="6" t="n"/>
      <c r="P56" s="6" t="n">
        <v>5000</v>
      </c>
      <c r="Q56" s="6" t="n">
        <v>0.875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^Warhead_Bullet_Light, ^Warhead_Bullet_Medium</t>
        </is>
      </c>
    </row>
    <row r="57">
      <c r="A57" t="inlineStr">
        <is>
          <t>shared</t>
        </is>
      </c>
      <c r="B57" t="inlineStr">
        <is>
          <t>ra2_ddbx</t>
        </is>
      </c>
      <c r="C57" t="inlineStr">
        <is>
          <t>Civilian Vehicle</t>
        </is>
      </c>
      <c r="D57" s="6" t="inlineStr">
        <is>
          <t>Misc</t>
        </is>
      </c>
      <c r="E57" s="6" t="n">
        <v>20000</v>
      </c>
      <c r="F57" s="6" t="n">
        <v>100</v>
      </c>
      <c r="G57" t="inlineStr">
        <is>
          <t>Light</t>
        </is>
      </c>
      <c r="H57" s="6" t="n">
        <v>1</v>
      </c>
      <c r="I57" s="6" t="n">
        <v>1</v>
      </c>
      <c r="J57" s="6" t="n">
        <v>1</v>
      </c>
      <c r="K57" s="6" t="n"/>
      <c r="X57" s="6" t="n">
        <v>0</v>
      </c>
    </row>
    <row r="58">
      <c r="A58" t="inlineStr">
        <is>
          <t>shared</t>
        </is>
      </c>
      <c r="B58" t="inlineStr">
        <is>
          <t>ra2_ddbx_demo</t>
        </is>
      </c>
      <c r="C58" t="inlineStr">
        <is>
          <t>Bomb Car</t>
        </is>
      </c>
      <c r="D58" s="6" t="inlineStr">
        <is>
          <t>Misc</t>
        </is>
      </c>
      <c r="E58" s="6" t="n">
        <v>20000</v>
      </c>
      <c r="F58" s="6" t="n">
        <v>100</v>
      </c>
      <c r="G58" t="inlineStr">
        <is>
          <t>Light</t>
        </is>
      </c>
      <c r="H58" s="6" t="n">
        <v>1</v>
      </c>
      <c r="I58" s="6" t="n">
        <v>1</v>
      </c>
      <c r="J58" s="6" t="n">
        <v>1</v>
      </c>
      <c r="K58" s="6" t="n"/>
      <c r="X58" s="6" t="n">
        <v>500</v>
      </c>
    </row>
    <row r="59">
      <c r="B59" s="7" t="inlineStr">
        <is>
          <t xml:space="preserve">  ↳ DemoTruckTargeting</t>
        </is>
      </c>
      <c r="C59" s="7" t="inlineStr">
        <is>
          <t>Armament@PRIMARY</t>
        </is>
      </c>
      <c r="L59" s="6" t="n"/>
      <c r="M59" s="6" t="n"/>
      <c r="N59" s="6" t="n">
        <v>1</v>
      </c>
      <c r="O59" s="6" t="n"/>
      <c r="P59" s="6" t="n">
        <v>2000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/>
    </row>
    <row r="60">
      <c r="A60" t="inlineStr">
        <is>
          <t>shared</t>
        </is>
      </c>
      <c r="B60" t="inlineStr">
        <is>
          <t>ra2_ddbx_driveby</t>
        </is>
      </c>
      <c r="C60" t="inlineStr">
        <is>
          <t>Drive By Car</t>
        </is>
      </c>
      <c r="D60" s="6" t="inlineStr">
        <is>
          <t>ScoutVehicle</t>
        </is>
      </c>
      <c r="E60" s="6" t="n">
        <v>25000</v>
      </c>
      <c r="F60" s="6" t="n">
        <v>100</v>
      </c>
      <c r="G60" t="inlineStr">
        <is>
          <t>Scout</t>
        </is>
      </c>
      <c r="H60" s="6" t="n">
        <v>1</v>
      </c>
      <c r="I60" s="6" t="n">
        <v>1</v>
      </c>
      <c r="J60" s="6" t="n">
        <v>1</v>
      </c>
      <c r="K60" s="6" t="n"/>
      <c r="P60">
        <f>MAX(P61)</f>
        <v/>
      </c>
      <c r="S60">
        <f>S61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1000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RA220mmrapid</t>
        </is>
      </c>
      <c r="C61" s="7" t="inlineStr">
        <is>
          <t>Armament</t>
        </is>
      </c>
      <c r="L61" s="6" t="n">
        <v>8000</v>
      </c>
      <c r="M61" s="6" t="n">
        <v>15</v>
      </c>
      <c r="N61" s="6" t="n">
        <v>1</v>
      </c>
      <c r="O61" s="6" t="n"/>
      <c r="P61" s="6" t="n">
        <v>5000</v>
      </c>
      <c r="Q61" s="6" t="n">
        <v>0.875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^Warhead_Bullet_Light, ^Warhead_Bullet_Medium</t>
        </is>
      </c>
    </row>
    <row r="62">
      <c r="A62" t="inlineStr">
        <is>
          <t>shared</t>
        </is>
      </c>
      <c r="B62" t="inlineStr">
        <is>
          <t>ra2_euroc</t>
        </is>
      </c>
      <c r="C62" t="inlineStr">
        <is>
          <t>Civilian Vehicle</t>
        </is>
      </c>
      <c r="D62" s="6" t="inlineStr">
        <is>
          <t>Misc</t>
        </is>
      </c>
      <c r="E62" s="6" t="n">
        <v>20000</v>
      </c>
      <c r="F62" s="6" t="n">
        <v>100</v>
      </c>
      <c r="G62" t="inlineStr">
        <is>
          <t>Light</t>
        </is>
      </c>
      <c r="H62" s="6" t="n">
        <v>1</v>
      </c>
      <c r="I62" s="6" t="n">
        <v>1</v>
      </c>
      <c r="J62" s="6" t="n">
        <v>1</v>
      </c>
      <c r="K62" s="6" t="n"/>
      <c r="X62" s="6" t="n">
        <v>0</v>
      </c>
    </row>
    <row r="63">
      <c r="A63" t="inlineStr">
        <is>
          <t>shared</t>
        </is>
      </c>
      <c r="B63" t="inlineStr">
        <is>
          <t>ra2_euroc_demo</t>
        </is>
      </c>
      <c r="C63" t="inlineStr">
        <is>
          <t>Bomb Car</t>
        </is>
      </c>
      <c r="D63" s="6" t="inlineStr">
        <is>
          <t>Misc</t>
        </is>
      </c>
      <c r="E63" s="6" t="n">
        <v>20000</v>
      </c>
      <c r="F63" s="6" t="n">
        <v>100</v>
      </c>
      <c r="G63" t="inlineStr">
        <is>
          <t>Light</t>
        </is>
      </c>
      <c r="H63" s="6" t="n">
        <v>1</v>
      </c>
      <c r="I63" s="6" t="n">
        <v>1</v>
      </c>
      <c r="J63" s="6" t="n">
        <v>1</v>
      </c>
      <c r="K63" s="6" t="n"/>
      <c r="X63" s="6" t="n">
        <v>500</v>
      </c>
    </row>
    <row r="64">
      <c r="B64" s="7" t="inlineStr">
        <is>
          <t xml:space="preserve">  ↳ DemoTruckTargeting</t>
        </is>
      </c>
      <c r="C64" s="7" t="inlineStr">
        <is>
          <t>Armament@PRIMARY</t>
        </is>
      </c>
      <c r="L64" s="6" t="n"/>
      <c r="M64" s="6" t="n"/>
      <c r="N64" s="6" t="n">
        <v>1</v>
      </c>
      <c r="O64" s="6" t="n"/>
      <c r="P64" s="6" t="n">
        <v>2000</v>
      </c>
      <c r="Q64" s="6" t="n">
        <v>1</v>
      </c>
      <c r="R64">
        <f>M64+IF(N64&gt;1,N(O64)*(N64-1),0)</f>
        <v/>
      </c>
      <c r="S64">
        <f>IFERROR(L64*MAX(N64,1)/R64*IF(ISBLANK(K63),1,K63),0)</f>
        <v/>
      </c>
      <c r="AB64" s="7" t="inlineStr"/>
    </row>
    <row r="65">
      <c r="A65" t="inlineStr">
        <is>
          <t>shared</t>
        </is>
      </c>
      <c r="B65" t="inlineStr">
        <is>
          <t>ra2_euroc_driveby</t>
        </is>
      </c>
      <c r="C65" t="inlineStr">
        <is>
          <t>Drive By Car</t>
        </is>
      </c>
      <c r="D65" s="6" t="inlineStr">
        <is>
          <t>ScoutVehicle</t>
        </is>
      </c>
      <c r="E65" s="6" t="n">
        <v>25000</v>
      </c>
      <c r="F65" s="6" t="n">
        <v>100</v>
      </c>
      <c r="G65" t="inlineStr">
        <is>
          <t>Scout</t>
        </is>
      </c>
      <c r="H65" s="6" t="n">
        <v>1</v>
      </c>
      <c r="I65" s="6" t="n">
        <v>1</v>
      </c>
      <c r="J65" s="6" t="n">
        <v>1</v>
      </c>
      <c r="K65" s="6" t="n"/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1000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RA220mmrapid</t>
        </is>
      </c>
      <c r="C66" s="7" t="inlineStr">
        <is>
          <t>Armament</t>
        </is>
      </c>
      <c r="L66" s="6" t="n">
        <v>8000</v>
      </c>
      <c r="M66" s="6" t="n">
        <v>15</v>
      </c>
      <c r="N66" s="6" t="n">
        <v>1</v>
      </c>
      <c r="O66" s="6" t="n"/>
      <c r="P66" s="6" t="n">
        <v>5000</v>
      </c>
      <c r="Q66" s="6" t="n">
        <v>0.875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^Warhead_Bullet_Light, ^Warhead_Bullet_Medium</t>
        </is>
      </c>
    </row>
    <row r="67">
      <c r="A67" t="inlineStr">
        <is>
          <t>shared</t>
        </is>
      </c>
      <c r="B67" t="inlineStr">
        <is>
          <t>ra2_jeep</t>
        </is>
      </c>
      <c r="C67" t="inlineStr">
        <is>
          <t>Civilian Vehicle</t>
        </is>
      </c>
      <c r="D67" s="6" t="inlineStr">
        <is>
          <t>Misc</t>
        </is>
      </c>
      <c r="E67" s="6" t="n">
        <v>20000</v>
      </c>
      <c r="F67" s="6" t="n">
        <v>100</v>
      </c>
      <c r="G67" t="inlineStr">
        <is>
          <t>Light</t>
        </is>
      </c>
      <c r="H67" s="6" t="n">
        <v>1</v>
      </c>
      <c r="I67" s="6" t="n">
        <v>1</v>
      </c>
      <c r="J67" s="6" t="n">
        <v>1</v>
      </c>
      <c r="K67" s="6" t="n"/>
      <c r="X67" s="6" t="n">
        <v>0</v>
      </c>
    </row>
    <row r="68">
      <c r="A68" t="inlineStr">
        <is>
          <t>shared</t>
        </is>
      </c>
      <c r="B68" t="inlineStr">
        <is>
          <t>ra2_jeep_demo</t>
        </is>
      </c>
      <c r="C68" t="inlineStr">
        <is>
          <t>Bomb Car</t>
        </is>
      </c>
      <c r="D68" s="6" t="inlineStr">
        <is>
          <t>Misc</t>
        </is>
      </c>
      <c r="E68" s="6" t="n">
        <v>20000</v>
      </c>
      <c r="F68" s="6" t="n">
        <v>100</v>
      </c>
      <c r="G68" t="inlineStr">
        <is>
          <t>Light</t>
        </is>
      </c>
      <c r="H68" s="6" t="n">
        <v>1</v>
      </c>
      <c r="I68" s="6" t="n">
        <v>1</v>
      </c>
      <c r="J68" s="6" t="n">
        <v>1</v>
      </c>
      <c r="K68" s="6" t="n"/>
      <c r="X68" s="6" t="n">
        <v>500</v>
      </c>
    </row>
    <row r="69">
      <c r="B69" s="7" t="inlineStr">
        <is>
          <t xml:space="preserve">  ↳ DemoTruckTargeting</t>
        </is>
      </c>
      <c r="C69" s="7" t="inlineStr">
        <is>
          <t>Armament@PRIMARY</t>
        </is>
      </c>
      <c r="L69" s="6" t="n"/>
      <c r="M69" s="6" t="n"/>
      <c r="N69" s="6" t="n">
        <v>1</v>
      </c>
      <c r="O69" s="6" t="n"/>
      <c r="P69" s="6" t="n">
        <v>2000</v>
      </c>
      <c r="Q69" s="6" t="n">
        <v>1</v>
      </c>
      <c r="R69">
        <f>M69+IF(N69&gt;1,N(O69)*(N69-1),0)</f>
        <v/>
      </c>
      <c r="S69">
        <f>IFERROR(L69*MAX(N69,1)/R69*IF(ISBLANK(K68),1,K68),0)</f>
        <v/>
      </c>
      <c r="AB69" s="7" t="inlineStr"/>
    </row>
    <row r="70">
      <c r="A70" t="inlineStr">
        <is>
          <t>shared</t>
        </is>
      </c>
      <c r="B70" t="inlineStr">
        <is>
          <t>ra2_jeep_driveby</t>
        </is>
      </c>
      <c r="C70" t="inlineStr">
        <is>
          <t>Drive By Car</t>
        </is>
      </c>
      <c r="D70" s="6" t="inlineStr">
        <is>
          <t>ScoutVehicle</t>
        </is>
      </c>
      <c r="E70" s="6" t="n">
        <v>25000</v>
      </c>
      <c r="F70" s="6" t="n">
        <v>100</v>
      </c>
      <c r="G70" t="inlineStr">
        <is>
          <t>Scout</t>
        </is>
      </c>
      <c r="H70" s="6" t="n">
        <v>1</v>
      </c>
      <c r="I70" s="6" t="n">
        <v>1</v>
      </c>
      <c r="J70" s="6" t="n">
        <v>1</v>
      </c>
      <c r="K70" s="6" t="n"/>
      <c r="P70">
        <f>MAX(P71)</f>
        <v/>
      </c>
      <c r="S70">
        <f>S71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1000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RA220mmrapid</t>
        </is>
      </c>
      <c r="C71" s="7" t="inlineStr">
        <is>
          <t>Armament</t>
        </is>
      </c>
      <c r="L71" s="6" t="n">
        <v>8000</v>
      </c>
      <c r="M71" s="6" t="n">
        <v>15</v>
      </c>
      <c r="N71" s="6" t="n">
        <v>1</v>
      </c>
      <c r="O71" s="6" t="n"/>
      <c r="P71" s="6" t="n">
        <v>5000</v>
      </c>
      <c r="Q71" s="6" t="n">
        <v>0.875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^Warhead_Bullet_Light, ^Warhead_Bullet_Medium</t>
        </is>
      </c>
    </row>
    <row r="72">
      <c r="A72" t="inlineStr">
        <is>
          <t>shared</t>
        </is>
      </c>
      <c r="B72" t="inlineStr">
        <is>
          <t>ra2_limo</t>
        </is>
      </c>
      <c r="C72" t="inlineStr">
        <is>
          <t>Civilian Vehicle</t>
        </is>
      </c>
      <c r="D72" s="6" t="inlineStr">
        <is>
          <t>Misc</t>
        </is>
      </c>
      <c r="E72" s="6" t="n">
        <v>20000</v>
      </c>
      <c r="F72" s="6" t="n">
        <v>100</v>
      </c>
      <c r="G72" t="inlineStr">
        <is>
          <t>Light</t>
        </is>
      </c>
      <c r="H72" s="6" t="n">
        <v>1</v>
      </c>
      <c r="I72" s="6" t="n">
        <v>1</v>
      </c>
      <c r="J72" s="6" t="n">
        <v>1</v>
      </c>
      <c r="K72" s="6" t="n"/>
      <c r="X72" s="6" t="n">
        <v>0</v>
      </c>
    </row>
    <row r="73">
      <c r="A73" t="inlineStr">
        <is>
          <t>shared</t>
        </is>
      </c>
      <c r="B73" t="inlineStr">
        <is>
          <t>ra2_limo_demo</t>
        </is>
      </c>
      <c r="C73" t="inlineStr">
        <is>
          <t>Bomb Car</t>
        </is>
      </c>
      <c r="D73" s="6" t="inlineStr">
        <is>
          <t>Misc</t>
        </is>
      </c>
      <c r="E73" s="6" t="n">
        <v>20000</v>
      </c>
      <c r="F73" s="6" t="n">
        <v>100</v>
      </c>
      <c r="G73" t="inlineStr">
        <is>
          <t>Light</t>
        </is>
      </c>
      <c r="H73" s="6" t="n">
        <v>1</v>
      </c>
      <c r="I73" s="6" t="n">
        <v>1</v>
      </c>
      <c r="J73" s="6" t="n">
        <v>1</v>
      </c>
      <c r="K73" s="6" t="n"/>
      <c r="X73" s="6" t="n">
        <v>500</v>
      </c>
    </row>
    <row r="74">
      <c r="B74" s="7" t="inlineStr">
        <is>
          <t xml:space="preserve">  ↳ DemoTruckTargeting</t>
        </is>
      </c>
      <c r="C74" s="7" t="inlineStr">
        <is>
          <t>Armament@PRIMARY</t>
        </is>
      </c>
      <c r="L74" s="6" t="n"/>
      <c r="M74" s="6" t="n"/>
      <c r="N74" s="6" t="n">
        <v>1</v>
      </c>
      <c r="O74" s="6" t="n"/>
      <c r="P74" s="6" t="n">
        <v>2000</v>
      </c>
      <c r="Q74" s="6" t="n">
        <v>1</v>
      </c>
      <c r="R74">
        <f>M74+IF(N74&gt;1,N(O74)*(N74-1),0)</f>
        <v/>
      </c>
      <c r="S74">
        <f>IFERROR(L74*MAX(N74,1)/R74*IF(ISBLANK(K73),1,K73),0)</f>
        <v/>
      </c>
      <c r="AB74" s="7" t="inlineStr"/>
    </row>
    <row r="75">
      <c r="A75" t="inlineStr">
        <is>
          <t>shared</t>
        </is>
      </c>
      <c r="B75" t="inlineStr">
        <is>
          <t>ra2_limo_driveby</t>
        </is>
      </c>
      <c r="C75" t="inlineStr">
        <is>
          <t>Drive By Car</t>
        </is>
      </c>
      <c r="D75" s="6" t="inlineStr">
        <is>
          <t>ScoutVehicle</t>
        </is>
      </c>
      <c r="E75" s="6" t="n">
        <v>25000</v>
      </c>
      <c r="F75" s="6" t="n">
        <v>100</v>
      </c>
      <c r="G75" t="inlineStr">
        <is>
          <t>Scout</t>
        </is>
      </c>
      <c r="H75" s="6" t="n">
        <v>1</v>
      </c>
      <c r="I75" s="6" t="n">
        <v>1</v>
      </c>
      <c r="J75" s="6" t="n">
        <v>1</v>
      </c>
      <c r="K75" s="6" t="n"/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1000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RA220mmrapid</t>
        </is>
      </c>
      <c r="C76" s="7" t="inlineStr">
        <is>
          <t>Armament</t>
        </is>
      </c>
      <c r="L76" s="6" t="n">
        <v>8000</v>
      </c>
      <c r="M76" s="6" t="n">
        <v>15</v>
      </c>
      <c r="N76" s="6" t="n">
        <v>1</v>
      </c>
      <c r="O76" s="6" t="n"/>
      <c r="P76" s="6" t="n">
        <v>5000</v>
      </c>
      <c r="Q76" s="6" t="n">
        <v>0.875</v>
      </c>
      <c r="R76">
        <f>M76+IF(N76&gt;1,N(O76)*(N76-1),0)</f>
        <v/>
      </c>
      <c r="S76">
        <f>IFERROR(L76*MAX(N76,1)/R76*IF(ISBLANK(K75),1,K75),0)</f>
        <v/>
      </c>
      <c r="AB76" s="7" t="inlineStr">
        <is>
          <t>^Warhead_Bullet_Light, ^Warhead_Bullet_Medium</t>
        </is>
      </c>
    </row>
    <row r="77">
      <c r="A77" t="inlineStr">
        <is>
          <t>shared</t>
        </is>
      </c>
      <c r="B77" t="inlineStr">
        <is>
          <t>ra2_ptruck</t>
        </is>
      </c>
      <c r="C77" t="inlineStr">
        <is>
          <t>Civilian Vehicle</t>
        </is>
      </c>
      <c r="D77" s="6" t="inlineStr">
        <is>
          <t>Misc</t>
        </is>
      </c>
      <c r="E77" s="6" t="n">
        <v>20000</v>
      </c>
      <c r="F77" s="6" t="n">
        <v>100</v>
      </c>
      <c r="G77" t="inlineStr">
        <is>
          <t>Light</t>
        </is>
      </c>
      <c r="H77" s="6" t="n">
        <v>1</v>
      </c>
      <c r="I77" s="6" t="n">
        <v>1</v>
      </c>
      <c r="J77" s="6" t="n">
        <v>1</v>
      </c>
      <c r="K77" s="6" t="n"/>
      <c r="X77" s="6" t="n">
        <v>0</v>
      </c>
    </row>
    <row r="78">
      <c r="A78" t="inlineStr">
        <is>
          <t>shared</t>
        </is>
      </c>
      <c r="B78" t="inlineStr">
        <is>
          <t>ra2_ptruck_demo</t>
        </is>
      </c>
      <c r="C78" t="inlineStr">
        <is>
          <t>Bomb Car</t>
        </is>
      </c>
      <c r="D78" s="6" t="inlineStr">
        <is>
          <t>Misc</t>
        </is>
      </c>
      <c r="E78" s="6" t="n">
        <v>20000</v>
      </c>
      <c r="F78" s="6" t="n">
        <v>100</v>
      </c>
      <c r="G78" t="inlineStr">
        <is>
          <t>Light</t>
        </is>
      </c>
      <c r="H78" s="6" t="n">
        <v>1</v>
      </c>
      <c r="I78" s="6" t="n">
        <v>1</v>
      </c>
      <c r="J78" s="6" t="n">
        <v>1</v>
      </c>
      <c r="K78" s="6" t="n"/>
      <c r="X78" s="6" t="n">
        <v>500</v>
      </c>
    </row>
    <row r="79">
      <c r="B79" s="7" t="inlineStr">
        <is>
          <t xml:space="preserve">  ↳ DemoTruckTargeting</t>
        </is>
      </c>
      <c r="C79" s="7" t="inlineStr">
        <is>
          <t>Armament@PRIMARY</t>
        </is>
      </c>
      <c r="L79" s="6" t="n"/>
      <c r="M79" s="6" t="n"/>
      <c r="N79" s="6" t="n">
        <v>1</v>
      </c>
      <c r="O79" s="6" t="n"/>
      <c r="P79" s="6" t="n">
        <v>2000</v>
      </c>
      <c r="Q79" s="6" t="n">
        <v>1</v>
      </c>
      <c r="R79">
        <f>M79+IF(N79&gt;1,N(O79)*(N79-1),0)</f>
        <v/>
      </c>
      <c r="S79">
        <f>IFERROR(L79*MAX(N79,1)/R79*IF(ISBLANK(K78),1,K78),0)</f>
        <v/>
      </c>
      <c r="AB79" s="7" t="inlineStr"/>
    </row>
    <row r="80">
      <c r="A80" t="inlineStr">
        <is>
          <t>shared</t>
        </is>
      </c>
      <c r="B80" t="inlineStr">
        <is>
          <t>ra2_ptruck_driveby</t>
        </is>
      </c>
      <c r="C80" t="inlineStr">
        <is>
          <t>Drive By Car</t>
        </is>
      </c>
      <c r="D80" s="6" t="inlineStr">
        <is>
          <t>ScoutVehicle</t>
        </is>
      </c>
      <c r="E80" s="6" t="n">
        <v>25000</v>
      </c>
      <c r="F80" s="6" t="n">
        <v>100</v>
      </c>
      <c r="G80" t="inlineStr">
        <is>
          <t>Scout</t>
        </is>
      </c>
      <c r="H80" s="6" t="n">
        <v>1</v>
      </c>
      <c r="I80" s="6" t="n">
        <v>1</v>
      </c>
      <c r="J80" s="6" t="n">
        <v>1</v>
      </c>
      <c r="K80" s="6" t="n"/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RA220mmrapid</t>
        </is>
      </c>
      <c r="C81" s="7" t="inlineStr">
        <is>
          <t>Armament</t>
        </is>
      </c>
      <c r="L81" s="6" t="n">
        <v>8000</v>
      </c>
      <c r="M81" s="6" t="n">
        <v>15</v>
      </c>
      <c r="N81" s="6" t="n">
        <v>1</v>
      </c>
      <c r="O81" s="6" t="n"/>
      <c r="P81" s="6" t="n">
        <v>5000</v>
      </c>
      <c r="Q81" s="6" t="n">
        <v>0.875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A82" t="inlineStr">
        <is>
          <t>shared</t>
        </is>
      </c>
      <c r="B82" t="inlineStr">
        <is>
          <t>ra2_stang</t>
        </is>
      </c>
      <c r="C82" t="inlineStr">
        <is>
          <t>Civilian Vehicle</t>
        </is>
      </c>
      <c r="D82" s="6" t="inlineStr">
        <is>
          <t>Misc</t>
        </is>
      </c>
      <c r="E82" s="6" t="n">
        <v>20000</v>
      </c>
      <c r="F82" s="6" t="n">
        <v>100</v>
      </c>
      <c r="G82" t="inlineStr">
        <is>
          <t>Light</t>
        </is>
      </c>
      <c r="H82" s="6" t="n">
        <v>1</v>
      </c>
      <c r="I82" s="6" t="n">
        <v>1</v>
      </c>
      <c r="J82" s="6" t="n">
        <v>1</v>
      </c>
      <c r="K82" s="6" t="n"/>
      <c r="X82" s="6" t="n">
        <v>0</v>
      </c>
    </row>
    <row r="83">
      <c r="A83" t="inlineStr">
        <is>
          <t>shared</t>
        </is>
      </c>
      <c r="B83" t="inlineStr">
        <is>
          <t>ra2_stang_demo</t>
        </is>
      </c>
      <c r="C83" t="inlineStr">
        <is>
          <t>Bomb Car</t>
        </is>
      </c>
      <c r="D83" s="6" t="inlineStr">
        <is>
          <t>Misc</t>
        </is>
      </c>
      <c r="E83" s="6" t="n">
        <v>20000</v>
      </c>
      <c r="F83" s="6" t="n">
        <v>100</v>
      </c>
      <c r="G83" t="inlineStr">
        <is>
          <t>Light</t>
        </is>
      </c>
      <c r="H83" s="6" t="n">
        <v>1</v>
      </c>
      <c r="I83" s="6" t="n">
        <v>1</v>
      </c>
      <c r="J83" s="6" t="n">
        <v>1</v>
      </c>
      <c r="K83" s="6" t="n"/>
      <c r="X83" s="6" t="n">
        <v>500</v>
      </c>
    </row>
    <row r="84">
      <c r="B84" s="7" t="inlineStr">
        <is>
          <t xml:space="preserve">  ↳ DemoTruckTargeting</t>
        </is>
      </c>
      <c r="C84" s="7" t="inlineStr">
        <is>
          <t>Armament@PRIMARY</t>
        </is>
      </c>
      <c r="L84" s="6" t="n"/>
      <c r="M84" s="6" t="n"/>
      <c r="N84" s="6" t="n">
        <v>1</v>
      </c>
      <c r="O84" s="6" t="n"/>
      <c r="P84" s="6" t="n">
        <v>2000</v>
      </c>
      <c r="Q84" s="6" t="n">
        <v>1</v>
      </c>
      <c r="R84">
        <f>M84+IF(N84&gt;1,N(O84)*(N84-1),0)</f>
        <v/>
      </c>
      <c r="S84">
        <f>IFERROR(L84*MAX(N84,1)/R84*IF(ISBLANK(K83),1,K83),0)</f>
        <v/>
      </c>
      <c r="AB84" s="7" t="inlineStr"/>
    </row>
    <row r="85">
      <c r="A85" t="inlineStr">
        <is>
          <t>shared</t>
        </is>
      </c>
      <c r="B85" t="inlineStr">
        <is>
          <t>ra2_stang_driveby</t>
        </is>
      </c>
      <c r="C85" t="inlineStr">
        <is>
          <t>Drive By Car</t>
        </is>
      </c>
      <c r="D85" s="6" t="inlineStr">
        <is>
          <t>ScoutVehicle</t>
        </is>
      </c>
      <c r="E85" s="6" t="n">
        <v>25000</v>
      </c>
      <c r="F85" s="6" t="n">
        <v>100</v>
      </c>
      <c r="G85" t="inlineStr">
        <is>
          <t>Scout</t>
        </is>
      </c>
      <c r="H85" s="6" t="n">
        <v>1</v>
      </c>
      <c r="I85" s="6" t="n">
        <v>1</v>
      </c>
      <c r="J85" s="6" t="n">
        <v>1</v>
      </c>
      <c r="K85" s="6" t="n"/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1000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RA220mmrapid</t>
        </is>
      </c>
      <c r="C86" s="7" t="inlineStr">
        <is>
          <t>Armament</t>
        </is>
      </c>
      <c r="L86" s="6" t="n">
        <v>8000</v>
      </c>
      <c r="M86" s="6" t="n">
        <v>15</v>
      </c>
      <c r="N86" s="6" t="n">
        <v>1</v>
      </c>
      <c r="O86" s="6" t="n"/>
      <c r="P86" s="6" t="n">
        <v>5000</v>
      </c>
      <c r="Q86" s="6" t="n">
        <v>0.875</v>
      </c>
      <c r="R86">
        <f>M86+IF(N86&gt;1,N(O86)*(N86-1),0)</f>
        <v/>
      </c>
      <c r="S86">
        <f>IFERROR(L86*MAX(N86,1)/R86*IF(ISBLANK(K85),1,K85),0)</f>
        <v/>
      </c>
      <c r="AB86" s="7" t="inlineStr">
        <is>
          <t>^Warhead_Bullet_Light, ^Warhead_Bullet_Medium</t>
        </is>
      </c>
    </row>
    <row r="87">
      <c r="A87" t="inlineStr">
        <is>
          <t>shared</t>
        </is>
      </c>
      <c r="B87" t="inlineStr">
        <is>
          <t>ra2_suvb</t>
        </is>
      </c>
      <c r="C87" t="inlineStr">
        <is>
          <t>Civilian Vehicle</t>
        </is>
      </c>
      <c r="D87" s="6" t="inlineStr">
        <is>
          <t>Misc</t>
        </is>
      </c>
      <c r="E87" s="6" t="n">
        <v>20000</v>
      </c>
      <c r="F87" s="6" t="n">
        <v>100</v>
      </c>
      <c r="G87" t="inlineStr">
        <is>
          <t>Light</t>
        </is>
      </c>
      <c r="H87" s="6" t="n">
        <v>1</v>
      </c>
      <c r="I87" s="6" t="n">
        <v>1</v>
      </c>
      <c r="J87" s="6" t="n">
        <v>1</v>
      </c>
      <c r="K87" s="6" t="n"/>
      <c r="X87" s="6" t="n">
        <v>0</v>
      </c>
    </row>
    <row r="88">
      <c r="A88" t="inlineStr">
        <is>
          <t>shared</t>
        </is>
      </c>
      <c r="B88" t="inlineStr">
        <is>
          <t>ra2_suvb_demo</t>
        </is>
      </c>
      <c r="C88" t="inlineStr">
        <is>
          <t>Bomb Car</t>
        </is>
      </c>
      <c r="D88" s="6" t="inlineStr">
        <is>
          <t>Misc</t>
        </is>
      </c>
      <c r="E88" s="6" t="n">
        <v>20000</v>
      </c>
      <c r="F88" s="6" t="n">
        <v>100</v>
      </c>
      <c r="G88" t="inlineStr">
        <is>
          <t>Light</t>
        </is>
      </c>
      <c r="H88" s="6" t="n">
        <v>1</v>
      </c>
      <c r="I88" s="6" t="n">
        <v>1</v>
      </c>
      <c r="J88" s="6" t="n">
        <v>1</v>
      </c>
      <c r="K88" s="6" t="n"/>
      <c r="X88" s="6" t="n">
        <v>500</v>
      </c>
    </row>
    <row r="89">
      <c r="B89" s="7" t="inlineStr">
        <is>
          <t xml:space="preserve">  ↳ DemoTruckTargeting</t>
        </is>
      </c>
      <c r="C89" s="7" t="inlineStr">
        <is>
          <t>Armament@PRIMARY</t>
        </is>
      </c>
      <c r="L89" s="6" t="n"/>
      <c r="M89" s="6" t="n"/>
      <c r="N89" s="6" t="n">
        <v>1</v>
      </c>
      <c r="O89" s="6" t="n"/>
      <c r="P89" s="6" t="n">
        <v>2000</v>
      </c>
      <c r="Q89" s="6" t="n">
        <v>1</v>
      </c>
      <c r="R89">
        <f>M89+IF(N89&gt;1,N(O89)*(N89-1),0)</f>
        <v/>
      </c>
      <c r="S89">
        <f>IFERROR(L89*MAX(N89,1)/R89*IF(ISBLANK(K88),1,K88),0)</f>
        <v/>
      </c>
      <c r="AB89" s="7" t="inlineStr"/>
    </row>
    <row r="90">
      <c r="A90" t="inlineStr">
        <is>
          <t>shared</t>
        </is>
      </c>
      <c r="B90" t="inlineStr">
        <is>
          <t>ra2_suvb_driveby</t>
        </is>
      </c>
      <c r="C90" t="inlineStr">
        <is>
          <t>Drive By Car</t>
        </is>
      </c>
      <c r="D90" s="6" t="inlineStr">
        <is>
          <t>ScoutVehicle</t>
        </is>
      </c>
      <c r="E90" s="6" t="n">
        <v>25000</v>
      </c>
      <c r="F90" s="6" t="n">
        <v>100</v>
      </c>
      <c r="G90" t="inlineStr">
        <is>
          <t>Scout</t>
        </is>
      </c>
      <c r="H90" s="6" t="n">
        <v>1</v>
      </c>
      <c r="I90" s="6" t="n">
        <v>1</v>
      </c>
      <c r="J90" s="6" t="n">
        <v>1</v>
      </c>
      <c r="K90" s="6" t="n"/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1000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RA220mmrapid</t>
        </is>
      </c>
      <c r="C91" s="7" t="inlineStr">
        <is>
          <t>Armament</t>
        </is>
      </c>
      <c r="L91" s="6" t="n">
        <v>8000</v>
      </c>
      <c r="M91" s="6" t="n">
        <v>15</v>
      </c>
      <c r="N91" s="6" t="n">
        <v>1</v>
      </c>
      <c r="O91" s="6" t="n"/>
      <c r="P91" s="6" t="n">
        <v>5000</v>
      </c>
      <c r="Q91" s="6" t="n">
        <v>0.875</v>
      </c>
      <c r="R91">
        <f>M91+IF(N91&gt;1,N(O91)*(N91-1),0)</f>
        <v/>
      </c>
      <c r="S91">
        <f>IFERROR(L91*MAX(N91,1)/R91*IF(ISBLANK(K90),1,K90),0)</f>
        <v/>
      </c>
      <c r="AB91" s="7" t="inlineStr">
        <is>
          <t>^Warhead_Bullet_Light, ^Warhead_Bullet_Medium</t>
        </is>
      </c>
    </row>
    <row r="92">
      <c r="A92" t="inlineStr">
        <is>
          <t>shared</t>
        </is>
      </c>
      <c r="B92" t="inlineStr">
        <is>
          <t>ra2_suvw</t>
        </is>
      </c>
      <c r="C92" t="inlineStr">
        <is>
          <t>Civilian Vehicle</t>
        </is>
      </c>
      <c r="D92" s="6" t="inlineStr">
        <is>
          <t>Misc</t>
        </is>
      </c>
      <c r="E92" s="6" t="n">
        <v>20000</v>
      </c>
      <c r="F92" s="6" t="n">
        <v>100</v>
      </c>
      <c r="G92" t="inlineStr">
        <is>
          <t>Light</t>
        </is>
      </c>
      <c r="H92" s="6" t="n">
        <v>1</v>
      </c>
      <c r="I92" s="6" t="n">
        <v>1</v>
      </c>
      <c r="J92" s="6" t="n">
        <v>1</v>
      </c>
      <c r="K92" s="6" t="n"/>
      <c r="X92" s="6" t="n">
        <v>0</v>
      </c>
    </row>
    <row r="93">
      <c r="A93" t="inlineStr">
        <is>
          <t>shared</t>
        </is>
      </c>
      <c r="B93" t="inlineStr">
        <is>
          <t>ra2_suvw_demo</t>
        </is>
      </c>
      <c r="C93" t="inlineStr">
        <is>
          <t>Bomb Car</t>
        </is>
      </c>
      <c r="D93" s="6" t="inlineStr">
        <is>
          <t>Misc</t>
        </is>
      </c>
      <c r="E93" s="6" t="n">
        <v>20000</v>
      </c>
      <c r="F93" s="6" t="n">
        <v>100</v>
      </c>
      <c r="G93" t="inlineStr">
        <is>
          <t>Light</t>
        </is>
      </c>
      <c r="H93" s="6" t="n">
        <v>1</v>
      </c>
      <c r="I93" s="6" t="n">
        <v>1</v>
      </c>
      <c r="J93" s="6" t="n">
        <v>1</v>
      </c>
      <c r="K93" s="6" t="n"/>
      <c r="X93" s="6" t="n">
        <v>500</v>
      </c>
    </row>
    <row r="94">
      <c r="B94" s="7" t="inlineStr">
        <is>
          <t xml:space="preserve">  ↳ DemoTruckTargeting</t>
        </is>
      </c>
      <c r="C94" s="7" t="inlineStr">
        <is>
          <t>Armament@PRIMARY</t>
        </is>
      </c>
      <c r="L94" s="6" t="n"/>
      <c r="M94" s="6" t="n"/>
      <c r="N94" s="6" t="n">
        <v>1</v>
      </c>
      <c r="O94" s="6" t="n"/>
      <c r="P94" s="6" t="n">
        <v>2000</v>
      </c>
      <c r="Q94" s="6" t="n">
        <v>1</v>
      </c>
      <c r="R94">
        <f>M94+IF(N94&gt;1,N(O94)*(N94-1),0)</f>
        <v/>
      </c>
      <c r="S94">
        <f>IFERROR(L94*MAX(N94,1)/R94*IF(ISBLANK(K93),1,K93),0)</f>
        <v/>
      </c>
      <c r="AB94" s="7" t="inlineStr"/>
    </row>
    <row r="95">
      <c r="A95" t="inlineStr">
        <is>
          <t>shared</t>
        </is>
      </c>
      <c r="B95" t="inlineStr">
        <is>
          <t>ra2_suvw_driveby</t>
        </is>
      </c>
      <c r="C95" t="inlineStr">
        <is>
          <t>Drive By Car</t>
        </is>
      </c>
      <c r="D95" s="6" t="inlineStr">
        <is>
          <t>ScoutVehicle</t>
        </is>
      </c>
      <c r="E95" s="6" t="n">
        <v>25000</v>
      </c>
      <c r="F95" s="6" t="n">
        <v>100</v>
      </c>
      <c r="G95" t="inlineStr">
        <is>
          <t>Scout</t>
        </is>
      </c>
      <c r="H95" s="6" t="n">
        <v>1</v>
      </c>
      <c r="I95" s="6" t="n">
        <v>1</v>
      </c>
      <c r="J95" s="6" t="n">
        <v>1</v>
      </c>
      <c r="K95" s="6" t="n"/>
      <c r="P95">
        <f>MAX(P96)</f>
        <v/>
      </c>
      <c r="S95">
        <f>S96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1000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RA220mmrapid</t>
        </is>
      </c>
      <c r="C96" s="7" t="inlineStr">
        <is>
          <t>Armament</t>
        </is>
      </c>
      <c r="L96" s="6" t="n">
        <v>8000</v>
      </c>
      <c r="M96" s="6" t="n">
        <v>15</v>
      </c>
      <c r="N96" s="6" t="n">
        <v>1</v>
      </c>
      <c r="O96" s="6" t="n"/>
      <c r="P96" s="6" t="n">
        <v>5000</v>
      </c>
      <c r="Q96" s="6" t="n">
        <v>0.875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^Warhead_Bullet_Light, ^Warhead_Bullet_Medium</t>
        </is>
      </c>
    </row>
    <row r="97">
      <c r="A97" t="inlineStr">
        <is>
          <t>shared</t>
        </is>
      </c>
      <c r="B97" t="inlineStr">
        <is>
          <t>ra2_swall</t>
        </is>
      </c>
      <c r="C97" t="inlineStr">
        <is>
          <t>Concrete Barrier</t>
        </is>
      </c>
      <c r="D97" s="6" t="inlineStr">
        <is>
          <t>Misc</t>
        </is>
      </c>
      <c r="E97" s="6" t="n">
        <v>100000</v>
      </c>
      <c r="F97" s="6" t="n"/>
      <c r="G97" t="inlineStr">
        <is>
          <t>Concrete</t>
        </is>
      </c>
      <c r="H97" s="6" t="n">
        <v>1</v>
      </c>
      <c r="I97" s="6" t="n">
        <v>1</v>
      </c>
      <c r="J97" s="6" t="n">
        <v>1</v>
      </c>
      <c r="K97" s="6" t="n"/>
      <c r="X97" s="6" t="n">
        <v>200</v>
      </c>
    </row>
    <row r="98">
      <c r="A98" t="inlineStr">
        <is>
          <t>shared</t>
        </is>
      </c>
      <c r="B98" t="inlineStr">
        <is>
          <t>ra2_taxi</t>
        </is>
      </c>
      <c r="C98" t="inlineStr">
        <is>
          <t>Civilian Vehicle</t>
        </is>
      </c>
      <c r="D98" s="6" t="inlineStr">
        <is>
          <t>Misc</t>
        </is>
      </c>
      <c r="E98" s="6" t="n">
        <v>20000</v>
      </c>
      <c r="F98" s="6" t="n">
        <v>100</v>
      </c>
      <c r="G98" t="inlineStr">
        <is>
          <t>Light</t>
        </is>
      </c>
      <c r="H98" s="6" t="n">
        <v>1</v>
      </c>
      <c r="I98" s="6" t="n">
        <v>1</v>
      </c>
      <c r="J98" s="6" t="n">
        <v>1</v>
      </c>
      <c r="K98" s="6" t="n"/>
      <c r="X98" s="6" t="n">
        <v>0</v>
      </c>
    </row>
    <row r="99">
      <c r="A99" t="inlineStr">
        <is>
          <t>shared</t>
        </is>
      </c>
      <c r="B99" t="inlineStr">
        <is>
          <t>ra2_taxi_demo</t>
        </is>
      </c>
      <c r="C99" t="inlineStr">
        <is>
          <t>Bomb Car</t>
        </is>
      </c>
      <c r="D99" s="6" t="inlineStr">
        <is>
          <t>Misc</t>
        </is>
      </c>
      <c r="E99" s="6" t="n">
        <v>20000</v>
      </c>
      <c r="F99" s="6" t="n">
        <v>100</v>
      </c>
      <c r="G99" t="inlineStr">
        <is>
          <t>Light</t>
        </is>
      </c>
      <c r="H99" s="6" t="n">
        <v>1</v>
      </c>
      <c r="I99" s="6" t="n">
        <v>1</v>
      </c>
      <c r="J99" s="6" t="n">
        <v>1</v>
      </c>
      <c r="K99" s="6" t="n"/>
      <c r="X99" s="6" t="n">
        <v>500</v>
      </c>
    </row>
    <row r="100">
      <c r="B100" s="7" t="inlineStr">
        <is>
          <t xml:space="preserve">  ↳ DemoTruckTargeting</t>
        </is>
      </c>
      <c r="C100" s="7" t="inlineStr">
        <is>
          <t>Armament@PRIMARY</t>
        </is>
      </c>
      <c r="L100" s="6" t="n"/>
      <c r="M100" s="6" t="n"/>
      <c r="N100" s="6" t="n">
        <v>1</v>
      </c>
      <c r="O100" s="6" t="n"/>
      <c r="P100" s="6" t="n">
        <v>2000</v>
      </c>
      <c r="Q100" s="6" t="n">
        <v>1</v>
      </c>
      <c r="R100">
        <f>M100+IF(N100&gt;1,N(O100)*(N100-1),0)</f>
        <v/>
      </c>
      <c r="S100">
        <f>IFERROR(L100*MAX(N100,1)/R100*IF(ISBLANK(K99),1,K99),0)</f>
        <v/>
      </c>
      <c r="AB100" s="7" t="inlineStr"/>
    </row>
    <row r="101">
      <c r="A101" t="inlineStr">
        <is>
          <t>shared</t>
        </is>
      </c>
      <c r="B101" t="inlineStr">
        <is>
          <t>ra2_taxi_driveby</t>
        </is>
      </c>
      <c r="C101" t="inlineStr">
        <is>
          <t>Drive By Car</t>
        </is>
      </c>
      <c r="D101" s="6" t="inlineStr">
        <is>
          <t>ScoutVehicle</t>
        </is>
      </c>
      <c r="E101" s="6" t="n">
        <v>25000</v>
      </c>
      <c r="F101" s="6" t="n">
        <v>100</v>
      </c>
      <c r="G101" t="inlineStr">
        <is>
          <t>Scout</t>
        </is>
      </c>
      <c r="H101" s="6" t="n">
        <v>1</v>
      </c>
      <c r="I101" s="6" t="n">
        <v>1</v>
      </c>
      <c r="J101" s="6" t="n">
        <v>1</v>
      </c>
      <c r="K101" s="6" t="n"/>
      <c r="P101">
        <f>MAX(P102)</f>
        <v/>
      </c>
      <c r="S101">
        <f>S102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(T101+U101+V101)/3</f>
        <v/>
      </c>
      <c r="X101" s="6" t="n">
        <v>1000</v>
      </c>
      <c r="Y101">
        <f>IFERROR(W101-X101,"")</f>
        <v/>
      </c>
      <c r="Z101">
        <f>IFERROR(ABS(Y101)/MAX(X101,1),"")</f>
        <v/>
      </c>
      <c r="AA101">
        <f>IFERROR((X101-(((E101/100000+F101/100+S101/200)*200*I101*H101)+((E101*F101/25000)*I101*H101))/3)/(((J101/5)*200*I101*H101)+((J101*S101/2.5)*I101*H101)+((E101*F101*J101*S101*I101*H101)/12500000))/3*1000,"")</f>
        <v/>
      </c>
    </row>
    <row r="102">
      <c r="B102" s="7" t="inlineStr">
        <is>
          <t xml:space="preserve">  ↳ RA220mmrapid</t>
        </is>
      </c>
      <c r="C102" s="7" t="inlineStr">
        <is>
          <t>Armament</t>
        </is>
      </c>
      <c r="L102" s="6" t="n">
        <v>8000</v>
      </c>
      <c r="M102" s="6" t="n">
        <v>15</v>
      </c>
      <c r="N102" s="6" t="n">
        <v>1</v>
      </c>
      <c r="O102" s="6" t="n"/>
      <c r="P102" s="6" t="n">
        <v>5000</v>
      </c>
      <c r="Q102" s="6" t="n">
        <v>0.875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^Warhead_Bullet_Light, ^Warhead_Bullet_Medium</t>
        </is>
      </c>
    </row>
    <row r="103">
      <c r="A103" t="inlineStr">
        <is>
          <t>shared</t>
        </is>
      </c>
      <c r="B103" t="inlineStr">
        <is>
          <t>ra2_tractor</t>
        </is>
      </c>
      <c r="C103" t="inlineStr">
        <is>
          <t>Civilian Vehicle</t>
        </is>
      </c>
      <c r="D103" s="6" t="inlineStr">
        <is>
          <t>Misc</t>
        </is>
      </c>
      <c r="E103" s="6" t="n">
        <v>20000</v>
      </c>
      <c r="F103" s="6" t="n">
        <v>100</v>
      </c>
      <c r="G103" t="inlineStr">
        <is>
          <t>Light</t>
        </is>
      </c>
      <c r="H103" s="6" t="n">
        <v>1</v>
      </c>
      <c r="I103" s="6" t="n">
        <v>1</v>
      </c>
      <c r="J103" s="6" t="n">
        <v>1</v>
      </c>
      <c r="K103" s="6" t="n"/>
      <c r="X103" s="6" t="n">
        <v>0</v>
      </c>
    </row>
    <row r="104">
      <c r="A104" t="inlineStr">
        <is>
          <t>shared</t>
        </is>
      </c>
      <c r="B104" t="inlineStr">
        <is>
          <t>ra2_tractor_demo</t>
        </is>
      </c>
      <c r="C104" t="inlineStr">
        <is>
          <t>Bomb Car</t>
        </is>
      </c>
      <c r="D104" s="6" t="inlineStr">
        <is>
          <t>Misc</t>
        </is>
      </c>
      <c r="E104" s="6" t="n">
        <v>20000</v>
      </c>
      <c r="F104" s="6" t="n">
        <v>100</v>
      </c>
      <c r="G104" t="inlineStr">
        <is>
          <t>Light</t>
        </is>
      </c>
      <c r="H104" s="6" t="n">
        <v>1</v>
      </c>
      <c r="I104" s="6" t="n">
        <v>1</v>
      </c>
      <c r="J104" s="6" t="n">
        <v>1</v>
      </c>
      <c r="K104" s="6" t="n"/>
      <c r="X104" s="6" t="n">
        <v>500</v>
      </c>
    </row>
    <row r="105">
      <c r="B105" s="7" t="inlineStr">
        <is>
          <t xml:space="preserve">  ↳ DemoTruckTargeting</t>
        </is>
      </c>
      <c r="C105" s="7" t="inlineStr">
        <is>
          <t>Armament@PRIMARY</t>
        </is>
      </c>
      <c r="L105" s="6" t="n"/>
      <c r="M105" s="6" t="n"/>
      <c r="N105" s="6" t="n">
        <v>1</v>
      </c>
      <c r="O105" s="6" t="n"/>
      <c r="P105" s="6" t="n">
        <v>2000</v>
      </c>
      <c r="Q105" s="6" t="n">
        <v>1</v>
      </c>
      <c r="R105">
        <f>M105+IF(N105&gt;1,N(O105)*(N105-1),0)</f>
        <v/>
      </c>
      <c r="S105">
        <f>IFERROR(L105*MAX(N105,1)/R105*IF(ISBLANK(K104),1,K104),0)</f>
        <v/>
      </c>
      <c r="AB105" s="7" t="inlineStr"/>
    </row>
    <row r="106">
      <c r="A106" t="inlineStr">
        <is>
          <t>shared</t>
        </is>
      </c>
      <c r="B106" t="inlineStr">
        <is>
          <t>ra2_tractor_driveby</t>
        </is>
      </c>
      <c r="C106" t="inlineStr">
        <is>
          <t>Drive By Car</t>
        </is>
      </c>
      <c r="D106" s="6" t="inlineStr">
        <is>
          <t>ScoutVehicle</t>
        </is>
      </c>
      <c r="E106" s="6" t="n">
        <v>25000</v>
      </c>
      <c r="F106" s="6" t="n">
        <v>100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K106" s="6" t="n"/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1000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RA220mmrapid</t>
        </is>
      </c>
      <c r="C107" s="7" t="inlineStr">
        <is>
          <t>Armament</t>
        </is>
      </c>
      <c r="L107" s="6" t="n">
        <v>8000</v>
      </c>
      <c r="M107" s="6" t="n">
        <v>15</v>
      </c>
      <c r="N107" s="6" t="n">
        <v>1</v>
      </c>
      <c r="O107" s="6" t="n"/>
      <c r="P107" s="6" t="n">
        <v>5000</v>
      </c>
      <c r="Q107" s="6" t="n">
        <v>0.875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^Warhead_Bullet_Light, ^Warhead_Bullet_Medium</t>
        </is>
      </c>
    </row>
    <row r="108">
      <c r="A108" t="inlineStr">
        <is>
          <t>shared</t>
        </is>
      </c>
      <c r="B108" t="inlineStr">
        <is>
          <t>ra2_trucka</t>
        </is>
      </c>
      <c r="C108" t="inlineStr">
        <is>
          <t>Civilian Vehicle</t>
        </is>
      </c>
      <c r="D108" s="6" t="inlineStr">
        <is>
          <t>Misc</t>
        </is>
      </c>
      <c r="E108" s="6" t="n">
        <v>20000</v>
      </c>
      <c r="F108" s="6" t="n">
        <v>100</v>
      </c>
      <c r="G108" t="inlineStr">
        <is>
          <t>Light</t>
        </is>
      </c>
      <c r="H108" s="6" t="n">
        <v>1</v>
      </c>
      <c r="I108" s="6" t="n">
        <v>1</v>
      </c>
      <c r="J108" s="6" t="n">
        <v>1</v>
      </c>
      <c r="K108" s="6" t="n"/>
      <c r="X108" s="6" t="n">
        <v>0</v>
      </c>
    </row>
    <row r="109">
      <c r="A109" t="inlineStr">
        <is>
          <t>shared</t>
        </is>
      </c>
      <c r="B109" t="inlineStr">
        <is>
          <t>ra2_trucka_demo</t>
        </is>
      </c>
      <c r="C109" t="inlineStr">
        <is>
          <t>Bomb Car</t>
        </is>
      </c>
      <c r="D109" s="6" t="inlineStr">
        <is>
          <t>Misc</t>
        </is>
      </c>
      <c r="E109" s="6" t="n">
        <v>20000</v>
      </c>
      <c r="F109" s="6" t="n">
        <v>100</v>
      </c>
      <c r="G109" t="inlineStr">
        <is>
          <t>Light</t>
        </is>
      </c>
      <c r="H109" s="6" t="n">
        <v>1</v>
      </c>
      <c r="I109" s="6" t="n">
        <v>1</v>
      </c>
      <c r="J109" s="6" t="n">
        <v>1</v>
      </c>
      <c r="K109" s="6" t="n"/>
      <c r="X109" s="6" t="n">
        <v>500</v>
      </c>
    </row>
    <row r="110">
      <c r="B110" s="7" t="inlineStr">
        <is>
          <t xml:space="preserve">  ↳ DemoTruckTargeting</t>
        </is>
      </c>
      <c r="C110" s="7" t="inlineStr">
        <is>
          <t>Armament@PRIMARY</t>
        </is>
      </c>
      <c r="L110" s="6" t="n"/>
      <c r="M110" s="6" t="n"/>
      <c r="N110" s="6" t="n">
        <v>1</v>
      </c>
      <c r="O110" s="6" t="n"/>
      <c r="P110" s="6" t="n">
        <v>2000</v>
      </c>
      <c r="Q110" s="6" t="n">
        <v>1</v>
      </c>
      <c r="R110">
        <f>M110+IF(N110&gt;1,N(O110)*(N110-1),0)</f>
        <v/>
      </c>
      <c r="S110">
        <f>IFERROR(L110*MAX(N110,1)/R110*IF(ISBLANK(K109),1,K109),0)</f>
        <v/>
      </c>
      <c r="AB110" s="7" t="inlineStr"/>
    </row>
    <row r="111">
      <c r="A111" t="inlineStr">
        <is>
          <t>shared</t>
        </is>
      </c>
      <c r="B111" t="inlineStr">
        <is>
          <t>ra2_trucka_driveby</t>
        </is>
      </c>
      <c r="C111" t="inlineStr">
        <is>
          <t>Drive By Car</t>
        </is>
      </c>
      <c r="D111" s="6" t="inlineStr">
        <is>
          <t>ScoutVehicle</t>
        </is>
      </c>
      <c r="E111" s="6" t="n">
        <v>25000</v>
      </c>
      <c r="F111" s="6" t="n">
        <v>100</v>
      </c>
      <c r="G111" t="inlineStr">
        <is>
          <t>Scout</t>
        </is>
      </c>
      <c r="H111" s="6" t="n">
        <v>1</v>
      </c>
      <c r="I111" s="6" t="n">
        <v>1</v>
      </c>
      <c r="J111" s="6" t="n">
        <v>1</v>
      </c>
      <c r="K111" s="6" t="n"/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1000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RA220mmrapid</t>
        </is>
      </c>
      <c r="C112" s="7" t="inlineStr">
        <is>
          <t>Armament</t>
        </is>
      </c>
      <c r="L112" s="6" t="n">
        <v>8000</v>
      </c>
      <c r="M112" s="6" t="n">
        <v>15</v>
      </c>
      <c r="N112" s="6" t="n">
        <v>1</v>
      </c>
      <c r="O112" s="6" t="n"/>
      <c r="P112" s="6" t="n">
        <v>5000</v>
      </c>
      <c r="Q112" s="6" t="n">
        <v>0.875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^Warhead_Bullet_Light, ^Warhead_Bullet_Medium</t>
        </is>
      </c>
    </row>
    <row r="113">
      <c r="A113" t="inlineStr">
        <is>
          <t>shared</t>
        </is>
      </c>
      <c r="B113" t="inlineStr">
        <is>
          <t>ra2_truckb</t>
        </is>
      </c>
      <c r="C113" t="inlineStr">
        <is>
          <t>Civilian Vehicle</t>
        </is>
      </c>
      <c r="D113" s="6" t="inlineStr">
        <is>
          <t>Misc</t>
        </is>
      </c>
      <c r="E113" s="6" t="n">
        <v>20000</v>
      </c>
      <c r="F113" s="6" t="n">
        <v>100</v>
      </c>
      <c r="G113" t="inlineStr">
        <is>
          <t>Light</t>
        </is>
      </c>
      <c r="H113" s="6" t="n">
        <v>1</v>
      </c>
      <c r="I113" s="6" t="n">
        <v>1</v>
      </c>
      <c r="J113" s="6" t="n">
        <v>1</v>
      </c>
      <c r="K113" s="6" t="n"/>
      <c r="X113" s="6" t="n">
        <v>0</v>
      </c>
    </row>
    <row r="114">
      <c r="A114" t="inlineStr">
        <is>
          <t>shared</t>
        </is>
      </c>
      <c r="B114" t="inlineStr">
        <is>
          <t>ra2_truckb_demo</t>
        </is>
      </c>
      <c r="C114" t="inlineStr">
        <is>
          <t>Bomb Car</t>
        </is>
      </c>
      <c r="D114" s="6" t="inlineStr">
        <is>
          <t>Misc</t>
        </is>
      </c>
      <c r="E114" s="6" t="n">
        <v>20000</v>
      </c>
      <c r="F114" s="6" t="n">
        <v>100</v>
      </c>
      <c r="G114" t="inlineStr">
        <is>
          <t>Light</t>
        </is>
      </c>
      <c r="H114" s="6" t="n">
        <v>1</v>
      </c>
      <c r="I114" s="6" t="n">
        <v>1</v>
      </c>
      <c r="J114" s="6" t="n">
        <v>1</v>
      </c>
      <c r="K114" s="6" t="n"/>
      <c r="X114" s="6" t="n">
        <v>500</v>
      </c>
    </row>
    <row r="115">
      <c r="B115" s="7" t="inlineStr">
        <is>
          <t xml:space="preserve">  ↳ DemoTruckTargeting</t>
        </is>
      </c>
      <c r="C115" s="7" t="inlineStr">
        <is>
          <t>Armament@PRIMARY</t>
        </is>
      </c>
      <c r="L115" s="6" t="n"/>
      <c r="M115" s="6" t="n"/>
      <c r="N115" s="6" t="n">
        <v>1</v>
      </c>
      <c r="O115" s="6" t="n"/>
      <c r="P115" s="6" t="n">
        <v>2000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/>
    </row>
    <row r="116">
      <c r="A116" t="inlineStr">
        <is>
          <t>shared</t>
        </is>
      </c>
      <c r="B116" t="inlineStr">
        <is>
          <t>ra2_truckb_driveby</t>
        </is>
      </c>
      <c r="C116" t="inlineStr">
        <is>
          <t>Drive By Car</t>
        </is>
      </c>
      <c r="D116" s="6" t="inlineStr">
        <is>
          <t>ScoutVehicle</t>
        </is>
      </c>
      <c r="E116" s="6" t="n">
        <v>25000</v>
      </c>
      <c r="F116" s="6" t="n">
        <v>100</v>
      </c>
      <c r="G116" t="inlineStr">
        <is>
          <t>Scout</t>
        </is>
      </c>
      <c r="H116" s="6" t="n">
        <v>1</v>
      </c>
      <c r="I116" s="6" t="n">
        <v>1</v>
      </c>
      <c r="J116" s="6" t="n">
        <v>1</v>
      </c>
      <c r="K116" s="6" t="n"/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1000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RA220mmrapid</t>
        </is>
      </c>
      <c r="C117" s="7" t="inlineStr">
        <is>
          <t>Armament</t>
        </is>
      </c>
      <c r="L117" s="6" t="n">
        <v>8000</v>
      </c>
      <c r="M117" s="6" t="n">
        <v>15</v>
      </c>
      <c r="N117" s="6" t="n">
        <v>1</v>
      </c>
      <c r="O117" s="6" t="n"/>
      <c r="P117" s="6" t="n">
        <v>5000</v>
      </c>
      <c r="Q117" s="6" t="n">
        <v>0.875</v>
      </c>
      <c r="R117">
        <f>M117+IF(N117&gt;1,N(O117)*(N117-1),0)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A118" t="inlineStr">
        <is>
          <t>shared</t>
        </is>
      </c>
      <c r="B118" t="inlineStr">
        <is>
          <t>ra2_ycab</t>
        </is>
      </c>
      <c r="C118" t="inlineStr">
        <is>
          <t>Civilian Vehicle</t>
        </is>
      </c>
      <c r="D118" s="6" t="inlineStr">
        <is>
          <t>Misc</t>
        </is>
      </c>
      <c r="E118" s="6" t="n">
        <v>20000</v>
      </c>
      <c r="F118" s="6" t="n">
        <v>100</v>
      </c>
      <c r="G118" t="inlineStr">
        <is>
          <t>Light</t>
        </is>
      </c>
      <c r="H118" s="6" t="n">
        <v>1</v>
      </c>
      <c r="I118" s="6" t="n">
        <v>1</v>
      </c>
      <c r="J118" s="6" t="n">
        <v>1</v>
      </c>
      <c r="K118" s="6" t="n"/>
      <c r="X118" s="6" t="n">
        <v>0</v>
      </c>
    </row>
    <row r="119">
      <c r="A119" t="inlineStr">
        <is>
          <t>shared</t>
        </is>
      </c>
      <c r="B119" t="inlineStr">
        <is>
          <t>ra2_ycab_demo</t>
        </is>
      </c>
      <c r="C119" t="inlineStr">
        <is>
          <t>Bomb Car</t>
        </is>
      </c>
      <c r="D119" s="6" t="inlineStr">
        <is>
          <t>Misc</t>
        </is>
      </c>
      <c r="E119" s="6" t="n">
        <v>20000</v>
      </c>
      <c r="F119" s="6" t="n">
        <v>100</v>
      </c>
      <c r="G119" t="inlineStr">
        <is>
          <t>Light</t>
        </is>
      </c>
      <c r="H119" s="6" t="n">
        <v>1</v>
      </c>
      <c r="I119" s="6" t="n">
        <v>1</v>
      </c>
      <c r="J119" s="6" t="n">
        <v>1</v>
      </c>
      <c r="K119" s="6" t="n"/>
      <c r="X119" s="6" t="n">
        <v>500</v>
      </c>
    </row>
    <row r="120">
      <c r="B120" s="7" t="inlineStr">
        <is>
          <t xml:space="preserve">  ↳ DemoTruckTargeting</t>
        </is>
      </c>
      <c r="C120" s="7" t="inlineStr">
        <is>
          <t>Armament@PRIMARY</t>
        </is>
      </c>
      <c r="L120" s="6" t="n"/>
      <c r="M120" s="6" t="n"/>
      <c r="N120" s="6" t="n">
        <v>1</v>
      </c>
      <c r="O120" s="6" t="n"/>
      <c r="P120" s="6" t="n">
        <v>2000</v>
      </c>
      <c r="Q120" s="6" t="n">
        <v>1</v>
      </c>
      <c r="R120">
        <f>M120+IF(N120&gt;1,N(O120)*(N120-1),0)</f>
        <v/>
      </c>
      <c r="S120">
        <f>IFERROR(L120*MAX(N120,1)/R120*IF(ISBLANK(K119),1,K119),0)</f>
        <v/>
      </c>
      <c r="AB120" s="7" t="inlineStr"/>
    </row>
    <row r="121">
      <c r="A121" t="inlineStr">
        <is>
          <t>shared</t>
        </is>
      </c>
      <c r="B121" t="inlineStr">
        <is>
          <t>ra2_ycab_driveby</t>
        </is>
      </c>
      <c r="C121" t="inlineStr">
        <is>
          <t>Drive By Car</t>
        </is>
      </c>
      <c r="D121" s="6" t="inlineStr">
        <is>
          <t>ScoutVehicle</t>
        </is>
      </c>
      <c r="E121" s="6" t="n">
        <v>25000</v>
      </c>
      <c r="F121" s="6" t="n">
        <v>100</v>
      </c>
      <c r="G121" t="inlineStr">
        <is>
          <t>Scout</t>
        </is>
      </c>
      <c r="H121" s="6" t="n">
        <v>1</v>
      </c>
      <c r="I121" s="6" t="n">
        <v>1</v>
      </c>
      <c r="J121" s="6" t="n">
        <v>1</v>
      </c>
      <c r="K121" s="6" t="n"/>
      <c r="P121">
        <f>MAX(P122)</f>
        <v/>
      </c>
      <c r="S121">
        <f>S122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RA220mmrapid</t>
        </is>
      </c>
      <c r="C122" s="7" t="inlineStr">
        <is>
          <t>Armament</t>
        </is>
      </c>
      <c r="L122" s="6" t="n">
        <v>8000</v>
      </c>
      <c r="M122" s="6" t="n">
        <v>15</v>
      </c>
      <c r="N122" s="6" t="n">
        <v>1</v>
      </c>
      <c r="O122" s="6" t="n"/>
      <c r="P122" s="6" t="n">
        <v>5000</v>
      </c>
      <c r="Q122" s="6" t="n">
        <v>0.875</v>
      </c>
      <c r="R122">
        <f>M122+IF(N122&gt;1,N(O122)*(N122-1),0)</f>
        <v/>
      </c>
      <c r="S122">
        <f>IFERROR(L122*MAX(N122,1)/R122*IF(ISBLANK(K121),1,K121),0)</f>
        <v/>
      </c>
      <c r="AB122" s="7" t="inlineStr">
        <is>
          <t>^Warhead_Bullet_Light, ^Warhead_Bullet_Medium</t>
        </is>
      </c>
    </row>
    <row r="123">
      <c r="A123" t="inlineStr">
        <is>
          <t>shared</t>
        </is>
      </c>
      <c r="B123" t="inlineStr">
        <is>
          <t>ra2_ywall</t>
        </is>
      </c>
      <c r="C123" t="inlineStr">
        <is>
          <t>Concrete Barrier</t>
        </is>
      </c>
      <c r="D123" s="6" t="inlineStr">
        <is>
          <t>Misc</t>
        </is>
      </c>
      <c r="E123" s="6" t="n">
        <v>100000</v>
      </c>
      <c r="F123" s="6" t="n"/>
      <c r="G123" t="inlineStr">
        <is>
          <t>Concrete</t>
        </is>
      </c>
      <c r="H123" s="6" t="n">
        <v>1</v>
      </c>
      <c r="I123" s="6" t="n">
        <v>1</v>
      </c>
      <c r="J123" s="6" t="n">
        <v>1</v>
      </c>
      <c r="K123" s="6" t="n"/>
      <c r="X123" s="6" t="n">
        <v>200</v>
      </c>
    </row>
    <row r="124">
      <c r="A124" t="inlineStr">
        <is>
          <t>shared</t>
        </is>
      </c>
      <c r="B124" t="inlineStr">
        <is>
          <t>ra2asw</t>
        </is>
      </c>
      <c r="C124" t="inlineStr">
        <is>
          <t>Osprey</t>
        </is>
      </c>
      <c r="D124" s="6" t="inlineStr">
        <is>
          <t>Bomber</t>
        </is>
      </c>
      <c r="E124" s="6" t="n">
        <v>50000</v>
      </c>
      <c r="F124" s="6" t="n">
        <v>210</v>
      </c>
      <c r="G124" t="inlineStr">
        <is>
          <t>Bomber</t>
        </is>
      </c>
      <c r="H124" s="6" t="n">
        <v>1</v>
      </c>
      <c r="I124" s="6" t="n">
        <v>1</v>
      </c>
      <c r="J124" s="6" t="n">
        <v>1</v>
      </c>
      <c r="K124" s="6" t="n">
        <v>0.005</v>
      </c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340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RA2DepthCharge</t>
        </is>
      </c>
      <c r="C125" s="7" t="inlineStr">
        <is>
          <t>Armament@PRIMARY</t>
        </is>
      </c>
      <c r="L125" s="6" t="n">
        <v>60000</v>
      </c>
      <c r="M125" s="6" t="n">
        <v>25</v>
      </c>
      <c r="N125" s="6" t="n">
        <v>5</v>
      </c>
      <c r="O125" s="6" t="n">
        <v>3</v>
      </c>
      <c r="P125" s="6" t="n">
        <v>3000</v>
      </c>
      <c r="Q125" s="6" t="n">
        <v>0.75</v>
      </c>
      <c r="R125">
        <f>M125+IF(N125&gt;1,N(O125)*(N125-1),0)</f>
        <v/>
      </c>
      <c r="S125">
        <f>IFERROR(L125*MAX(N125,1)/R125*IF(ISBLANK(K124),1,K124),0)</f>
        <v/>
      </c>
      <c r="AB125" s="7" t="inlineStr">
        <is>
          <t>^Warhead_Demolition_Light</t>
        </is>
      </c>
    </row>
    <row r="126">
      <c r="A126" t="inlineStr">
        <is>
          <t>shared</t>
        </is>
      </c>
      <c r="B126" t="inlineStr">
        <is>
          <t>ra2carrier</t>
        </is>
      </c>
      <c r="C126" t="inlineStr">
        <is>
          <t>actor_ra2carrier.name</t>
        </is>
      </c>
      <c r="D126" s="6" t="inlineStr">
        <is>
          <t>ArtilleryShip</t>
        </is>
      </c>
      <c r="E126" s="6" t="n">
        <v>250000</v>
      </c>
      <c r="F126" s="6" t="n">
        <v>40</v>
      </c>
      <c r="G126" t="inlineStr">
        <is>
          <t>Superheavy</t>
        </is>
      </c>
      <c r="H126" s="6" t="n">
        <v>1</v>
      </c>
      <c r="I126" s="6" t="n">
        <v>1</v>
      </c>
      <c r="J126" s="6" t="n">
        <v>1</v>
      </c>
      <c r="K126" s="6" t="n"/>
      <c r="X126" s="6" t="n">
        <v>2500</v>
      </c>
    </row>
    <row r="127">
      <c r="B127" s="7" t="inlineStr">
        <is>
          <t xml:space="preserve">  ↳ RA2CarrierTarget</t>
        </is>
      </c>
      <c r="C127" s="7" t="inlineStr">
        <is>
          <t>Armament@PRIMARY</t>
        </is>
      </c>
      <c r="L127" s="6" t="n"/>
      <c r="M127" s="6" t="n">
        <v>50</v>
      </c>
      <c r="N127" s="6" t="n">
        <v>1</v>
      </c>
      <c r="O127" s="6" t="n"/>
      <c r="P127" s="6" t="n">
        <v>17500</v>
      </c>
      <c r="Q127" s="6" t="n">
        <v>1</v>
      </c>
      <c r="R127">
        <f>M127+IF(N127&gt;1,N(O127)*(N127-1),0)</f>
        <v/>
      </c>
      <c r="S127">
        <f>IFERROR(L127*MAX(N127,1)/R127*IF(ISBLANK(K126),1,K126),0)</f>
        <v/>
      </c>
      <c r="AB127" s="7" t="inlineStr"/>
    </row>
    <row r="128">
      <c r="A128" t="inlineStr">
        <is>
          <t>shared</t>
        </is>
      </c>
      <c r="B128" t="inlineStr">
        <is>
          <t>ra2cplane</t>
        </is>
      </c>
      <c r="C128" t="inlineStr">
        <is>
          <t>Cargo Plane</t>
        </is>
      </c>
      <c r="D128" s="6" t="inlineStr">
        <is>
          <t>Misc</t>
        </is>
      </c>
      <c r="E128" s="6" t="n">
        <v>175000</v>
      </c>
      <c r="F128" s="6" t="n">
        <v>150</v>
      </c>
      <c r="G128" t="inlineStr">
        <is>
          <t>Bomber</t>
        </is>
      </c>
      <c r="H128" s="6" t="n">
        <v>1</v>
      </c>
      <c r="I128" s="6" t="n">
        <v>1</v>
      </c>
      <c r="J128" s="6" t="n">
        <v>1</v>
      </c>
      <c r="K128" s="6" t="n"/>
      <c r="X128" s="6" t="n">
        <v>4000</v>
      </c>
    </row>
    <row r="129">
      <c r="A129" t="inlineStr">
        <is>
          <t>shared</t>
        </is>
      </c>
      <c r="B129" t="inlineStr">
        <is>
          <t>ra2cplanesov</t>
        </is>
      </c>
      <c r="C129" t="inlineStr">
        <is>
          <t>Cargo Plane</t>
        </is>
      </c>
      <c r="D129" s="6" t="inlineStr">
        <is>
          <t>Misc</t>
        </is>
      </c>
      <c r="E129" s="6" t="n">
        <v>175000</v>
      </c>
      <c r="F129" s="6" t="n">
        <v>150</v>
      </c>
      <c r="G129" t="inlineStr">
        <is>
          <t>Bomber</t>
        </is>
      </c>
      <c r="H129" s="6" t="n">
        <v>1</v>
      </c>
      <c r="I129" s="6" t="n">
        <v>1</v>
      </c>
      <c r="J129" s="6" t="n">
        <v>1</v>
      </c>
      <c r="K129" s="6" t="n"/>
      <c r="X129" s="6" t="n">
        <v>4000</v>
      </c>
    </row>
    <row r="130">
      <c r="A130" t="inlineStr">
        <is>
          <t>shared</t>
        </is>
      </c>
      <c r="B130" t="inlineStr">
        <is>
          <t>ra2dest</t>
        </is>
      </c>
      <c r="C130" t="inlineStr">
        <is>
          <t>actor_dest.name</t>
        </is>
      </c>
      <c r="D130" s="6" t="inlineStr">
        <is>
          <t>ScoutShip</t>
        </is>
      </c>
      <c r="E130" s="6" t="n">
        <v>160000</v>
      </c>
      <c r="F130" s="6" t="n">
        <v>70</v>
      </c>
      <c r="G130" t="inlineStr">
        <is>
          <t>Heavy</t>
        </is>
      </c>
      <c r="H130" s="6" t="n">
        <v>1</v>
      </c>
      <c r="I130" s="6" t="n">
        <v>1</v>
      </c>
      <c r="J130" s="6" t="n">
        <v>1</v>
      </c>
      <c r="K130" s="6" t="n"/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1700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RA2155mm</t>
        </is>
      </c>
      <c r="C131" s="7" t="inlineStr">
        <is>
          <t>Armament@PRIMARY</t>
        </is>
      </c>
      <c r="L131" s="6" t="n">
        <v>16000</v>
      </c>
      <c r="M131" s="6" t="n">
        <v>40</v>
      </c>
      <c r="N131" s="6" t="n">
        <v>1</v>
      </c>
      <c r="O131" s="6" t="n"/>
      <c r="P131" s="6" t="n">
        <v>8000</v>
      </c>
      <c r="Q131" s="6" t="n">
        <v>1.25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^Warhead_CannonHE_Heavy</t>
        </is>
      </c>
    </row>
    <row r="132">
      <c r="B132" s="7" t="inlineStr">
        <is>
          <t xml:space="preserve">  ↳ RA2155mm_elite</t>
        </is>
      </c>
      <c r="C132" s="7" t="inlineStr">
        <is>
          <t>Armament@ELITE</t>
        </is>
      </c>
      <c r="L132" s="6" t="n">
        <v>16000</v>
      </c>
      <c r="M132" s="6" t="n">
        <v>40</v>
      </c>
      <c r="N132" s="6" t="n">
        <v>2</v>
      </c>
      <c r="O132" s="6" t="n">
        <v>3</v>
      </c>
      <c r="P132" s="6" t="n">
        <v>9000</v>
      </c>
      <c r="Q132" s="6" t="n">
        <v>1.25</v>
      </c>
      <c r="R132">
        <f>M132+IF(N132&gt;1,N(O132)*(N132-1),0)</f>
        <v/>
      </c>
      <c r="S132">
        <f>IFERROR(L132*MAX(N132,1)/R132*IF(ISBLANK(K130),1,K130),0)</f>
        <v/>
      </c>
      <c r="AB132" s="7" t="inlineStr">
        <is>
          <t>^Warhead_CannonHE_Heavy</t>
        </is>
      </c>
    </row>
    <row r="133">
      <c r="B133" s="7" t="inlineStr">
        <is>
          <t xml:space="preserve">  ↳ RA2OspreyTarget</t>
        </is>
      </c>
      <c r="C133" s="7" t="inlineStr">
        <is>
          <t>Armament@GenerateOsprey</t>
        </is>
      </c>
      <c r="L133" s="6" t="n"/>
      <c r="M133" s="6" t="n">
        <v>25</v>
      </c>
      <c r="N133" s="6" t="n">
        <v>1</v>
      </c>
      <c r="O133" s="6" t="n"/>
      <c r="P133" s="6" t="n">
        <v>12000</v>
      </c>
      <c r="Q133" s="6" t="n">
        <v>1</v>
      </c>
      <c r="R133">
        <f>M133+IF(N133&gt;1,N(O133)*(N133-1),0)</f>
        <v/>
      </c>
      <c r="S133">
        <f>IFERROR(L133*MAX(N133,1)/R133*IF(ISBLANK(K130),1,K130),0)</f>
        <v/>
      </c>
      <c r="AB133" s="7" t="inlineStr"/>
    </row>
    <row r="134">
      <c r="A134" t="inlineStr">
        <is>
          <t>shared</t>
        </is>
      </c>
      <c r="B134" t="inlineStr">
        <is>
          <t>ra2dlph</t>
        </is>
      </c>
      <c r="C134" t="inlineStr">
        <is>
          <t>actor_dlph.name</t>
        </is>
      </c>
      <c r="D134" s="6" t="inlineStr">
        <is>
          <t>ScoutShip</t>
        </is>
      </c>
      <c r="E134" s="6" t="n">
        <v>20000</v>
      </c>
      <c r="F134" s="6" t="n">
        <v>120</v>
      </c>
      <c r="G134" t="inlineStr">
        <is>
          <t>Light</t>
        </is>
      </c>
      <c r="H134" s="6" t="n">
        <v>1</v>
      </c>
      <c r="I134" s="6" t="n">
        <v>1</v>
      </c>
      <c r="J134" s="6" t="n">
        <v>1</v>
      </c>
      <c r="K134" s="6" t="n"/>
      <c r="P134">
        <f>MAX(P135)</f>
        <v/>
      </c>
      <c r="S134">
        <f>S135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500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SonicZap</t>
        </is>
      </c>
      <c r="C135" s="7" t="inlineStr">
        <is>
          <t>Armament@PRIMARY</t>
        </is>
      </c>
      <c r="L135" s="6" t="n">
        <v>3000</v>
      </c>
      <c r="M135" s="6" t="n">
        <v>60</v>
      </c>
      <c r="N135" s="6" t="n">
        <v>1</v>
      </c>
      <c r="O135" s="6" t="n"/>
      <c r="P135" s="6" t="n">
        <v>6000</v>
      </c>
      <c r="Q135" s="6" t="n">
        <v>1.25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^Warhead_Magic_Heavy</t>
        </is>
      </c>
    </row>
    <row r="136">
      <c r="B136" s="7" t="inlineStr">
        <is>
          <t xml:space="preserve">  ↳ SonicZapFriendly</t>
        </is>
      </c>
      <c r="C136" s="7" t="inlineStr">
        <is>
          <t>Armament@SECONDARY</t>
        </is>
      </c>
      <c r="L136" s="6" t="n"/>
      <c r="M136" s="6" t="n">
        <v>60</v>
      </c>
      <c r="N136" s="6" t="n">
        <v>1</v>
      </c>
      <c r="O136" s="6" t="n"/>
      <c r="P136" s="6" t="n">
        <v>6000</v>
      </c>
      <c r="Q136" s="6" t="n">
        <v>1</v>
      </c>
      <c r="R136">
        <f>M136+IF(N136&gt;1,N(O136)*(N136-1),0)</f>
        <v/>
      </c>
      <c r="S136">
        <f>IFERROR(L136*MAX(N136,1)/R136*IF(ISBLANK(K134),1,K134),0)</f>
        <v/>
      </c>
      <c r="AB136" s="7" t="inlineStr"/>
    </row>
    <row r="137">
      <c r="A137" t="inlineStr">
        <is>
          <t>shared</t>
        </is>
      </c>
      <c r="B137" t="inlineStr">
        <is>
          <t>ra2dred</t>
        </is>
      </c>
      <c r="C137" t="inlineStr">
        <is>
          <t>actor_dred.name</t>
        </is>
      </c>
      <c r="D137" s="6" t="inlineStr">
        <is>
          <t>ArtilleryShip</t>
        </is>
      </c>
      <c r="E137" s="6" t="n">
        <v>250000</v>
      </c>
      <c r="F137" s="6" t="n">
        <v>50</v>
      </c>
      <c r="G137" t="inlineStr">
        <is>
          <t>Superheavy</t>
        </is>
      </c>
      <c r="H137" s="6" t="n">
        <v>1</v>
      </c>
      <c r="I137" s="6" t="n">
        <v>1</v>
      </c>
      <c r="J137" s="6" t="n">
        <v>1</v>
      </c>
      <c r="K137" s="6" t="n">
        <v>0.0125</v>
      </c>
      <c r="X137" s="6" t="n">
        <v>4000</v>
      </c>
    </row>
    <row r="138">
      <c r="B138" s="7" t="inlineStr">
        <is>
          <t xml:space="preserve">  ↳ DreadnoughtLaunch</t>
        </is>
      </c>
      <c r="C138" s="7" t="inlineStr">
        <is>
          <t>Armament@AG</t>
        </is>
      </c>
      <c r="L138" s="6" t="n"/>
      <c r="M138" s="6" t="n">
        <v>75</v>
      </c>
      <c r="N138" s="6" t="n">
        <v>2</v>
      </c>
      <c r="O138" s="6" t="n">
        <v>10</v>
      </c>
      <c r="P138" s="6" t="n">
        <v>25000</v>
      </c>
      <c r="Q138" s="6" t="n">
        <v>1</v>
      </c>
      <c r="R138">
        <f>M138+IF(N138&gt;1,N(O138)*(N138-1),0)</f>
        <v/>
      </c>
      <c r="S138">
        <f>IFERROR(L138*MAX(N138,1)/R138*IF(ISBLANK(K137),1,K137),0)</f>
        <v/>
      </c>
      <c r="AB138" s="7" t="inlineStr">
        <is>
          <t>V3Launch</t>
        </is>
      </c>
    </row>
    <row r="139">
      <c r="A139" t="inlineStr">
        <is>
          <t>shared</t>
        </is>
      </c>
      <c r="B139" t="inlineStr">
        <is>
          <t>ra2e2.black</t>
        </is>
      </c>
      <c r="C139" t="inlineStr">
        <is>
          <t>Black Operation Soldier</t>
        </is>
      </c>
      <c r="D139" s="6" t="inlineStr">
        <is>
          <t>ScoutInfantry</t>
        </is>
      </c>
      <c r="E139" s="6" t="n">
        <v>25000</v>
      </c>
      <c r="F139" s="6" t="n">
        <v>58</v>
      </c>
      <c r="G139" t="inlineStr">
        <is>
          <t>None</t>
        </is>
      </c>
      <c r="H139" s="6" t="n">
        <v>1</v>
      </c>
      <c r="I139" s="6" t="n">
        <v>1</v>
      </c>
      <c r="J139" s="6" t="n">
        <v>1</v>
      </c>
      <c r="K139" s="6" t="n"/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(((E139/20000)+(F139/60)+(S139/60)+((P139/5000)*J139))*100/4+(((E139/20000)*(F139/60))+(((P139/5000)*J139)*(S139/60)))*100/2+((E139/20000)*(F139/60)*((P139/5000)*J139)*(S139/60))*100)*(H139/1.0)/3</f>
        <v/>
      </c>
      <c r="X139" s="6" t="n">
        <v>150</v>
      </c>
      <c r="Y139">
        <f>IFERROR(W139-X139,"")</f>
        <v/>
      </c>
      <c r="Z139">
        <f>IFERROR(ABS(Y139)/MAX(X139,1),"")</f>
        <v/>
      </c>
      <c r="AA139">
        <f>IFERROR(ROUND(((3*X139-(((E139/20000)+(F139/60)+(S139/60))*100/4+((E139/20000)*(F139/60))*100/2)*(H139/1.0))/(100/4+((S139/60))*100/2+((E139/20000)*(F139/60)*(S139/60))*100)*(H139/1.0)*5000)/J139,-1),"")</f>
        <v/>
      </c>
    </row>
    <row r="140">
      <c r="B140" s="7" t="inlineStr">
        <is>
          <t xml:space="preserve">  ↳ ra2_soviets_conscript_carbine</t>
        </is>
      </c>
      <c r="C140" s="7" t="inlineStr">
        <is>
          <t>Armament@PRIMARY</t>
        </is>
      </c>
      <c r="L140" s="6" t="n">
        <v>2000</v>
      </c>
      <c r="M140" s="6" t="n">
        <v>18</v>
      </c>
      <c r="N140" s="6" t="n">
        <v>1</v>
      </c>
      <c r="O140" s="6" t="n"/>
      <c r="P140" s="6" t="n">
        <v>4500</v>
      </c>
      <c r="Q140" s="6" t="n">
        <v>0.75</v>
      </c>
      <c r="R140">
        <f>M140+IF(N140&gt;1,N(O140)*(N140-1),0)</f>
        <v/>
      </c>
      <c r="S140">
        <f>IFERROR(L140*MAX(N140,1)/R140*IF(ISBLANK(K139),1,K139),0)</f>
        <v/>
      </c>
      <c r="AB140" s="7" t="inlineStr">
        <is>
          <t>^Warhead_Bullet_Light</t>
        </is>
      </c>
    </row>
    <row r="141">
      <c r="B141" s="7" t="inlineStr">
        <is>
          <t xml:space="preserve">  ↳ ra2_soviets_conscript_carbine_elite</t>
        </is>
      </c>
      <c r="C141" s="7" t="inlineStr">
        <is>
          <t>Armament@ELITE</t>
        </is>
      </c>
      <c r="L141" s="6" t="n">
        <v>2000</v>
      </c>
      <c r="M141" s="6" t="n">
        <v>18</v>
      </c>
      <c r="N141" s="6" t="n">
        <v>2</v>
      </c>
      <c r="O141" s="6" t="n">
        <v>3</v>
      </c>
      <c r="P141" s="6" t="n">
        <v>5500</v>
      </c>
      <c r="Q141" s="6" t="n">
        <v>0.75</v>
      </c>
      <c r="R141">
        <f>M141+IF(N141&gt;1,N(O141)*(N141-1),0)</f>
        <v/>
      </c>
      <c r="S141">
        <f>IFERROR(L141*MAX(N141,1)/R141*IF(ISBLANK(K139),1,K139),0)</f>
        <v/>
      </c>
      <c r="AB141" s="7" t="inlineStr">
        <is>
          <t>^Warhead_Bullet_Light</t>
        </is>
      </c>
    </row>
    <row r="142">
      <c r="B142" s="7" t="inlineStr">
        <is>
          <t xml:space="preserve">  ↳ RA2vulcan3</t>
        </is>
      </c>
      <c r="C142" s="7" t="inlineStr">
        <is>
          <t>Armament@GARRISONED</t>
        </is>
      </c>
      <c r="L142" s="6" t="n">
        <v>4000</v>
      </c>
      <c r="M142" s="6" t="n">
        <v>50</v>
      </c>
      <c r="N142" s="6" t="n">
        <v>3</v>
      </c>
      <c r="O142" s="6" t="n">
        <v>2</v>
      </c>
      <c r="P142" s="6" t="n">
        <v>5724</v>
      </c>
      <c r="Q142" s="6" t="n">
        <v>0.875</v>
      </c>
      <c r="R142">
        <f>M142+IF(N142&gt;1,N(O142)*(N142-1),0)</f>
        <v/>
      </c>
      <c r="S142">
        <f>IFERROR(L142*MAX(N142,1)/R142*IF(ISBLANK(K139),1,K139),0)</f>
        <v/>
      </c>
      <c r="AB142" s="7" t="inlineStr">
        <is>
          <t>^Warhead_Bullet_Light, ^Warhead_Bullet_Medium</t>
        </is>
      </c>
    </row>
    <row r="143">
      <c r="A143" t="inlineStr">
        <is>
          <t>shared</t>
        </is>
      </c>
      <c r="B143" t="inlineStr">
        <is>
          <t>ra2gacnst.infiltrated</t>
        </is>
      </c>
      <c r="C143" t="inlineStr">
        <is>
          <t>Stolen Allied Buildings Plans</t>
        </is>
      </c>
      <c r="D143" s="6" t="inlineStr">
        <is>
          <t>ResearchedUpgrade</t>
        </is>
      </c>
      <c r="E143" s="6" t="n"/>
      <c r="F143" s="6" t="n"/>
      <c r="H143" s="6" t="n">
        <v>1</v>
      </c>
      <c r="I143" s="6" t="n">
        <v>1</v>
      </c>
      <c r="J143" s="6" t="n">
        <v>1</v>
      </c>
      <c r="K143" s="6" t="n"/>
      <c r="X143" s="6" t="n"/>
    </row>
    <row r="144">
      <c r="A144" t="inlineStr">
        <is>
          <t>shared</t>
        </is>
      </c>
      <c r="B144" t="inlineStr">
        <is>
          <t>ra2gayard</t>
        </is>
      </c>
      <c r="C144" t="inlineStr">
        <is>
          <t>Allied Naval Yard</t>
        </is>
      </c>
      <c r="D144" s="6" t="inlineStr">
        <is>
          <t>Misc</t>
        </is>
      </c>
      <c r="E144" s="6" t="n">
        <v>600000</v>
      </c>
      <c r="F144" s="6" t="n"/>
      <c r="G144" t="inlineStr">
        <is>
          <t>Concrete</t>
        </is>
      </c>
      <c r="H144" s="6" t="n">
        <v>1</v>
      </c>
      <c r="I144" s="6" t="n">
        <v>1</v>
      </c>
      <c r="J144" s="6" t="n">
        <v>1</v>
      </c>
      <c r="K144" s="6" t="n"/>
      <c r="X144" s="6" t="n">
        <v>3000</v>
      </c>
    </row>
    <row r="145">
      <c r="A145" t="inlineStr">
        <is>
          <t>shared</t>
        </is>
      </c>
      <c r="B145" t="inlineStr">
        <is>
          <t>ra2hornet</t>
        </is>
      </c>
      <c r="C145" t="inlineStr">
        <is>
          <t>Hornet</t>
        </is>
      </c>
      <c r="D145" s="6" t="inlineStr">
        <is>
          <t>Bomber</t>
        </is>
      </c>
      <c r="E145" s="6" t="n">
        <v>5000</v>
      </c>
      <c r="F145" s="6" t="n">
        <v>225</v>
      </c>
      <c r="G145" t="inlineStr">
        <is>
          <t>Bomber</t>
        </is>
      </c>
      <c r="H145" s="6" t="n">
        <v>1</v>
      </c>
      <c r="I145" s="6" t="n">
        <v>1</v>
      </c>
      <c r="J145" s="6" t="n">
        <v>1</v>
      </c>
      <c r="K145" s="6" t="n">
        <v>0.005</v>
      </c>
      <c r="P145">
        <f>MAX(P146)</f>
        <v/>
      </c>
      <c r="S145">
        <f>S146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170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RA2HornetMissile</t>
        </is>
      </c>
      <c r="C146" s="7" t="inlineStr">
        <is>
          <t>Armament@PRIMARY</t>
        </is>
      </c>
      <c r="L146" s="6" t="n">
        <v>6000</v>
      </c>
      <c r="M146" s="6" t="n">
        <v>3</v>
      </c>
      <c r="N146" s="6" t="n">
        <v>1</v>
      </c>
      <c r="O146" s="6" t="n"/>
      <c r="P146" s="6" t="n">
        <v>5000</v>
      </c>
      <c r="Q146" s="6" t="n">
        <v>1</v>
      </c>
      <c r="R146">
        <f>M146+IF(N146&gt;1,N(O146)*(N146-1),0)</f>
        <v/>
      </c>
      <c r="S146">
        <f>IFERROR(L146*MAX(N146,1)/R146*IF(ISBLANK(K145),1,K145),0)</f>
        <v/>
      </c>
      <c r="AB146" s="7" t="inlineStr">
        <is>
          <t>^Warhead_Demolition_Light, ^Warhead_Demolition_Heavy, ^Warhead_MissileAP_Medium</t>
        </is>
      </c>
    </row>
    <row r="147">
      <c r="A147" t="inlineStr">
        <is>
          <t>shared</t>
        </is>
      </c>
      <c r="B147" t="inlineStr">
        <is>
          <t>ra2lcrf</t>
        </is>
      </c>
      <c r="C147" t="inlineStr">
        <is>
          <t>Amphibious Transport</t>
        </is>
      </c>
      <c r="D147" s="6" t="inlineStr">
        <is>
          <t>Misc</t>
        </is>
      </c>
      <c r="E147" s="6" t="n">
        <v>150000</v>
      </c>
      <c r="F147" s="6" t="n">
        <v>75</v>
      </c>
      <c r="G147" t="inlineStr">
        <is>
          <t>Heavy</t>
        </is>
      </c>
      <c r="H147" s="6" t="n">
        <v>1</v>
      </c>
      <c r="I147" s="6" t="n">
        <v>1</v>
      </c>
      <c r="J147" s="6" t="n">
        <v>1</v>
      </c>
      <c r="K147" s="6" t="n"/>
      <c r="X147" s="6" t="n">
        <v>750</v>
      </c>
    </row>
    <row r="148">
      <c r="A148" t="inlineStr">
        <is>
          <t>shared</t>
        </is>
      </c>
      <c r="B148" t="inlineStr">
        <is>
          <t>ra2leopard</t>
        </is>
      </c>
      <c r="C148" t="inlineStr">
        <is>
          <t>Leopard</t>
        </is>
      </c>
      <c r="D148" s="6" t="inlineStr">
        <is>
          <t>MainBattleTank</t>
        </is>
      </c>
      <c r="E148" s="6" t="n">
        <v>230000</v>
      </c>
      <c r="F148" s="6" t="n">
        <v>70</v>
      </c>
      <c r="G148" t="inlineStr">
        <is>
          <t>Heavy</t>
        </is>
      </c>
      <c r="H148" s="6" t="n">
        <v>1</v>
      </c>
      <c r="I148" s="6" t="n">
        <v>1</v>
      </c>
      <c r="J148" s="6" t="n">
        <v>1</v>
      </c>
      <c r="K148" s="6" t="n"/>
      <c r="P148">
        <f>MAX(P149,P150,P151)</f>
        <v/>
      </c>
      <c r="S148">
        <f>S149+S150+S151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(((E148/240000)+(F148/95)+(S148/600)+((P148/5500)*J148))*800/4+(((E148/240000)*(F148/95))+(((P148/5500)*J148)*(S148/600)))*800/2+((E148/240000)*(F148/95)*((P148/5500)*J148)*(S148/600))*800)*(H148/1.0)/3</f>
        <v/>
      </c>
      <c r="X148" s="6" t="n">
        <v>950</v>
      </c>
      <c r="Y148">
        <f>IFERROR(W148-X148,"")</f>
        <v/>
      </c>
      <c r="Z148">
        <f>IFERROR(ABS(Y148)/MAX(X148,1),"")</f>
        <v/>
      </c>
      <c r="AA148">
        <f>IFERROR(ROUND(((3*X148-(((E148/240000)+(F148/95)+(S148/600))*800/4+((E148/240000)*(F148/95))*800/2)*(H148/1.0))/(800/4+((S148/600))*800/2+((E148/240000)*(F148/95)*(S148/600))*800)*(H148/1.0)*5500)/J148,-1),"")</f>
        <v/>
      </c>
    </row>
    <row r="149">
      <c r="B149" s="7" t="inlineStr">
        <is>
          <t xml:space="preserve">  ↳ RA2120mm</t>
        </is>
      </c>
      <c r="C149" s="7" t="inlineStr">
        <is>
          <t>Armament</t>
        </is>
      </c>
      <c r="L149" s="6" t="n">
        <v>10000</v>
      </c>
      <c r="M149" s="6" t="n">
        <v>54</v>
      </c>
      <c r="N149" s="6" t="n">
        <v>1</v>
      </c>
      <c r="O149" s="6" t="n"/>
      <c r="P149" s="6" t="n">
        <v>5374</v>
      </c>
      <c r="Q149" s="6" t="n">
        <v>1</v>
      </c>
      <c r="R149">
        <f>M149+IF(N149&gt;1,N(O149)*(N149-1),0)</f>
        <v/>
      </c>
      <c r="S149">
        <f>IFERROR(L149*MAX(N149,1)/R149*IF(ISBLANK(K148),1,K148),0)</f>
        <v/>
      </c>
      <c r="AB149" s="7" t="inlineStr">
        <is>
          <t>^Warhead_CannonHE_Medium</t>
        </is>
      </c>
    </row>
    <row r="150">
      <c r="B150" s="7" t="inlineStr">
        <is>
          <t xml:space="preserve">  ↳ RA2120mm_elite</t>
        </is>
      </c>
      <c r="C150" s="7" t="inlineStr">
        <is>
          <t>Armament@elite</t>
        </is>
      </c>
      <c r="L150" s="6" t="n">
        <v>10000</v>
      </c>
      <c r="M150" s="6" t="n">
        <v>54</v>
      </c>
      <c r="N150" s="6" t="n">
        <v>2</v>
      </c>
      <c r="O150" s="6" t="n">
        <v>3</v>
      </c>
      <c r="P150" s="6" t="n">
        <v>6374</v>
      </c>
      <c r="Q150" s="6" t="n">
        <v>1</v>
      </c>
      <c r="R150">
        <f>M150+IF(N150&gt;1,N(O150)*(N150-1),0)</f>
        <v/>
      </c>
      <c r="S150">
        <f>IFERROR(L150*MAX(N150,1)/R150*IF(ISBLANK(K148),1,K148),0)</f>
        <v/>
      </c>
      <c r="AB150" s="7" t="inlineStr">
        <is>
          <t>^Warhead_CannonHE_Medium</t>
        </is>
      </c>
    </row>
    <row r="151">
      <c r="B151" s="7" t="inlineStr">
        <is>
          <t xml:space="preserve">  ↳ RA2GattlingMG1</t>
        </is>
      </c>
      <c r="C151" s="7" t="inlineStr">
        <is>
          <t>Armament@machinegun</t>
        </is>
      </c>
      <c r="L151" s="6" t="n">
        <v>4000</v>
      </c>
      <c r="M151" s="6" t="n">
        <v>6</v>
      </c>
      <c r="N151" s="6" t="n">
        <v>1</v>
      </c>
      <c r="O151" s="6" t="n"/>
      <c r="P151" s="6" t="n">
        <v>5000</v>
      </c>
      <c r="Q151" s="6" t="n">
        <v>0.875</v>
      </c>
      <c r="R151">
        <f>M151+IF(N151&gt;1,N(O151)*(N151-1),0)</f>
        <v/>
      </c>
      <c r="S151">
        <f>IFERROR(L151*MAX(N151,1)/R151*IF(ISBLANK(K148),1,K148),0)</f>
        <v/>
      </c>
      <c r="AB151" s="7" t="inlineStr">
        <is>
          <t>^Warhead_Bullet_Light, ^Warhead_Bullet_Medium</t>
        </is>
      </c>
    </row>
    <row r="152">
      <c r="A152" t="inlineStr">
        <is>
          <t>shared</t>
        </is>
      </c>
      <c r="B152" t="inlineStr">
        <is>
          <t>ra2nacnst.infiltrated</t>
        </is>
      </c>
      <c r="C152" t="inlineStr">
        <is>
          <t>Stolen Soviet Buildings Plans</t>
        </is>
      </c>
      <c r="D152" s="6" t="inlineStr">
        <is>
          <t>ResearchedUpgrade</t>
        </is>
      </c>
      <c r="E152" s="6" t="n"/>
      <c r="F152" s="6" t="n"/>
      <c r="H152" s="6" t="n">
        <v>1</v>
      </c>
      <c r="I152" s="6" t="n">
        <v>1</v>
      </c>
      <c r="J152" s="6" t="n">
        <v>1</v>
      </c>
      <c r="K152" s="6" t="n"/>
      <c r="X152" s="6" t="n"/>
    </row>
    <row r="153">
      <c r="A153" t="inlineStr">
        <is>
          <t>shared</t>
        </is>
      </c>
      <c r="B153" t="inlineStr">
        <is>
          <t>ra2nayard</t>
        </is>
      </c>
      <c r="C153" t="inlineStr">
        <is>
          <t>Soviet Shipyard</t>
        </is>
      </c>
      <c r="D153" s="6" t="inlineStr">
        <is>
          <t>Misc</t>
        </is>
      </c>
      <c r="E153" s="6" t="n">
        <v>600000</v>
      </c>
      <c r="F153" s="6" t="n"/>
      <c r="G153" t="inlineStr">
        <is>
          <t>Concrete</t>
        </is>
      </c>
      <c r="H153" s="6" t="n">
        <v>1</v>
      </c>
      <c r="I153" s="6" t="n">
        <v>1</v>
      </c>
      <c r="J153" s="6" t="n">
        <v>1</v>
      </c>
      <c r="K153" s="6" t="n"/>
      <c r="X153" s="6" t="n">
        <v>3000</v>
      </c>
    </row>
    <row r="154">
      <c r="A154" t="inlineStr">
        <is>
          <t>shared</t>
        </is>
      </c>
      <c r="B154" t="inlineStr">
        <is>
          <t>ra2sapc</t>
        </is>
      </c>
      <c r="C154" t="inlineStr">
        <is>
          <t>Amphibious Transport</t>
        </is>
      </c>
      <c r="D154" s="6" t="inlineStr">
        <is>
          <t>Misc</t>
        </is>
      </c>
      <c r="E154" s="6" t="n">
        <v>150000</v>
      </c>
      <c r="F154" s="6" t="n">
        <v>75</v>
      </c>
      <c r="G154" t="inlineStr">
        <is>
          <t>Heavy</t>
        </is>
      </c>
      <c r="H154" s="6" t="n">
        <v>1</v>
      </c>
      <c r="I154" s="6" t="n">
        <v>1</v>
      </c>
      <c r="J154" s="6" t="n">
        <v>1</v>
      </c>
      <c r="K154" s="6" t="n"/>
      <c r="X154" s="6" t="n">
        <v>750</v>
      </c>
    </row>
    <row r="155">
      <c r="A155" t="inlineStr">
        <is>
          <t>shared</t>
        </is>
      </c>
      <c r="B155" t="inlineStr">
        <is>
          <t>ra2shk.bot</t>
        </is>
      </c>
      <c r="C155" t="inlineStr">
        <is>
          <t>Tesla Coil Charger</t>
        </is>
      </c>
      <c r="D155" s="6" t="inlineStr">
        <is>
          <t>HeavyInfantry</t>
        </is>
      </c>
      <c r="E155" s="6" t="n">
        <v>48000</v>
      </c>
      <c r="F155" s="6" t="n">
        <v>38</v>
      </c>
      <c r="G155" t="inlineStr">
        <is>
          <t>Plate</t>
        </is>
      </c>
      <c r="H155" s="6" t="n">
        <v>1</v>
      </c>
      <c r="I155" s="6" t="n">
        <v>1</v>
      </c>
      <c r="J155" s="6" t="n">
        <v>1</v>
      </c>
      <c r="K155" s="6" t="n"/>
      <c r="X155" s="6" t="n">
        <v>500</v>
      </c>
    </row>
    <row r="156">
      <c r="B156" s="7" t="inlineStr">
        <is>
          <t xml:space="preserve">  ↳ RA2TeslaCoilCharge_cosmetic</t>
        </is>
      </c>
      <c r="C156" s="7" t="inlineStr">
        <is>
          <t>Armament@TeslaCoilCharge</t>
        </is>
      </c>
      <c r="L156" s="6" t="n"/>
      <c r="M156" s="6" t="n">
        <v>100</v>
      </c>
      <c r="N156" s="6" t="n">
        <v>1</v>
      </c>
      <c r="O156" s="6" t="n"/>
      <c r="P156" s="6" t="n">
        <v>3333</v>
      </c>
      <c r="Q156" s="6" t="n">
        <v>1</v>
      </c>
      <c r="R156">
        <f>M156+IF(N156&gt;1,N(O156)*(N156-1),0)</f>
        <v/>
      </c>
      <c r="S156">
        <f>IFERROR(L156*MAX(N156,1)/R156*IF(ISBLANK(K155),1,K155),0)</f>
        <v/>
      </c>
      <c r="AB156" s="7" t="inlineStr"/>
    </row>
    <row r="157">
      <c r="A157" t="inlineStr">
        <is>
          <t>shared</t>
        </is>
      </c>
      <c r="B157" t="inlineStr">
        <is>
          <t>ra2shkhero</t>
        </is>
      </c>
      <c r="C157" t="inlineStr">
        <is>
          <t>Tesla Commando</t>
        </is>
      </c>
      <c r="D157" s="6" t="inlineStr">
        <is>
          <t>HeavyInfantry</t>
        </is>
      </c>
      <c r="E157" s="6" t="n">
        <v>45000</v>
      </c>
      <c r="F157" s="6" t="n">
        <v>38</v>
      </c>
      <c r="G157" t="inlineStr">
        <is>
          <t>Plate</t>
        </is>
      </c>
      <c r="H157" s="6" t="n">
        <v>1</v>
      </c>
      <c r="I157" s="6" t="n">
        <v>1</v>
      </c>
      <c r="J157" s="6" t="n">
        <v>1</v>
      </c>
      <c r="K157" s="6" t="n"/>
      <c r="P157">
        <f>MAX(P158,P159,P160,P161)</f>
        <v/>
      </c>
      <c r="S157">
        <f>S158+S159+S160+S161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(T157+U157+V157)/3</f>
        <v/>
      </c>
      <c r="X157" s="6" t="n">
        <v>1000</v>
      </c>
      <c r="Y157">
        <f>IFERROR(W157-X157,"")</f>
        <v/>
      </c>
      <c r="Z157">
        <f>IFERROR(ABS(Y157)/MAX(X157,1),"")</f>
        <v/>
      </c>
      <c r="AA157">
        <f>IFERROR((X157-(((E157/100000+F157/100+S157/200)*200*I157*H157)+((E157*F157/25000)*I157*H157))/3)/(((J157/5)*200*I157*H157)+((J157*S157/2.5)*I157*H157)+((E157*F157*J157*S157*I157*H157)/12500000))/3*1000,"")</f>
        <v/>
      </c>
    </row>
    <row r="158">
      <c r="B158" s="7" t="inlineStr">
        <is>
          <t xml:space="preserve">  ↳ RA2PortaTesla</t>
        </is>
      </c>
      <c r="C158" s="7" t="inlineStr">
        <is>
          <t>Armament@PRIMARY</t>
        </is>
      </c>
      <c r="L158" s="6" t="n">
        <v>24000</v>
      </c>
      <c r="M158" s="6" t="n">
        <v>100</v>
      </c>
      <c r="N158" s="6" t="n">
        <v>1</v>
      </c>
      <c r="O158" s="6" t="n"/>
      <c r="P158" s="6" t="n">
        <v>5222</v>
      </c>
      <c r="Q158" s="6" t="n">
        <v>1.25</v>
      </c>
      <c r="R158">
        <f>M158+IF(N158&gt;1,N(O158)*(N158-1),0)</f>
        <v/>
      </c>
      <c r="S158">
        <f>IFERROR(L158*MAX(N158,1)/R158*IF(ISBLANK(K157),1,K157),0)</f>
        <v/>
      </c>
      <c r="AB158" s="7" t="inlineStr">
        <is>
          <t>^Warhead_Tesla_Heavy</t>
        </is>
      </c>
    </row>
    <row r="159">
      <c r="B159" s="7" t="inlineStr">
        <is>
          <t xml:space="preserve">  ↳ RA2PortaTesla2</t>
        </is>
      </c>
      <c r="C159" s="7" t="inlineStr">
        <is>
          <t>Armament@PRIMARY2</t>
        </is>
      </c>
      <c r="L159" s="6" t="n">
        <v>24000</v>
      </c>
      <c r="M159" s="6" t="n">
        <v>100</v>
      </c>
      <c r="N159" s="6" t="n">
        <v>1</v>
      </c>
      <c r="O159" s="6" t="n"/>
      <c r="P159" s="6" t="n">
        <v>5777</v>
      </c>
      <c r="Q159" s="6" t="n">
        <v>1.25</v>
      </c>
      <c r="R159">
        <f>M159+IF(N159&gt;1,N(O159)*(N159-1),0)</f>
        <v/>
      </c>
      <c r="S159">
        <f>IFERROR(L159*MAX(N159,1)/R159*IF(ISBLANK(K157),1,K157),0)</f>
        <v/>
      </c>
      <c r="AB159" s="7" t="inlineStr">
        <is>
          <t>^Warhead_Tesla_Heavy</t>
        </is>
      </c>
    </row>
    <row r="160">
      <c r="B160" s="7" t="inlineStr">
        <is>
          <t xml:space="preserve">  ↳ RA2PortaTesla3</t>
        </is>
      </c>
      <c r="C160" s="7" t="inlineStr">
        <is>
          <t>Armament@PRIMARY3</t>
        </is>
      </c>
      <c r="L160" s="6" t="n">
        <v>24000</v>
      </c>
      <c r="M160" s="6" t="n">
        <v>100</v>
      </c>
      <c r="N160" s="6" t="n">
        <v>1</v>
      </c>
      <c r="O160" s="6" t="n"/>
      <c r="P160" s="6" t="n">
        <v>6222</v>
      </c>
      <c r="Q160" s="6" t="n">
        <v>1.25</v>
      </c>
      <c r="R160">
        <f>M160+IF(N160&gt;1,N(O160)*(N160-1),0)</f>
        <v/>
      </c>
      <c r="S160">
        <f>IFERROR(L160*MAX(N160,1)/R160*IF(ISBLANK(K157),1,K157),0)</f>
        <v/>
      </c>
      <c r="AB160" s="7" t="inlineStr">
        <is>
          <t>^Warhead_Tesla_Heavy</t>
        </is>
      </c>
    </row>
    <row r="161">
      <c r="B161" s="7" t="inlineStr">
        <is>
          <t xml:space="preserve">  ↳ RA2TeslaCoilCharge</t>
        </is>
      </c>
      <c r="C161" s="7" t="inlineStr">
        <is>
          <t>Armament@TeslaCoilCharge</t>
        </is>
      </c>
      <c r="L161" s="6" t="n">
        <v>-1</v>
      </c>
      <c r="M161" s="6" t="n">
        <v>25</v>
      </c>
      <c r="N161" s="6" t="n">
        <v>1</v>
      </c>
      <c r="O161" s="6" t="n"/>
      <c r="P161" s="6" t="n">
        <v>3333</v>
      </c>
      <c r="Q161" s="6" t="n">
        <v>1</v>
      </c>
      <c r="R161">
        <f>M161+IF(N161&gt;1,N(O161)*(N161-1),0)</f>
        <v/>
      </c>
      <c r="S161">
        <f>IFERROR(L161*MAX(N161,1)/R161*IF(ISBLANK(K157),1,K157),0)</f>
        <v/>
      </c>
      <c r="AB161" s="7" t="inlineStr"/>
    </row>
    <row r="162">
      <c r="B162" s="7" t="inlineStr">
        <is>
          <t xml:space="preserve">  ↳ RA2PortaTesla</t>
        </is>
      </c>
      <c r="C162" s="7" t="inlineStr">
        <is>
          <t>Armament@GARRISONED</t>
        </is>
      </c>
      <c r="L162" s="6" t="n">
        <v>24000</v>
      </c>
      <c r="M162" s="6" t="n">
        <v>100</v>
      </c>
      <c r="N162" s="6" t="n">
        <v>1</v>
      </c>
      <c r="O162" s="6" t="n"/>
      <c r="P162" s="6" t="n">
        <v>5222</v>
      </c>
      <c r="Q162" s="6" t="n">
        <v>1.25</v>
      </c>
      <c r="R162">
        <f>M162+IF(N162&gt;1,N(O162)*(N162-1),0)</f>
        <v/>
      </c>
      <c r="S162">
        <f>IFERROR(L162*MAX(N162,1)/R162*IF(ISBLANK(K157),1,K157),0)</f>
        <v/>
      </c>
      <c r="AB162" s="7" t="inlineStr">
        <is>
          <t>^Warhead_Tesla_Heavy</t>
        </is>
      </c>
    </row>
    <row r="163">
      <c r="B163" s="7" t="inlineStr">
        <is>
          <t xml:space="preserve">  ↳ RA2PortaTesla2</t>
        </is>
      </c>
      <c r="C163" s="7" t="inlineStr">
        <is>
          <t>Armament@GARRISONED2</t>
        </is>
      </c>
      <c r="L163" s="6" t="n">
        <v>24000</v>
      </c>
      <c r="M163" s="6" t="n">
        <v>100</v>
      </c>
      <c r="N163" s="6" t="n">
        <v>1</v>
      </c>
      <c r="O163" s="6" t="n"/>
      <c r="P163" s="6" t="n">
        <v>5777</v>
      </c>
      <c r="Q163" s="6" t="n">
        <v>1.25</v>
      </c>
      <c r="R163">
        <f>M163+IF(N163&gt;1,N(O163)*(N163-1),0)</f>
        <v/>
      </c>
      <c r="S163">
        <f>IFERROR(L163*MAX(N163,1)/R163*IF(ISBLANK(K157),1,K157),0)</f>
        <v/>
      </c>
      <c r="AB163" s="7" t="inlineStr">
        <is>
          <t>^Warhead_Tesla_Heavy</t>
        </is>
      </c>
    </row>
    <row r="164">
      <c r="B164" s="7" t="inlineStr">
        <is>
          <t xml:space="preserve">  ↳ RA2PortaTesla3</t>
        </is>
      </c>
      <c r="C164" s="7" t="inlineStr">
        <is>
          <t>Armament@GARRISONED3</t>
        </is>
      </c>
      <c r="L164" s="6" t="n">
        <v>24000</v>
      </c>
      <c r="M164" s="6" t="n">
        <v>100</v>
      </c>
      <c r="N164" s="6" t="n">
        <v>1</v>
      </c>
      <c r="O164" s="6" t="n"/>
      <c r="P164" s="6" t="n">
        <v>6222</v>
      </c>
      <c r="Q164" s="6" t="n">
        <v>1.25</v>
      </c>
      <c r="R164">
        <f>M164+IF(N164&gt;1,N(O164)*(N164-1),0)</f>
        <v/>
      </c>
      <c r="S164">
        <f>IFERROR(L164*MAX(N164,1)/R164*IF(ISBLANK(K157),1,K157),0)</f>
        <v/>
      </c>
      <c r="AB164" s="7" t="inlineStr">
        <is>
          <t>^Warhead_Tesla_Heavy</t>
        </is>
      </c>
    </row>
    <row r="165">
      <c r="B165" s="7" t="inlineStr">
        <is>
          <t xml:space="preserve">  ↳ GenericC4</t>
        </is>
      </c>
      <c r="C165" s="7" t="inlineStr">
        <is>
          <t>Armament@c4building</t>
        </is>
      </c>
      <c r="L165" s="6" t="n"/>
      <c r="M165" s="6" t="n">
        <v>20</v>
      </c>
      <c r="N165" s="6" t="n">
        <v>1</v>
      </c>
      <c r="O165" s="6" t="n"/>
      <c r="P165" s="6" t="n">
        <v>2000</v>
      </c>
      <c r="Q165" s="6" t="n">
        <v>1</v>
      </c>
      <c r="R165">
        <f>M165+IF(N165&gt;1,N(O165)*(N165-1),0)</f>
        <v/>
      </c>
      <c r="S165">
        <f>IFERROR(L165*MAX(N165,1)/R165*IF(ISBLANK(K157),1,K157),0)</f>
        <v/>
      </c>
      <c r="AB165" s="7" t="inlineStr"/>
    </row>
    <row r="166">
      <c r="A166" t="inlineStr">
        <is>
          <t>shared</t>
        </is>
      </c>
      <c r="B166" t="inlineStr">
        <is>
          <t>ra2sidewind</t>
        </is>
      </c>
      <c r="C166" t="inlineStr">
        <is>
          <t>Sidewinder</t>
        </is>
      </c>
      <c r="D166" s="6" t="inlineStr">
        <is>
          <t>AntiTankAntiAirInfantry</t>
        </is>
      </c>
      <c r="E166" s="6" t="n">
        <v>15000</v>
      </c>
      <c r="F166" s="6" t="n">
        <v>45</v>
      </c>
      <c r="G166" t="inlineStr">
        <is>
          <t>Flak</t>
        </is>
      </c>
      <c r="H166" s="6" t="n">
        <v>1</v>
      </c>
      <c r="I166" s="6" t="n">
        <v>1</v>
      </c>
      <c r="J166" s="6" t="n">
        <v>1</v>
      </c>
      <c r="K166" s="6" t="n"/>
      <c r="P166">
        <f>MAX(P167,P169)</f>
        <v/>
      </c>
      <c r="S166">
        <f>S167+S169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300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RA2GIRocketsG</t>
        </is>
      </c>
      <c r="C167" s="7" t="inlineStr">
        <is>
          <t>Armament@PRIMARY</t>
        </is>
      </c>
      <c r="L167" s="6" t="n">
        <v>24000</v>
      </c>
      <c r="M167" s="6" t="n">
        <v>45</v>
      </c>
      <c r="N167" s="6" t="n">
        <v>1</v>
      </c>
      <c r="O167" s="6" t="n"/>
      <c r="P167" s="6" t="n">
        <v>6567</v>
      </c>
      <c r="Q167" s="6" t="n">
        <v>0.75</v>
      </c>
      <c r="R167">
        <f>M167+IF(N167&gt;1,N(O167)*(N167-1),0)</f>
        <v/>
      </c>
      <c r="S167">
        <f>IFERROR(L167*MAX(N167,1)/R167*IF(ISBLANK(K166),1,K166),0)</f>
        <v/>
      </c>
      <c r="AB167" s="7" t="inlineStr">
        <is>
          <t>^Warhead_MissileAP_Light</t>
        </is>
      </c>
    </row>
    <row r="168">
      <c r="B168" s="7" t="inlineStr">
        <is>
          <t xml:space="preserve">  ↳ RA2GIRocketsG</t>
        </is>
      </c>
      <c r="C168" s="7" t="inlineStr">
        <is>
          <t>Armament@GARRISONED</t>
        </is>
      </c>
      <c r="L168" s="6" t="n">
        <v>24000</v>
      </c>
      <c r="M168" s="6" t="n">
        <v>45</v>
      </c>
      <c r="N168" s="6" t="n">
        <v>1</v>
      </c>
      <c r="O168" s="6" t="n"/>
      <c r="P168" s="6" t="n">
        <v>6567</v>
      </c>
      <c r="Q168" s="6" t="n">
        <v>0.75</v>
      </c>
      <c r="R168">
        <f>M168+IF(N168&gt;1,N(O168)*(N168-1),0)</f>
        <v/>
      </c>
      <c r="S168">
        <f>IFERROR(L168*MAX(N168,1)/R168*IF(ISBLANK(K166),1,K166),0)</f>
        <v/>
      </c>
      <c r="AB168" s="7" t="inlineStr">
        <is>
          <t>^Warhead_MissileAP_Light</t>
        </is>
      </c>
    </row>
    <row r="169">
      <c r="B169" s="7" t="inlineStr">
        <is>
          <t xml:space="preserve">  ↳ RA2GIRocketsG_elite</t>
        </is>
      </c>
      <c r="C169" s="7" t="inlineStr">
        <is>
          <t>Armament@PRIMARYE</t>
        </is>
      </c>
      <c r="L169" s="6" t="n">
        <v>48000</v>
      </c>
      <c r="M169" s="6" t="n">
        <v>45</v>
      </c>
      <c r="N169" s="6" t="n">
        <v>1</v>
      </c>
      <c r="O169" s="6" t="n"/>
      <c r="P169" s="6" t="n">
        <v>7567</v>
      </c>
      <c r="Q169" s="6" t="n">
        <v>0.75</v>
      </c>
      <c r="R169">
        <f>M169+IF(N169&gt;1,N(O169)*(N169-1),0)</f>
        <v/>
      </c>
      <c r="S169">
        <f>IFERROR(L169*MAX(N169,1)/R169*IF(ISBLANK(K166),1,K166),0)</f>
        <v/>
      </c>
      <c r="AB169" s="7" t="inlineStr">
        <is>
          <t>^Warhead_MissileAP_Light</t>
        </is>
      </c>
    </row>
    <row r="170">
      <c r="B170" s="7" t="inlineStr">
        <is>
          <t xml:space="preserve">  ↳ RA2GIRocketsG_elite</t>
        </is>
      </c>
      <c r="C170" s="7" t="inlineStr">
        <is>
          <t>Armament@GARRISONEDE</t>
        </is>
      </c>
      <c r="L170" s="6" t="n">
        <v>48000</v>
      </c>
      <c r="M170" s="6" t="n">
        <v>45</v>
      </c>
      <c r="N170" s="6" t="n">
        <v>1</v>
      </c>
      <c r="O170" s="6" t="n"/>
      <c r="P170" s="6" t="n">
        <v>7567</v>
      </c>
      <c r="Q170" s="6" t="n">
        <v>0.75</v>
      </c>
      <c r="R170">
        <f>M170+IF(N170&gt;1,N(O170)*(N170-1),0)</f>
        <v/>
      </c>
      <c r="S170">
        <f>IFERROR(L170*MAX(N170,1)/R170*IF(ISBLANK(K166),1,K166),0)</f>
        <v/>
      </c>
      <c r="AB170" s="7" t="inlineStr">
        <is>
          <t>^Warhead_MissileAP_Light</t>
        </is>
      </c>
    </row>
    <row r="171">
      <c r="A171" t="inlineStr">
        <is>
          <t>shared</t>
        </is>
      </c>
      <c r="B171" t="inlineStr">
        <is>
          <t>ra2sqd</t>
        </is>
      </c>
      <c r="C171" t="inlineStr">
        <is>
          <t>actor_sqd.name</t>
        </is>
      </c>
      <c r="D171" s="6" t="inlineStr">
        <is>
          <t>ScoutShip</t>
        </is>
      </c>
      <c r="E171" s="6" t="n">
        <v>30000</v>
      </c>
      <c r="F171" s="6" t="n">
        <v>120</v>
      </c>
      <c r="G171" t="inlineStr">
        <is>
          <t>Medium</t>
        </is>
      </c>
      <c r="H171" s="6" t="n">
        <v>1</v>
      </c>
      <c r="I171" s="6" t="n">
        <v>1</v>
      </c>
      <c r="J171" s="6" t="n">
        <v>1</v>
      </c>
      <c r="K171" s="6" t="n"/>
      <c r="P171">
        <f>MAX(P172)</f>
        <v/>
      </c>
      <c r="S171">
        <f>S172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(T171+U171+V171)/3</f>
        <v/>
      </c>
      <c r="X171" s="6" t="n">
        <v>1000</v>
      </c>
      <c r="Y171">
        <f>IFERROR(W171-X171,"")</f>
        <v/>
      </c>
      <c r="Z171">
        <f>IFERROR(ABS(Y171)/MAX(X171,1),"")</f>
        <v/>
      </c>
      <c r="AA171">
        <f>IFERROR((X171-(((E171/100000+F171/100+S171/200)*200*I171*H171)+((E171*F171/25000)*I171*H171))/3)/(((J171/5)*200*I171*H171)+((J171*S171/2.5)*I171*H171)+((E171*F171*J171*S171*I171*H171)/12500000))/3*1000,"")</f>
        <v/>
      </c>
    </row>
    <row r="172">
      <c r="B172" s="7" t="inlineStr">
        <is>
          <t xml:space="preserve">  ↳ SquidPunch</t>
        </is>
      </c>
      <c r="C172" s="7" t="inlineStr">
        <is>
          <t>Armament@PRIMARY</t>
        </is>
      </c>
      <c r="L172" s="6" t="n">
        <v>10000</v>
      </c>
      <c r="M172" s="6" t="n">
        <v>32</v>
      </c>
      <c r="N172" s="6" t="n">
        <v>1</v>
      </c>
      <c r="O172" s="6" t="n"/>
      <c r="P172" s="6" t="n">
        <v>1880</v>
      </c>
      <c r="Q172" s="6" t="n">
        <v>1</v>
      </c>
      <c r="R172">
        <f>M172+IF(N172&gt;1,N(O172)*(N172-1),0)</f>
        <v/>
      </c>
      <c r="S172">
        <f>IFERROR(L172*MAX(N172,1)/R172*IF(ISBLANK(K171),1,K171),0)</f>
        <v/>
      </c>
      <c r="AB172" s="7" t="inlineStr"/>
    </row>
    <row r="173">
      <c r="B173" s="7" t="inlineStr">
        <is>
          <t xml:space="preserve">  ↳ SquidGrab</t>
        </is>
      </c>
      <c r="C173" s="7" t="inlineStr">
        <is>
          <t>Armament@SECONDARY</t>
        </is>
      </c>
      <c r="L173" s="6" t="n"/>
      <c r="M173" s="6" t="n">
        <v>32</v>
      </c>
      <c r="N173" s="6" t="n">
        <v>1</v>
      </c>
      <c r="O173" s="6" t="n"/>
      <c r="P173" s="6" t="n">
        <v>1880</v>
      </c>
      <c r="Q173" s="6" t="n">
        <v>1</v>
      </c>
      <c r="R173">
        <f>M173+IF(N173&gt;1,N(O173)*(N173-1),0)</f>
        <v/>
      </c>
      <c r="S173">
        <f>IFERROR(L173*MAX(N173,1)/R173*IF(ISBLANK(K171),1,K171),0)</f>
        <v/>
      </c>
      <c r="AB173" s="7" t="inlineStr"/>
    </row>
    <row r="174">
      <c r="A174" t="inlineStr">
        <is>
          <t>shared</t>
        </is>
      </c>
      <c r="B174" t="inlineStr">
        <is>
          <t>ra2sub</t>
        </is>
      </c>
      <c r="C174" t="inlineStr">
        <is>
          <t>actor_ra2sub.name</t>
        </is>
      </c>
      <c r="D174" s="6" t="inlineStr">
        <is>
          <t>ScoutShip</t>
        </is>
      </c>
      <c r="E174" s="6" t="n">
        <v>120000</v>
      </c>
      <c r="F174" s="6" t="n">
        <v>90</v>
      </c>
      <c r="G174" t="inlineStr">
        <is>
          <t>Heavy</t>
        </is>
      </c>
      <c r="H174" s="6" t="n">
        <v>1</v>
      </c>
      <c r="I174" s="6" t="n">
        <v>1</v>
      </c>
      <c r="J174" s="6" t="n">
        <v>1</v>
      </c>
      <c r="K174" s="6" t="n"/>
      <c r="P174">
        <f>MAX(P175,P176)</f>
        <v/>
      </c>
      <c r="S174">
        <f>S175+S176</f>
        <v/>
      </c>
      <c r="T174">
        <f>(E174/100000+F174/100+(P174/1000)*J174/5+S174/200)*200*I174*H174</f>
        <v/>
      </c>
      <c r="U174">
        <f>((E174*F174/25000)+((P174/1000)*J174*S174/2.5))*I174*H174</f>
        <v/>
      </c>
      <c r="V174">
        <f>(E174*F174*(P174/1000)*J174*S174*I174*H174)/12500000</f>
        <v/>
      </c>
      <c r="W174">
        <f>(T174+U174+V174)/3</f>
        <v/>
      </c>
      <c r="X174" s="6" t="n">
        <v>1500</v>
      </c>
      <c r="Y174">
        <f>IFERROR(W174-X174,"")</f>
        <v/>
      </c>
      <c r="Z174">
        <f>IFERROR(ABS(Y174)/MAX(X174,1),"")</f>
        <v/>
      </c>
      <c r="AA174">
        <f>IFERROR((X174-(((E174/100000+F174/100+S174/200)*200*I174*H174)+((E174*F174/25000)*I174*H174))/3)/(((J174/5)*200*I174*H174)+((J174*S174/2.5)*I174*H174)+((E174*F174*J174*S174*I174*H174)/12500000))/3*1000,"")</f>
        <v/>
      </c>
    </row>
    <row r="175">
      <c r="B175" s="7" t="inlineStr">
        <is>
          <t xml:space="preserve">  ↳ RA2TorpTube</t>
        </is>
      </c>
      <c r="C175" s="7" t="inlineStr">
        <is>
          <t>Armament@PRIMARY</t>
        </is>
      </c>
      <c r="L175" s="6" t="n">
        <v>36000</v>
      </c>
      <c r="M175" s="6" t="n">
        <v>90</v>
      </c>
      <c r="N175" s="6" t="n">
        <v>1</v>
      </c>
      <c r="O175" s="6" t="n"/>
      <c r="P175" s="6" t="n">
        <v>9000</v>
      </c>
      <c r="Q175" s="6" t="n">
        <v>1</v>
      </c>
      <c r="R175">
        <f>M175+IF(N175&gt;1,N(O175)*(N175-1),0)</f>
        <v/>
      </c>
      <c r="S175">
        <f>IFERROR(L175*MAX(N175,1)/R175*IF(ISBLANK(K174),1,K174),0)</f>
        <v/>
      </c>
      <c r="AB175" s="7" t="inlineStr">
        <is>
          <t>^Warhead_Demolition_Light, ^Warhead_MissileAP_Heavy</t>
        </is>
      </c>
    </row>
    <row r="176">
      <c r="B176" s="7" t="inlineStr">
        <is>
          <t xml:space="preserve">  ↳ RA2TorpTube_elite</t>
        </is>
      </c>
      <c r="C176" s="7" t="inlineStr">
        <is>
          <t>Armament@ELITE</t>
        </is>
      </c>
      <c r="L176" s="6" t="n">
        <v>36000</v>
      </c>
      <c r="M176" s="6" t="n">
        <v>90</v>
      </c>
      <c r="N176" s="6" t="n">
        <v>2</v>
      </c>
      <c r="O176" s="6" t="n">
        <v>3</v>
      </c>
      <c r="P176" s="6" t="n">
        <v>10000</v>
      </c>
      <c r="Q176" s="6" t="n">
        <v>1</v>
      </c>
      <c r="R176">
        <f>M176+IF(N176&gt;1,N(O176)*(N176-1),0)</f>
        <v/>
      </c>
      <c r="S176">
        <f>IFERROR(L176*MAX(N176,1)/R176*IF(ISBLANK(K174),1,K174),0)</f>
        <v/>
      </c>
      <c r="AB176" s="7" t="inlineStr">
        <is>
          <t>^Warhead_Demolition_Light, ^Warhead_MissileAP_Heavy</t>
        </is>
      </c>
    </row>
    <row r="177">
      <c r="A177" t="inlineStr">
        <is>
          <t>shared</t>
        </is>
      </c>
      <c r="B177" t="inlineStr">
        <is>
          <t>upra2aegismissiles</t>
        </is>
      </c>
      <c r="C177" t="inlineStr">
        <is>
          <t>Aegis Cruiser Ground Missiles</t>
        </is>
      </c>
      <c r="D177" s="6" t="inlineStr">
        <is>
          <t>ResearchedUpgrade</t>
        </is>
      </c>
      <c r="E177" s="6" t="n"/>
      <c r="F177" s="6" t="n"/>
      <c r="H177" s="6" t="n">
        <v>1</v>
      </c>
      <c r="I177" s="6" t="n">
        <v>1</v>
      </c>
      <c r="J177" s="6" t="n">
        <v>1</v>
      </c>
      <c r="K177" s="6" t="n"/>
      <c r="X177" s="6" t="n">
        <v>4000</v>
      </c>
    </row>
    <row r="178">
      <c r="A178" t="inlineStr">
        <is>
          <t>shared</t>
        </is>
      </c>
      <c r="B178" t="inlineStr">
        <is>
          <t>yrbpln</t>
        </is>
      </c>
      <c r="C178" t="inlineStr">
        <is>
          <t>MiG Bomber</t>
        </is>
      </c>
      <c r="D178" s="6" t="inlineStr">
        <is>
          <t>Bomber</t>
        </is>
      </c>
      <c r="E178" s="6" t="n">
        <v>100000</v>
      </c>
      <c r="F178" s="6" t="n">
        <v>250</v>
      </c>
      <c r="G178" t="inlineStr">
        <is>
          <t>Bomber</t>
        </is>
      </c>
      <c r="H178" s="6" t="n">
        <v>1</v>
      </c>
      <c r="I178" s="6" t="n">
        <v>1</v>
      </c>
      <c r="J178" s="6" t="n">
        <v>1</v>
      </c>
      <c r="K178" s="6" t="n">
        <v>0.0125</v>
      </c>
      <c r="P178">
        <f>MAX(P179,P180,P181,P182)</f>
        <v/>
      </c>
      <c r="S178">
        <f>S179+S180+S181+S182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5000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MigMissiles</t>
        </is>
      </c>
      <c r="C179" s="7" t="inlineStr">
        <is>
          <t>Armament</t>
        </is>
      </c>
      <c r="L179" s="6" t="n">
        <v>32000</v>
      </c>
      <c r="M179" s="6" t="n">
        <v>50</v>
      </c>
      <c r="N179" s="6" t="n">
        <v>4</v>
      </c>
      <c r="O179" s="6" t="n">
        <v>2</v>
      </c>
      <c r="P179" s="6" t="n">
        <v>7600</v>
      </c>
      <c r="Q179" s="6" t="n">
        <v>1</v>
      </c>
      <c r="R179">
        <f>M179+IF(N179&gt;1,N(O179)*(N179-1),0)</f>
        <v/>
      </c>
      <c r="S179">
        <f>IFERROR(L179*MAX(N179,1)/R179*IF(ISBLANK(K178),1,K178),0)</f>
        <v/>
      </c>
      <c r="AB179" s="7" t="inlineStr">
        <is>
          <t>^Warhead_MissileAP_Medium</t>
        </is>
      </c>
    </row>
    <row r="180">
      <c r="B180" s="7" t="inlineStr">
        <is>
          <t xml:space="preserve">  ↳ MigMissiles_rad</t>
        </is>
      </c>
      <c r="C180" s="7" t="inlineStr">
        <is>
          <t>Armament@rad</t>
        </is>
      </c>
      <c r="L180" s="6" t="n">
        <v>36000</v>
      </c>
      <c r="M180" s="6" t="n">
        <v>50</v>
      </c>
      <c r="N180" s="6" t="n">
        <v>4</v>
      </c>
      <c r="O180" s="6" t="n">
        <v>2</v>
      </c>
      <c r="P180" s="6" t="n">
        <v>7600</v>
      </c>
      <c r="Q180" s="6" t="n">
        <v>1</v>
      </c>
      <c r="R180">
        <f>M180+IF(N180&gt;1,N(O180)*(N180-1),0)</f>
        <v/>
      </c>
      <c r="S180">
        <f>IFERROR(L180*MAX(N180,1)/R180*IF(ISBLANK(K178),1,K178),0)</f>
        <v/>
      </c>
      <c r="AB180" s="7" t="inlineStr">
        <is>
          <t>^Warhead_Chemical_Medium, ^Warhead_MissileAP_Medium</t>
        </is>
      </c>
    </row>
    <row r="181">
      <c r="B181" s="7" t="inlineStr">
        <is>
          <t xml:space="preserve">  ↳ MigMissiles_fire</t>
        </is>
      </c>
      <c r="C181" s="7" t="inlineStr">
        <is>
          <t>Armament@fire</t>
        </is>
      </c>
      <c r="L181" s="6" t="n">
        <v>32000</v>
      </c>
      <c r="M181" s="6" t="n">
        <v>50</v>
      </c>
      <c r="N181" s="6" t="n">
        <v>4</v>
      </c>
      <c r="O181" s="6" t="n">
        <v>2</v>
      </c>
      <c r="P181" s="6" t="n">
        <v>7600</v>
      </c>
      <c r="Q181" s="6" t="n">
        <v>1</v>
      </c>
      <c r="R181">
        <f>M181+IF(N181&gt;1,N(O181)*(N181-1),0)</f>
        <v/>
      </c>
      <c r="S181">
        <f>IFERROR(L181*MAX(N181,1)/R181*IF(ISBLANK(K178),1,K178),0)</f>
        <v/>
      </c>
      <c r="AB181" s="7" t="inlineStr">
        <is>
          <t>^Warhead_MissileAP_Medium</t>
        </is>
      </c>
    </row>
    <row r="182">
      <c r="B182" s="7" t="inlineStr">
        <is>
          <t xml:space="preserve">  ↳ MigMissiles_tesla</t>
        </is>
      </c>
      <c r="C182" s="7" t="inlineStr">
        <is>
          <t>Armament@tesla</t>
        </is>
      </c>
      <c r="L182" s="6" t="n">
        <v>32000</v>
      </c>
      <c r="M182" s="6" t="n">
        <v>50</v>
      </c>
      <c r="N182" s="6" t="n">
        <v>4</v>
      </c>
      <c r="O182" s="6" t="n">
        <v>2</v>
      </c>
      <c r="P182" s="6" t="n">
        <v>7600</v>
      </c>
      <c r="Q182" s="6" t="n">
        <v>1</v>
      </c>
      <c r="R182">
        <f>M182+IF(N182&gt;1,N(O182)*(N182-1),0)</f>
        <v/>
      </c>
      <c r="S182">
        <f>IFERROR(L182*MAX(N182,1)/R182*IF(ISBLANK(K178),1,K178),0)</f>
        <v/>
      </c>
      <c r="AB182" s="7" t="inlineStr">
        <is>
          <t>^Warhead_MissileAP_Medium</t>
        </is>
      </c>
    </row>
    <row r="183">
      <c r="A183" t="inlineStr">
        <is>
          <t>shared</t>
        </is>
      </c>
      <c r="B183" t="inlineStr">
        <is>
          <t>yrhovr</t>
        </is>
      </c>
      <c r="C183" t="inlineStr">
        <is>
          <t>Hover Transport</t>
        </is>
      </c>
      <c r="D183" s="6" t="inlineStr">
        <is>
          <t>Misc</t>
        </is>
      </c>
      <c r="E183" s="6" t="n">
        <v>150000</v>
      </c>
      <c r="F183" s="6" t="n">
        <v>75</v>
      </c>
      <c r="G183" t="inlineStr">
        <is>
          <t>Heavy</t>
        </is>
      </c>
      <c r="H183" s="6" t="n">
        <v>1</v>
      </c>
      <c r="I183" s="6" t="n">
        <v>1</v>
      </c>
      <c r="J183" s="6" t="n">
        <v>1</v>
      </c>
      <c r="K183" s="6" t="n"/>
      <c r="X183" s="6" t="n">
        <v>750</v>
      </c>
    </row>
    <row r="184">
      <c r="A184" t="inlineStr">
        <is>
          <t>shared</t>
        </is>
      </c>
      <c r="B184" t="inlineStr">
        <is>
          <t>yrnacnst.infiltrated</t>
        </is>
      </c>
      <c r="C184" t="inlineStr">
        <is>
          <t>Stolen Yuri Buildings Plans</t>
        </is>
      </c>
      <c r="D184" s="6" t="inlineStr">
        <is>
          <t>ResearchedUpgrade</t>
        </is>
      </c>
      <c r="E184" s="6" t="n"/>
      <c r="F184" s="6" t="n"/>
      <c r="H184" s="6" t="n">
        <v>1</v>
      </c>
      <c r="I184" s="6" t="n">
        <v>1</v>
      </c>
      <c r="J184" s="6" t="n">
        <v>1</v>
      </c>
      <c r="K184" s="6" t="n"/>
      <c r="X184" s="6" t="n"/>
    </row>
    <row r="185">
      <c r="A185" t="inlineStr">
        <is>
          <t>shared</t>
        </is>
      </c>
      <c r="B185" t="inlineStr">
        <is>
          <t>yrrobo</t>
        </is>
      </c>
      <c r="C185" t="inlineStr">
        <is>
          <t>Robot Tank</t>
        </is>
      </c>
      <c r="D185" s="6" t="inlineStr">
        <is>
          <t>MainBattleTank</t>
        </is>
      </c>
      <c r="E185" s="6" t="n">
        <v>50000</v>
      </c>
      <c r="F185" s="6" t="n">
        <v>130</v>
      </c>
      <c r="G185" t="inlineStr">
        <is>
          <t>Medium</t>
        </is>
      </c>
      <c r="H185" s="6" t="n">
        <v>1</v>
      </c>
      <c r="I185" s="6" t="n">
        <v>1</v>
      </c>
      <c r="J185" s="6" t="n">
        <v>1</v>
      </c>
      <c r="K185" s="6" t="n"/>
      <c r="P185">
        <f>MAX(P186,P187)</f>
        <v/>
      </c>
      <c r="S185">
        <f>S186+S187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(((E185/240000)+(F185/95)+(S185/600)+((P185/5500)*J185))*800/4+(((E185/240000)*(F185/95))+(((P185/5500)*J185)*(S185/600)))*800/2+((E185/240000)*(F185/95)*((P185/5500)*J185)*(S185/600))*800)*(H185/1.0)/3</f>
        <v/>
      </c>
      <c r="X185" s="6" t="n">
        <v>1200</v>
      </c>
      <c r="Y185">
        <f>IFERROR(W185-X185,"")</f>
        <v/>
      </c>
      <c r="Z185">
        <f>IFERROR(ABS(Y185)/MAX(X185,1),"")</f>
        <v/>
      </c>
      <c r="AA185">
        <f>IFERROR(ROUND(((3*X185-(((E185/240000)+(F185/95)+(S185/600))*800/4+((E185/240000)*(F185/95))*800/2)*(H185/1.0))/(800/4+((S185/600))*800/2+((E185/240000)*(F185/95)*(S185/600))*800)*(H185/1.0)*5500)/J185,-1),"")</f>
        <v/>
      </c>
    </row>
    <row r="186">
      <c r="B186" s="7" t="inlineStr">
        <is>
          <t xml:space="preserve">  ↳ RA2Robotmm</t>
        </is>
      </c>
      <c r="C186" s="7" t="inlineStr">
        <is>
          <t>Armament</t>
        </is>
      </c>
      <c r="L186" s="6" t="n">
        <v>24000</v>
      </c>
      <c r="M186" s="6" t="n">
        <v>48</v>
      </c>
      <c r="N186" s="6" t="n">
        <v>1</v>
      </c>
      <c r="O186" s="6" t="n"/>
      <c r="P186" s="6" t="n">
        <v>5780</v>
      </c>
      <c r="Q186" s="6" t="n">
        <v>1</v>
      </c>
      <c r="R186">
        <f>M186+IF(N186&gt;1,N(O186)*(N186-1),0)</f>
        <v/>
      </c>
      <c r="S186">
        <f>IFERROR(L186*MAX(N186,1)/R186*IF(ISBLANK(K185),1,K185),0)</f>
        <v/>
      </c>
      <c r="AB186" s="7" t="inlineStr">
        <is>
          <t>^Warhead_Tesla_Heavy, ^Warhead_Laser_Heavy, ^Warhead_Railgun_Heavy</t>
        </is>
      </c>
    </row>
    <row r="187">
      <c r="B187" s="7" t="inlineStr">
        <is>
          <t xml:space="preserve">  ↳ RA2Robotmm_elite</t>
        </is>
      </c>
      <c r="C187" s="7" t="inlineStr">
        <is>
          <t>Armament@elite</t>
        </is>
      </c>
      <c r="L187" s="6" t="n">
        <v>24000</v>
      </c>
      <c r="M187" s="6" t="n">
        <v>48</v>
      </c>
      <c r="N187" s="6" t="n">
        <v>1</v>
      </c>
      <c r="O187" s="6" t="n"/>
      <c r="P187" s="6" t="n">
        <v>6780</v>
      </c>
      <c r="Q187" s="6" t="n">
        <v>1</v>
      </c>
      <c r="R187">
        <f>M187+IF(N187&gt;1,N(O187)*(N187-1),0)</f>
        <v/>
      </c>
      <c r="S187">
        <f>IFERROR(L187*MAX(N187,1)/R187*IF(ISBLANK(K185),1,K185),0)</f>
        <v/>
      </c>
      <c r="AB187" s="7" t="inlineStr">
        <is>
          <t>^Warhead_Tesla_Heavy, ^Warhead_Laser_Heavy, ^Warhead_Railgun_Heavy</t>
        </is>
      </c>
    </row>
    <row r="188">
      <c r="A188" t="inlineStr">
        <is>
          <t>shared</t>
        </is>
      </c>
      <c r="B188" t="inlineStr">
        <is>
          <t>yrspyp</t>
        </is>
      </c>
      <c r="C188" t="inlineStr">
        <is>
          <t>Spy Plane</t>
        </is>
      </c>
      <c r="D188" s="6" t="inlineStr">
        <is>
          <t>Misc</t>
        </is>
      </c>
      <c r="E188" s="6" t="n">
        <v>150000</v>
      </c>
      <c r="F188" s="6" t="n">
        <v>250</v>
      </c>
      <c r="G188" t="inlineStr">
        <is>
          <t>Bomber</t>
        </is>
      </c>
      <c r="H188" s="6" t="n">
        <v>1</v>
      </c>
      <c r="I188" s="6" t="n">
        <v>1</v>
      </c>
      <c r="J188" s="6" t="n">
        <v>1</v>
      </c>
      <c r="K188" s="6" t="n"/>
      <c r="X188" s="6" t="n">
        <v>5000</v>
      </c>
    </row>
    <row r="189">
      <c r="B189" s="7" t="inlineStr">
        <is>
          <t xml:space="preserve">  ↳ RA2SpyCamera</t>
        </is>
      </c>
      <c r="C189" s="7" t="inlineStr">
        <is>
          <t>Armament</t>
        </is>
      </c>
      <c r="L189" s="6" t="n"/>
      <c r="M189" s="6" t="n">
        <v>25</v>
      </c>
      <c r="N189" s="6" t="n">
        <v>1</v>
      </c>
      <c r="O189" s="6" t="n"/>
      <c r="P189" s="6" t="n">
        <v>12288</v>
      </c>
      <c r="Q189" s="6" t="n">
        <v>1</v>
      </c>
      <c r="R189">
        <f>M189+IF(N189&gt;1,N(O189)*(N189-1),0)</f>
        <v/>
      </c>
      <c r="S189">
        <f>IFERROR(L189*MAX(N189,1)/R189*IF(ISBLANK(K188),1,K188),0)</f>
        <v/>
      </c>
      <c r="AB189" s="7" t="inlineStr"/>
    </row>
    <row r="190">
      <c r="A190" t="inlineStr">
        <is>
          <t>shared</t>
        </is>
      </c>
      <c r="B190" t="inlineStr">
        <is>
          <t>yrygyard</t>
        </is>
      </c>
      <c r="C190" t="inlineStr">
        <is>
          <t>Yuri Sub Pen</t>
        </is>
      </c>
      <c r="D190" s="6" t="inlineStr">
        <is>
          <t>Misc</t>
        </is>
      </c>
      <c r="E190" s="6" t="n">
        <v>600000</v>
      </c>
      <c r="F190" s="6" t="n"/>
      <c r="G190" t="inlineStr">
        <is>
          <t>Concrete</t>
        </is>
      </c>
      <c r="H190" s="6" t="n">
        <v>1</v>
      </c>
      <c r="I190" s="6" t="n">
        <v>1</v>
      </c>
      <c r="J190" s="6" t="n">
        <v>1</v>
      </c>
      <c r="K190" s="6" t="n"/>
      <c r="X190" s="6" t="n">
        <v>3000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ra2_allies_attackdog</t>
        </is>
      </c>
      <c r="C3" t="inlineStr">
        <is>
          <t>Attack Dog</t>
        </is>
      </c>
      <c r="D3" s="6" t="inlineStr">
        <is>
          <t>Dog</t>
        </is>
      </c>
      <c r="E3" s="6" t="n">
        <v>5000</v>
      </c>
      <c r="F3" s="6" t="n">
        <v>100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(((E3/27000)+(F3/90)+(S3/300)+((P3/1500)*J3))*280/4+(((E3/27000)*(F3/90))+(((P3/1500)*J3)*(S3/300)))*280/2+((E3/27000)*(F3/90)*((P3/1500)*J3)*(S3/300))*280)*(H3/1.0)/3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IFERROR(ROUND(((3*X3-(((E3/27000)+(F3/90)+(S3/300))*280/4+((E3/27000)*(F3/90))*280/2)*(H3/1.0))/(280/4+((S3/300))*280/2+((E3/27000)*(F3/90)*(S3/300))*280)*(H3/1.0)*1500)/J3,-1),"")</f>
        <v/>
      </c>
    </row>
    <row r="4">
      <c r="B4" s="7" t="inlineStr">
        <is>
          <t xml:space="preserve">  ↳ DogJaw</t>
        </is>
      </c>
      <c r="C4" s="7" t="inlineStr">
        <is>
          <t>Armament</t>
        </is>
      </c>
      <c r="L4" s="6" t="n">
        <v>100000</v>
      </c>
      <c r="M4" s="6" t="n">
        <v>10</v>
      </c>
      <c r="N4" s="6" t="n">
        <v>1</v>
      </c>
      <c r="O4" s="6" t="n"/>
      <c r="P4" s="6" t="n">
        <v>2000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/>
    </row>
    <row r="5">
      <c r="A5" t="inlineStr">
        <is>
          <t>redalert2</t>
        </is>
      </c>
      <c r="B5" t="inlineStr">
        <is>
          <t>ra2_allies_chronolegionnaire</t>
        </is>
      </c>
      <c r="C5" t="inlineStr">
        <is>
          <t>Chrono Legionnaire</t>
        </is>
      </c>
      <c r="D5" s="6" t="inlineStr">
        <is>
          <t>HeavyInfantry</t>
        </is>
      </c>
      <c r="E5" s="6" t="n">
        <v>35000</v>
      </c>
      <c r="F5" s="6" t="n">
        <v>35</v>
      </c>
      <c r="G5" t="inlineStr">
        <is>
          <t>Plate</t>
        </is>
      </c>
      <c r="H5" s="6" t="n">
        <v>0.5305</v>
      </c>
      <c r="I5" s="6" t="n">
        <v>1</v>
      </c>
      <c r="J5" s="6" t="n">
        <v>1</v>
      </c>
      <c r="K5" s="6" t="n"/>
      <c r="X5" s="6" t="n">
        <v>1500</v>
      </c>
    </row>
    <row r="6">
      <c r="B6" s="7" t="inlineStr">
        <is>
          <t xml:space="preserve">  ↳ RA2ChronoTele</t>
        </is>
      </c>
      <c r="C6" s="7" t="inlineStr">
        <is>
          <t>Armament@sound</t>
        </is>
      </c>
      <c r="L6" s="6" t="n"/>
      <c r="M6" s="6" t="n">
        <v>180</v>
      </c>
      <c r="N6" s="6" t="n">
        <v>1</v>
      </c>
      <c r="O6" s="6" t="n"/>
      <c r="P6" s="6" t="n">
        <v>5000</v>
      </c>
      <c r="Q6" s="6" t="n">
        <v>1</v>
      </c>
      <c r="R6">
        <f>M6+IF(N6&gt;1,N(O6)*(N6-1),0)</f>
        <v/>
      </c>
      <c r="S6">
        <f>IFERROR(L6*MAX(N6,1)/R6*IF(ISBLANK(K5),1,K5),0)</f>
        <v/>
      </c>
      <c r="AB6" s="7" t="inlineStr"/>
    </row>
    <row r="7">
      <c r="B7" s="7" t="inlineStr">
        <is>
          <t xml:space="preserve">  ↳ ChronoBeam</t>
        </is>
      </c>
      <c r="C7" s="7" t="inlineStr">
        <is>
          <t>Armament@PRIMARY</t>
        </is>
      </c>
      <c r="L7" s="6" t="n"/>
      <c r="M7" s="6" t="n">
        <v>1</v>
      </c>
      <c r="N7" s="6" t="n">
        <v>1</v>
      </c>
      <c r="O7" s="6" t="n"/>
      <c r="P7" s="6" t="n">
        <v>5000</v>
      </c>
      <c r="Q7" s="6" t="n">
        <v>1</v>
      </c>
      <c r="R7">
        <f>M7+IF(N7&gt;1,N(O7)*(N7-1),0)</f>
        <v/>
      </c>
      <c r="S7">
        <f>IFERROR(L7*MAX(N7,1)/R7*IF(ISBLANK(K5),1,K5),0)</f>
        <v/>
      </c>
      <c r="AB7" s="7" t="inlineStr"/>
    </row>
    <row r="8">
      <c r="B8" s="7" t="inlineStr">
        <is>
          <t xml:space="preserve">  ↳ ChronoBeam_elite</t>
        </is>
      </c>
      <c r="C8" s="7" t="inlineStr">
        <is>
          <t>Armament@ELITE</t>
        </is>
      </c>
      <c r="L8" s="6" t="n"/>
      <c r="M8" s="6" t="n">
        <v>1</v>
      </c>
      <c r="N8" s="6" t="n">
        <v>1</v>
      </c>
      <c r="O8" s="6" t="n"/>
      <c r="P8" s="6" t="n">
        <v>5000</v>
      </c>
      <c r="Q8" s="6" t="n">
        <v>1</v>
      </c>
      <c r="R8">
        <f>M8+IF(N8&gt;1,N(O8)*(N8-1),0)</f>
        <v/>
      </c>
      <c r="S8">
        <f>IFERROR(L8*MAX(N8,1)/R8*IF(ISBLANK(K5),1,K5),0)</f>
        <v/>
      </c>
      <c r="AB8" s="7" t="inlineStr">
        <is>
          <t>ChronoBeam</t>
        </is>
      </c>
    </row>
    <row r="9">
      <c r="B9" s="7" t="inlineStr">
        <is>
          <t xml:space="preserve">  ↳ ChronoBeam</t>
        </is>
      </c>
      <c r="C9" s="7" t="inlineStr">
        <is>
          <t>Armament@GARRISONED</t>
        </is>
      </c>
      <c r="L9" s="6" t="n"/>
      <c r="M9" s="6" t="n">
        <v>1</v>
      </c>
      <c r="N9" s="6" t="n">
        <v>1</v>
      </c>
      <c r="O9" s="6" t="n"/>
      <c r="P9" s="6" t="n">
        <v>5000</v>
      </c>
      <c r="Q9" s="6" t="n">
        <v>1</v>
      </c>
      <c r="R9">
        <f>M9+IF(N9&gt;1,N(O9)*(N9-1),0)</f>
        <v/>
      </c>
      <c r="S9">
        <f>IFERROR(L9*MAX(N9,1)/R9*IF(ISBLANK(K5),1,K5),0)</f>
        <v/>
      </c>
      <c r="AB9" s="7" t="inlineStr"/>
    </row>
    <row r="10">
      <c r="B10" s="7" t="inlineStr">
        <is>
          <t xml:space="preserve">  ↳ ChronoBeam_elite</t>
        </is>
      </c>
      <c r="C10" s="7" t="inlineStr">
        <is>
          <t>Armament@GARRISONEDELITE</t>
        </is>
      </c>
      <c r="L10" s="6" t="n"/>
      <c r="M10" s="6" t="n">
        <v>1</v>
      </c>
      <c r="N10" s="6" t="n">
        <v>1</v>
      </c>
      <c r="O10" s="6" t="n"/>
      <c r="P10" s="6" t="n">
        <v>5000</v>
      </c>
      <c r="Q10" s="6" t="n">
        <v>1</v>
      </c>
      <c r="R10">
        <f>M10+IF(N10&gt;1,N(O10)*(N10-1),0)</f>
        <v/>
      </c>
      <c r="S10">
        <f>IFERROR(L10*MAX(N10,1)/R10*IF(ISBLANK(K5),1,K5),0)</f>
        <v/>
      </c>
      <c r="AB10" s="7" t="inlineStr">
        <is>
          <t>ChronoBeam</t>
        </is>
      </c>
    </row>
    <row r="11">
      <c r="A11" t="inlineStr">
        <is>
          <t>redalert2</t>
        </is>
      </c>
      <c r="B11" t="inlineStr">
        <is>
          <t>ra2_allies_engineer</t>
        </is>
      </c>
      <c r="C11" t="inlineStr">
        <is>
          <t>Engineer</t>
        </is>
      </c>
      <c r="D11" s="6" t="inlineStr">
        <is>
          <t>Infantry</t>
        </is>
      </c>
      <c r="E11" s="6" t="n">
        <v>5000</v>
      </c>
      <c r="F11" s="6" t="n">
        <v>50</v>
      </c>
      <c r="G11" t="inlineStr">
        <is>
          <t>None</t>
        </is>
      </c>
      <c r="H11" s="6" t="n">
        <v>1</v>
      </c>
      <c r="I11" s="6" t="n">
        <v>1</v>
      </c>
      <c r="J11" s="6" t="n">
        <v>1</v>
      </c>
      <c r="K11" s="6" t="n"/>
      <c r="X11" s="6" t="n">
        <v>500</v>
      </c>
    </row>
    <row r="12">
      <c r="B12" s="7" t="inlineStr">
        <is>
          <t xml:space="preserve">  ↳ DefuseKit</t>
        </is>
      </c>
      <c r="C12" s="7" t="inlineStr">
        <is>
          <t>Armament@defuse</t>
        </is>
      </c>
      <c r="L12" s="6" t="n"/>
      <c r="M12" s="6" t="n">
        <v>20</v>
      </c>
      <c r="N12" s="6" t="n">
        <v>1</v>
      </c>
      <c r="O12" s="6" t="n"/>
      <c r="P12" s="6" t="n">
        <v>1536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>
        <is>
          <t>^RemovesIvanBombs, ^RemovesTerrorDrone</t>
        </is>
      </c>
    </row>
    <row r="13">
      <c r="B13" s="7" t="inlineStr">
        <is>
          <t xml:space="preserve">  ↳ LeechDisinfect</t>
        </is>
      </c>
      <c r="C13" s="7" t="inlineStr">
        <is>
          <t>Armament@leechdisinfect</t>
        </is>
      </c>
      <c r="L13" s="6" t="n"/>
      <c r="M13" s="6" t="n">
        <v>100</v>
      </c>
      <c r="N13" s="6" t="n">
        <v>1</v>
      </c>
      <c r="O13" s="6" t="n"/>
      <c r="P13" s="6" t="n">
        <v>1536</v>
      </c>
      <c r="Q13" s="6" t="n">
        <v>1</v>
      </c>
      <c r="R13">
        <f>M13+IF(N13&gt;1,N(O13)*(N13-1),0)</f>
        <v/>
      </c>
      <c r="S13">
        <f>IFERROR(L13*MAX(N13,1)/R13*IF(ISBLANK(K11),1,K11),0)</f>
        <v/>
      </c>
      <c r="AB13" s="7" t="inlineStr"/>
    </row>
    <row r="14">
      <c r="A14" t="inlineStr">
        <is>
          <t>redalert2</t>
        </is>
      </c>
      <c r="B14" t="inlineStr">
        <is>
          <t>ra2_allies_gi</t>
        </is>
      </c>
      <c r="C14" t="inlineStr">
        <is>
          <t>G.I.</t>
        </is>
      </c>
      <c r="D14" s="6" t="inlineStr">
        <is>
          <t>ScoutInfantry</t>
        </is>
      </c>
      <c r="E14" s="6" t="n">
        <v>50000</v>
      </c>
      <c r="F14" s="6" t="n">
        <v>50</v>
      </c>
      <c r="G14" t="inlineStr">
        <is>
          <t>None</t>
        </is>
      </c>
      <c r="H14" s="6" t="n">
        <v>1</v>
      </c>
      <c r="I14" s="6" t="n">
        <v>1</v>
      </c>
      <c r="J14" s="6" t="n">
        <v>1.25</v>
      </c>
      <c r="K14" s="6" t="n">
        <v>0.0025</v>
      </c>
      <c r="P14">
        <f>MAX(P15,P16,P17)</f>
        <v/>
      </c>
      <c r="S14">
        <f>S15+S16+S17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(((E14/20000)+(F14/60)+(S14/60)+((P14/5000)*J14))*100/4+(((E14/20000)*(F14/60))+(((P14/5000)*J14)*(S14/60)))*100/2+((E14/20000)*(F14/60)*((P14/5000)*J14)*(S14/60))*100)*(H14/1.0)/3</f>
        <v/>
      </c>
      <c r="X14" s="6" t="n">
        <v>200</v>
      </c>
      <c r="Y14">
        <f>IFERROR(W14-X14,"")</f>
        <v/>
      </c>
      <c r="Z14">
        <f>IFERROR(ABS(Y14)/MAX(X14,1),"")</f>
        <v/>
      </c>
      <c r="AA14">
        <f>IFERROR(ROUND(((3*X14-(((E14/20000)+(F14/60)+(S14/60))*100/4+((E14/20000)*(F14/60))*100/2)*(H14/1.0))/(100/4+((S14/60))*100/2+((E14/20000)*(F14/60)*(S14/60))*100)*(H14/1.0)*5000)/J14,-1),"")</f>
        <v/>
      </c>
    </row>
    <row r="15">
      <c r="B15" s="7" t="inlineStr">
        <is>
          <t xml:space="preserve">  ↳ ra2_allies_gi_mg</t>
        </is>
      </c>
      <c r="C15" s="7" t="inlineStr">
        <is>
          <t>Armament@PRIMARY</t>
        </is>
      </c>
      <c r="L15" s="6" t="n">
        <v>2000</v>
      </c>
      <c r="M15" s="6" t="n">
        <v>15</v>
      </c>
      <c r="N15" s="6" t="n">
        <v>3</v>
      </c>
      <c r="O15" s="6" t="n">
        <v>2</v>
      </c>
      <c r="P15" s="6" t="n">
        <v>4680</v>
      </c>
      <c r="Q15" s="6" t="n">
        <v>0.75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^Warhead_Bullet_Light</t>
        </is>
      </c>
    </row>
    <row r="16">
      <c r="B16" s="7" t="inlineStr">
        <is>
          <t xml:space="preserve">  ↳ ra2_allies_gi_para</t>
        </is>
      </c>
      <c r="C16" s="7" t="inlineStr">
        <is>
          <t>Armament@PRIMARY2</t>
        </is>
      </c>
      <c r="L16" s="6" t="n">
        <v>2000</v>
      </c>
      <c r="M16" s="6" t="n">
        <v>19</v>
      </c>
      <c r="N16" s="6" t="n">
        <v>3</v>
      </c>
      <c r="O16" s="6" t="n">
        <v>3</v>
      </c>
      <c r="P16" s="6" t="n">
        <v>5500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^Warhead_Bullet_Medium</t>
        </is>
      </c>
    </row>
    <row r="17">
      <c r="B17" s="7" t="inlineStr">
        <is>
          <t xml:space="preserve">  ↳ ra2_allies_gi_para</t>
        </is>
      </c>
      <c r="C17" s="7" t="inlineStr">
        <is>
          <t>Armament@DEPLOYED</t>
        </is>
      </c>
      <c r="L17" s="6" t="n">
        <v>2000</v>
      </c>
      <c r="M17" s="6" t="n">
        <v>19</v>
      </c>
      <c r="N17" s="6" t="n">
        <v>3</v>
      </c>
      <c r="O17" s="6" t="n">
        <v>3</v>
      </c>
      <c r="P17" s="6" t="n">
        <v>5500</v>
      </c>
      <c r="Q17" s="6" t="n">
        <v>1</v>
      </c>
      <c r="R17">
        <f>M17+IF(N17&gt;1,N(O17)*(N17-1),0)</f>
        <v/>
      </c>
      <c r="S17">
        <f>IFERROR(L17*MAX(N17,1)/R17*IF(ISBLANK(K14),1,K14),0)</f>
        <v/>
      </c>
      <c r="AB17" s="7" t="inlineStr">
        <is>
          <t>^Warhead_Bullet_Medium</t>
        </is>
      </c>
    </row>
    <row r="18">
      <c r="B18" s="7" t="inlineStr">
        <is>
          <t xml:space="preserve">  ↳ RA2vulcan2</t>
        </is>
      </c>
      <c r="C18" s="7" t="inlineStr">
        <is>
          <t>Armament@GARRISONED</t>
        </is>
      </c>
      <c r="L18" s="6" t="n">
        <v>4000</v>
      </c>
      <c r="M18" s="6" t="n">
        <v>25</v>
      </c>
      <c r="N18" s="6" t="n">
        <v>3</v>
      </c>
      <c r="O18" s="6" t="n">
        <v>2</v>
      </c>
      <c r="P18" s="6" t="n">
        <v>5724</v>
      </c>
      <c r="Q18" s="6" t="n">
        <v>0.875</v>
      </c>
      <c r="R18">
        <f>M18+IF(N18&gt;1,N(O18)*(N18-1),0)</f>
        <v/>
      </c>
      <c r="S18">
        <f>IFERROR(L18*MAX(N18,1)/R18*IF(ISBLANK(K14),1,K14),0)</f>
        <v/>
      </c>
      <c r="AB18" s="7" t="inlineStr">
        <is>
          <t>^Warhead_Bullet_Light, ^Warhead_Bullet_Medium</t>
        </is>
      </c>
    </row>
    <row r="19">
      <c r="A19" t="inlineStr">
        <is>
          <t>redalert2</t>
        </is>
      </c>
      <c r="B19" t="inlineStr">
        <is>
          <t>ra2_allies_guardiangi</t>
        </is>
      </c>
      <c r="C19" t="inlineStr">
        <is>
          <t>Guardian G.I.</t>
        </is>
      </c>
      <c r="D19" s="6" t="inlineStr">
        <is>
          <t>AntiTankAntiAirInfantry</t>
        </is>
      </c>
      <c r="E19" s="6" t="n">
        <v>45000</v>
      </c>
      <c r="F19" s="6" t="n">
        <v>45</v>
      </c>
      <c r="G19" t="inlineStr">
        <is>
          <t>Flak</t>
        </is>
      </c>
      <c r="H19" s="6" t="n">
        <v>1</v>
      </c>
      <c r="I19" s="6" t="n">
        <v>0.5</v>
      </c>
      <c r="J19" s="6" t="n">
        <v>1.25</v>
      </c>
      <c r="K19" s="6" t="n"/>
      <c r="P19">
        <f>MAX(P20,P21,P22,P23,P25,P27)</f>
        <v/>
      </c>
      <c r="S19">
        <f>S20+S21+S22+S23+S25+S27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400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GuardianGIMG</t>
        </is>
      </c>
      <c r="C20" s="7" t="inlineStr">
        <is>
          <t>Armament@PRIMARY</t>
        </is>
      </c>
      <c r="L20" s="6" t="n">
        <v>4000</v>
      </c>
      <c r="M20" s="6" t="n">
        <v>20</v>
      </c>
      <c r="N20" s="6" t="n">
        <v>3</v>
      </c>
      <c r="O20" s="6" t="n">
        <v>2</v>
      </c>
      <c r="P20" s="6" t="n">
        <v>4762</v>
      </c>
      <c r="Q20" s="6" t="n">
        <v>0.875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^Warhead_Bullet_Light, ^Warhead_Bullet_Medium</t>
        </is>
      </c>
    </row>
    <row r="21">
      <c r="B21" s="7" t="inlineStr">
        <is>
          <t xml:space="preserve">  ↳ GuardianGIMG2</t>
        </is>
      </c>
      <c r="C21" s="7" t="inlineStr">
        <is>
          <t>Armament@PRIMARY2</t>
        </is>
      </c>
      <c r="L21" s="6" t="n">
        <v>4000</v>
      </c>
      <c r="M21" s="6" t="n">
        <v>19</v>
      </c>
      <c r="N21" s="6" t="n">
        <v>3</v>
      </c>
      <c r="O21" s="6" t="n">
        <v>3</v>
      </c>
      <c r="P21" s="6" t="n">
        <v>4750</v>
      </c>
      <c r="Q21" s="6" t="n">
        <v>1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^Warhead_Bullet_Medium</t>
        </is>
      </c>
    </row>
    <row r="22">
      <c r="B22" s="7" t="inlineStr">
        <is>
          <t xml:space="preserve">  ↳ GuardianGIMG_elite</t>
        </is>
      </c>
      <c r="C22" s="7" t="inlineStr">
        <is>
          <t>Armament@ELITE</t>
        </is>
      </c>
      <c r="L22" s="6" t="n">
        <v>4000</v>
      </c>
      <c r="M22" s="6" t="n">
        <v>20</v>
      </c>
      <c r="N22" s="6" t="n">
        <v>6</v>
      </c>
      <c r="O22" s="6" t="n">
        <v>2</v>
      </c>
      <c r="P22" s="6" t="n">
        <v>5762</v>
      </c>
      <c r="Q22" s="6" t="n">
        <v>0.875</v>
      </c>
      <c r="R22">
        <f>M22+IF(N22&gt;1,N(O22)*(N22-1),0)</f>
        <v/>
      </c>
      <c r="S22">
        <f>IFERROR(L22*MAX(N22,1)/R22*IF(ISBLANK(K19),1,K19),0)</f>
        <v/>
      </c>
      <c r="AB22" s="7" t="inlineStr">
        <is>
          <t>^Warhead_Bullet_Light, ^Warhead_Bullet_Medium</t>
        </is>
      </c>
    </row>
    <row r="23">
      <c r="B23" s="7" t="inlineStr">
        <is>
          <t xml:space="preserve">  ↳ GuardianGIMG2_elite</t>
        </is>
      </c>
      <c r="C23" s="7" t="inlineStr">
        <is>
          <t>Armament@ELITE2</t>
        </is>
      </c>
      <c r="L23" s="6" t="n">
        <v>4000</v>
      </c>
      <c r="M23" s="6" t="n">
        <v>19</v>
      </c>
      <c r="N23" s="6" t="n">
        <v>6</v>
      </c>
      <c r="O23" s="6" t="n">
        <v>3</v>
      </c>
      <c r="P23" s="6" t="n">
        <v>5750</v>
      </c>
      <c r="Q23" s="6" t="n">
        <v>1</v>
      </c>
      <c r="R23">
        <f>M23+IF(N23&gt;1,N(O23)*(N23-1),0)</f>
        <v/>
      </c>
      <c r="S23">
        <f>IFERROR(L23*MAX(N23,1)/R23*IF(ISBLANK(K19),1,K19),0)</f>
        <v/>
      </c>
      <c r="AB23" s="7" t="inlineStr">
        <is>
          <t>^Warhead_Bullet_Medium</t>
        </is>
      </c>
    </row>
    <row r="24">
      <c r="B24" s="7" t="inlineStr">
        <is>
          <t xml:space="preserve">  ↳ aadeploytargeting_8c0_AA</t>
        </is>
      </c>
      <c r="C24" s="7" t="inlineStr">
        <is>
          <t>Armament@BOTAA</t>
        </is>
      </c>
      <c r="L24" s="6" t="n"/>
      <c r="M24" s="6" t="n">
        <v>50</v>
      </c>
      <c r="N24" s="6" t="n">
        <v>1</v>
      </c>
      <c r="O24" s="6" t="n"/>
      <c r="P24" s="6" t="n">
        <v>8000</v>
      </c>
      <c r="Q24" s="6" t="n">
        <v>1</v>
      </c>
      <c r="R24">
        <f>M24+IF(N24&gt;1,N(O24)*(N24-1),0)</f>
        <v/>
      </c>
      <c r="S24">
        <f>IFERROR(L24*MAX(N24,1)/R24*IF(ISBLANK(K19),1,K19),0)</f>
        <v/>
      </c>
      <c r="AB24" s="7" t="inlineStr">
        <is>
          <t>^AADeployTargeting</t>
        </is>
      </c>
    </row>
    <row r="25">
      <c r="B25" s="7" t="inlineStr">
        <is>
          <t xml:space="preserve">  ↳ RA2GIRocketsG</t>
        </is>
      </c>
      <c r="C25" s="7" t="inlineStr">
        <is>
          <t>Armament@DEPLOYED</t>
        </is>
      </c>
      <c r="L25" s="6" t="n">
        <v>24000</v>
      </c>
      <c r="M25" s="6" t="n">
        <v>45</v>
      </c>
      <c r="N25" s="6" t="n">
        <v>1</v>
      </c>
      <c r="O25" s="6" t="n"/>
      <c r="P25" s="6" t="n">
        <v>6567</v>
      </c>
      <c r="Q25" s="6" t="n">
        <v>0.75</v>
      </c>
      <c r="R25">
        <f>M25+IF(N25&gt;1,N(O25)*(N25-1),0)</f>
        <v/>
      </c>
      <c r="S25">
        <f>IFERROR(L25*MAX(N25,1)/R25*IF(ISBLANK(K19),1,K19),0)</f>
        <v/>
      </c>
      <c r="AB25" s="7" t="inlineStr">
        <is>
          <t>^Warhead_MissileAP_Light</t>
        </is>
      </c>
    </row>
    <row r="26">
      <c r="B26" s="7" t="inlineStr">
        <is>
          <t xml:space="preserve">  ↳ RA2GIRocketsG</t>
        </is>
      </c>
      <c r="C26" s="7" t="inlineStr">
        <is>
          <t>Armament@GARRISONED</t>
        </is>
      </c>
      <c r="L26" s="6" t="n">
        <v>24000</v>
      </c>
      <c r="M26" s="6" t="n">
        <v>45</v>
      </c>
      <c r="N26" s="6" t="n">
        <v>1</v>
      </c>
      <c r="O26" s="6" t="n"/>
      <c r="P26" s="6" t="n">
        <v>6567</v>
      </c>
      <c r="Q26" s="6" t="n">
        <v>0.75</v>
      </c>
      <c r="R26">
        <f>M26+IF(N26&gt;1,N(O26)*(N26-1),0)</f>
        <v/>
      </c>
      <c r="S26">
        <f>IFERROR(L26*MAX(N26,1)/R26*IF(ISBLANK(K19),1,K19),0)</f>
        <v/>
      </c>
      <c r="AB26" s="7" t="inlineStr">
        <is>
          <t>^Warhead_MissileAP_Light</t>
        </is>
      </c>
    </row>
    <row r="27">
      <c r="B27" s="7" t="inlineStr">
        <is>
          <t xml:space="preserve">  ↳ RA2GIRocketsG_elite</t>
        </is>
      </c>
      <c r="C27" s="7" t="inlineStr">
        <is>
          <t>Armament@DEPLOYEDELITE</t>
        </is>
      </c>
      <c r="L27" s="6" t="n">
        <v>48000</v>
      </c>
      <c r="M27" s="6" t="n">
        <v>45</v>
      </c>
      <c r="N27" s="6" t="n">
        <v>1</v>
      </c>
      <c r="O27" s="6" t="n"/>
      <c r="P27" s="6" t="n">
        <v>7567</v>
      </c>
      <c r="Q27" s="6" t="n">
        <v>0.75</v>
      </c>
      <c r="R27">
        <f>M27+IF(N27&gt;1,N(O27)*(N27-1),0)</f>
        <v/>
      </c>
      <c r="S27">
        <f>IFERROR(L27*MAX(N27,1)/R27*IF(ISBLANK(K19),1,K19),0)</f>
        <v/>
      </c>
      <c r="AB27" s="7" t="inlineStr">
        <is>
          <t>^Warhead_MissileAP_Light</t>
        </is>
      </c>
    </row>
    <row r="28">
      <c r="B28" s="7" t="inlineStr">
        <is>
          <t xml:space="preserve">  ↳ RA2GIRocketsG_elite</t>
        </is>
      </c>
      <c r="C28" s="7" t="inlineStr">
        <is>
          <t>Armament@GARRISONEDELITE</t>
        </is>
      </c>
      <c r="L28" s="6" t="n">
        <v>48000</v>
      </c>
      <c r="M28" s="6" t="n">
        <v>45</v>
      </c>
      <c r="N28" s="6" t="n">
        <v>1</v>
      </c>
      <c r="O28" s="6" t="n"/>
      <c r="P28" s="6" t="n">
        <v>7567</v>
      </c>
      <c r="Q28" s="6" t="n">
        <v>0.75</v>
      </c>
      <c r="R28">
        <f>M28+IF(N28&gt;1,N(O28)*(N28-1),0)</f>
        <v/>
      </c>
      <c r="S28">
        <f>IFERROR(L28*MAX(N28,1)/R28*IF(ISBLANK(K19),1,K19),0)</f>
        <v/>
      </c>
      <c r="AB28" s="7" t="inlineStr">
        <is>
          <t>^Warhead_MissileAP_Light</t>
        </is>
      </c>
    </row>
    <row r="29">
      <c r="A29" t="inlineStr">
        <is>
          <t>redalert2</t>
        </is>
      </c>
      <c r="B29" t="inlineStr">
        <is>
          <t>ra2_allies_ra2spy</t>
        </is>
      </c>
      <c r="C29" t="inlineStr">
        <is>
          <t>Spy</t>
        </is>
      </c>
      <c r="D29" s="6" t="inlineStr">
        <is>
          <t>ScoutInfantry</t>
        </is>
      </c>
      <c r="E29" s="6" t="n">
        <v>5000</v>
      </c>
      <c r="F29" s="6" t="n">
        <v>60</v>
      </c>
      <c r="G29" t="inlineStr">
        <is>
          <t>None</t>
        </is>
      </c>
      <c r="H29" s="6" t="n">
        <v>0.8639</v>
      </c>
      <c r="I29" s="6" t="n">
        <v>1</v>
      </c>
      <c r="J29" s="6" t="n">
        <v>1</v>
      </c>
      <c r="K29" s="6" t="n"/>
      <c r="X29" s="6" t="n">
        <v>500</v>
      </c>
    </row>
    <row r="30">
      <c r="A30" t="inlineStr">
        <is>
          <t>redalert2</t>
        </is>
      </c>
      <c r="B30" t="inlineStr">
        <is>
          <t>ra2_allies_rocketeer</t>
        </is>
      </c>
      <c r="C30" t="inlineStr">
        <is>
          <t>Rocketeer</t>
        </is>
      </c>
      <c r="D30" s="6" t="inlineStr">
        <is>
          <t>FlyingInfantry</t>
        </is>
      </c>
      <c r="E30" s="6" t="n">
        <v>18000</v>
      </c>
      <c r="F30" s="6" t="n">
        <v>180</v>
      </c>
      <c r="G30" t="inlineStr">
        <is>
          <t>Scout</t>
        </is>
      </c>
      <c r="H30" s="6" t="n">
        <v>0.8639</v>
      </c>
      <c r="I30" s="6" t="n">
        <v>1</v>
      </c>
      <c r="J30" s="6" t="n">
        <v>1</v>
      </c>
      <c r="K30" s="6" t="n">
        <v>0.005</v>
      </c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600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ra2roktgun</t>
        </is>
      </c>
      <c r="C31" s="7" t="inlineStr">
        <is>
          <t>Armament@PRIMARY</t>
        </is>
      </c>
      <c r="L31" s="6" t="n">
        <v>8000</v>
      </c>
      <c r="M31" s="6" t="n">
        <v>14</v>
      </c>
      <c r="N31" s="6" t="n">
        <v>1</v>
      </c>
      <c r="O31" s="6" t="n"/>
      <c r="P31" s="6" t="n">
        <v>5000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^Warhead_Bullet_Medium</t>
        </is>
      </c>
    </row>
    <row r="32">
      <c r="A32" t="inlineStr">
        <is>
          <t>redalert2</t>
        </is>
      </c>
      <c r="B32" t="inlineStr">
        <is>
          <t>ra2_allies_seal</t>
        </is>
      </c>
      <c r="C32" t="inlineStr">
        <is>
          <t>SEAL</t>
        </is>
      </c>
      <c r="D32" s="6" t="inlineStr">
        <is>
          <t>MeleeInfantry</t>
        </is>
      </c>
      <c r="E32" s="6" t="n">
        <v>31000</v>
      </c>
      <c r="F32" s="6" t="n">
        <v>59</v>
      </c>
      <c r="G32" t="inlineStr">
        <is>
          <t>Plate</t>
        </is>
      </c>
      <c r="H32" s="6" t="n">
        <v>0.75</v>
      </c>
      <c r="I32" s="6" t="n">
        <v>0.75</v>
      </c>
      <c r="J32" s="6" t="n">
        <v>1.25</v>
      </c>
      <c r="K32" s="6" t="n">
        <v>0.009300000000000001</v>
      </c>
      <c r="P32">
        <f>MAX(P33,P34)</f>
        <v/>
      </c>
      <c r="S32">
        <f>S33+S34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(((E32/15000)+(F32/50)+(S32/240)+((P32/6000)*J32))*200/4+(((E32/15000)*(F32/50))+(((P32/6000)*J32)*(S32/240)))*200/2+((E32/15000)*(F32/50)*((P32/6000)*J32)*(S32/240))*200)*(H32/1.0)/3</f>
        <v/>
      </c>
      <c r="X32" s="6" t="n">
        <v>1162</v>
      </c>
      <c r="Y32">
        <f>IFERROR(W32-X32,"")</f>
        <v/>
      </c>
      <c r="Z32">
        <f>IFERROR(ABS(Y32)/MAX(X32,1),"")</f>
        <v/>
      </c>
      <c r="AA32">
        <f>IFERROR(ROUND(((3*X32-(((E32/15000)+(F32/50)+(S32/240))*200/4+((E32/15000)*(F32/50))*200/2)*(H32/1.0))/(200/4+((S32/240))*200/2+((E32/15000)*(F32/50)*(S32/240))*200)*(H32/1.0)*6000)/J32,-1),"")</f>
        <v/>
      </c>
    </row>
    <row r="33">
      <c r="B33" s="7" t="inlineStr">
        <is>
          <t xml:space="preserve">  ↳ RA2MP5</t>
        </is>
      </c>
      <c r="C33" s="7" t="inlineStr">
        <is>
          <t>Armament@PRIMARY</t>
        </is>
      </c>
      <c r="L33" s="6" t="n">
        <v>4000</v>
      </c>
      <c r="M33" s="6" t="n">
        <v>10</v>
      </c>
      <c r="N33" s="6" t="n">
        <v>4</v>
      </c>
      <c r="O33" s="6" t="n">
        <v>3</v>
      </c>
      <c r="P33" s="6" t="n">
        <v>6386</v>
      </c>
      <c r="Q33" s="6" t="n">
        <v>0.75</v>
      </c>
      <c r="R33">
        <f>M33+IF(N33&gt;1,N(O33)*(N33-1),0)</f>
        <v/>
      </c>
      <c r="S33">
        <f>IFERROR(L33*MAX(N33,1)/R33*IF(ISBLANK(K32),1,K32),0)</f>
        <v/>
      </c>
      <c r="AB33" s="7" t="inlineStr">
        <is>
          <t>^Warhead_Sniper_Light</t>
        </is>
      </c>
    </row>
    <row r="34">
      <c r="B34" s="7" t="inlineStr">
        <is>
          <t xml:space="preserve">  ↳ RA2MP5_elite</t>
        </is>
      </c>
      <c r="C34" s="7" t="inlineStr">
        <is>
          <t>Armament@ELITE</t>
        </is>
      </c>
      <c r="L34" s="6" t="n">
        <v>4000</v>
      </c>
      <c r="M34" s="6" t="n">
        <v>10</v>
      </c>
      <c r="N34" s="6" t="n">
        <v>8</v>
      </c>
      <c r="O34" s="6" t="n">
        <v>3</v>
      </c>
      <c r="P34" s="6" t="n">
        <v>6000</v>
      </c>
      <c r="Q34" s="6" t="n">
        <v>0.75</v>
      </c>
      <c r="R34">
        <f>M34+IF(N34&gt;1,N(O34)*(N34-1),0)</f>
        <v/>
      </c>
      <c r="S34">
        <f>IFERROR(L34*MAX(N34,1)/R34*IF(ISBLANK(K32),1,K32),0)</f>
        <v/>
      </c>
      <c r="AB34" s="7" t="inlineStr">
        <is>
          <t>^Warhead_Sniper_Light</t>
        </is>
      </c>
    </row>
    <row r="35">
      <c r="B35" s="7" t="inlineStr">
        <is>
          <t xml:space="preserve">  ↳ RA2MP5</t>
        </is>
      </c>
      <c r="C35" s="7" t="inlineStr">
        <is>
          <t>Armament@GARRISONED</t>
        </is>
      </c>
      <c r="L35" s="6" t="n">
        <v>4000</v>
      </c>
      <c r="M35" s="6" t="n">
        <v>10</v>
      </c>
      <c r="N35" s="6" t="n">
        <v>4</v>
      </c>
      <c r="O35" s="6" t="n">
        <v>3</v>
      </c>
      <c r="P35" s="6" t="n">
        <v>6386</v>
      </c>
      <c r="Q35" s="6" t="n">
        <v>0.75</v>
      </c>
      <c r="R35">
        <f>M35+IF(N35&gt;1,N(O35)*(N35-1),0)</f>
        <v/>
      </c>
      <c r="S35">
        <f>IFERROR(L35*MAX(N35,1)/R35*IF(ISBLANK(K32),1,K32),0)</f>
        <v/>
      </c>
      <c r="AB35" s="7" t="inlineStr">
        <is>
          <t>^Warhead_Sniper_Light</t>
        </is>
      </c>
    </row>
    <row r="36">
      <c r="B36" s="7" t="inlineStr">
        <is>
          <t xml:space="preserve">  ↳ RA2MP5_elite</t>
        </is>
      </c>
      <c r="C36" s="7" t="inlineStr">
        <is>
          <t>Armament@GARRISONEDELITE</t>
        </is>
      </c>
      <c r="L36" s="6" t="n">
        <v>4000</v>
      </c>
      <c r="M36" s="6" t="n">
        <v>10</v>
      </c>
      <c r="N36" s="6" t="n">
        <v>8</v>
      </c>
      <c r="O36" s="6" t="n">
        <v>3</v>
      </c>
      <c r="P36" s="6" t="n">
        <v>6000</v>
      </c>
      <c r="Q36" s="6" t="n">
        <v>0.75</v>
      </c>
      <c r="R36">
        <f>M36+IF(N36&gt;1,N(O36)*(N36-1),0)</f>
        <v/>
      </c>
      <c r="S36">
        <f>IFERROR(L36*MAX(N36,1)/R36*IF(ISBLANK(K32),1,K32),0)</f>
        <v/>
      </c>
      <c r="AB36" s="7" t="inlineStr">
        <is>
          <t>^Warhead_Sniper_Light</t>
        </is>
      </c>
    </row>
    <row r="37">
      <c r="B37" s="7" t="inlineStr">
        <is>
          <t xml:space="preserve">  ↳ SEALAttach</t>
        </is>
      </c>
      <c r="C37" s="7" t="inlineStr">
        <is>
          <t>Armament@shipc4</t>
        </is>
      </c>
      <c r="L37" s="6" t="n"/>
      <c r="M37" s="6" t="n">
        <v>20</v>
      </c>
      <c r="N37" s="6" t="n">
        <v>1</v>
      </c>
      <c r="O37" s="6" t="n"/>
      <c r="P37" s="6" t="n">
        <v>2000</v>
      </c>
      <c r="Q37" s="6" t="n">
        <v>1</v>
      </c>
      <c r="R37">
        <f>M37+IF(N37&gt;1,N(O37)*(N37-1),0)</f>
        <v/>
      </c>
      <c r="S37">
        <f>IFERROR(L37*MAX(N37,1)/R37*IF(ISBLANK(K32),1,K32),0)</f>
        <v/>
      </c>
      <c r="AB37" s="7" t="inlineStr">
        <is>
          <t>TanyaAttach</t>
        </is>
      </c>
    </row>
    <row r="38">
      <c r="A38" t="inlineStr">
        <is>
          <t>redalert2</t>
        </is>
      </c>
      <c r="B38" t="inlineStr">
        <is>
          <t>ra2_allies_sniper</t>
        </is>
      </c>
      <c r="C38" t="inlineStr">
        <is>
          <t>Sniper</t>
        </is>
      </c>
      <c r="D38" s="6" t="inlineStr">
        <is>
          <t>SniperInfantry</t>
        </is>
      </c>
      <c r="E38" s="6" t="n">
        <v>22000</v>
      </c>
      <c r="F38" s="6" t="n">
        <v>56</v>
      </c>
      <c r="G38" t="inlineStr">
        <is>
          <t>Flak</t>
        </is>
      </c>
      <c r="H38" s="6" t="n">
        <v>0.5305</v>
      </c>
      <c r="I38" s="6" t="n">
        <v>1</v>
      </c>
      <c r="J38" s="6" t="n">
        <v>1</v>
      </c>
      <c r="K38" s="6" t="n"/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800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RA2AWP</t>
        </is>
      </c>
      <c r="C39" s="7" t="inlineStr">
        <is>
          <t>Armament@PRIMARY</t>
        </is>
      </c>
      <c r="L39" s="6" t="n">
        <v>44000</v>
      </c>
      <c r="M39" s="6" t="n">
        <v>54</v>
      </c>
      <c r="N39" s="6" t="n">
        <v>1</v>
      </c>
      <c r="O39" s="6" t="n"/>
      <c r="P39" s="6" t="n">
        <v>10000</v>
      </c>
      <c r="Q39" s="6" t="n">
        <v>0.75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^Warhead_Sniper_Light</t>
        </is>
      </c>
    </row>
    <row r="40">
      <c r="B40" s="7" t="inlineStr">
        <is>
          <t xml:space="preserve">  ↳ RA2AWP_elite</t>
        </is>
      </c>
      <c r="C40" s="7" t="inlineStr">
        <is>
          <t>Armament@ELITE</t>
        </is>
      </c>
      <c r="L40" s="6" t="n">
        <v>88000</v>
      </c>
      <c r="M40" s="6" t="n">
        <v>54</v>
      </c>
      <c r="N40" s="6" t="n">
        <v>1</v>
      </c>
      <c r="O40" s="6" t="n"/>
      <c r="P40" s="6" t="n">
        <v>12345</v>
      </c>
      <c r="Q40" s="6" t="n">
        <v>0.75</v>
      </c>
      <c r="R40">
        <f>M40+IF(N40&gt;1,N(O40)*(N40-1),0)</f>
        <v/>
      </c>
      <c r="S40">
        <f>IFERROR(L40*MAX(N40,1)/R40*IF(ISBLANK(K38),1,K38),0)</f>
        <v/>
      </c>
      <c r="AB40" s="7" t="inlineStr">
        <is>
          <t>^Warhead_Sniper_Light</t>
        </is>
      </c>
    </row>
    <row r="41">
      <c r="B41" s="7" t="inlineStr">
        <is>
          <t xml:space="preserve">  ↳ RA2AWP</t>
        </is>
      </c>
      <c r="C41" s="7" t="inlineStr">
        <is>
          <t>Armament@GARRISONED</t>
        </is>
      </c>
      <c r="L41" s="6" t="n">
        <v>44000</v>
      </c>
      <c r="M41" s="6" t="n">
        <v>54</v>
      </c>
      <c r="N41" s="6" t="n">
        <v>1</v>
      </c>
      <c r="O41" s="6" t="n"/>
      <c r="P41" s="6" t="n">
        <v>10000</v>
      </c>
      <c r="Q41" s="6" t="n">
        <v>0.75</v>
      </c>
      <c r="R41">
        <f>M41+IF(N41&gt;1,N(O41)*(N41-1),0)</f>
        <v/>
      </c>
      <c r="S41">
        <f>IFERROR(L41*MAX(N41,1)/R41*IF(ISBLANK(K38),1,K38),0)</f>
        <v/>
      </c>
      <c r="AB41" s="7" t="inlineStr">
        <is>
          <t>^Warhead_Sniper_Light</t>
        </is>
      </c>
    </row>
    <row r="42">
      <c r="B42" s="7" t="inlineStr">
        <is>
          <t xml:space="preserve">  ↳ RA2AWP_elite</t>
        </is>
      </c>
      <c r="C42" s="7" t="inlineStr">
        <is>
          <t>Armament@GARRISONEDELITE</t>
        </is>
      </c>
      <c r="L42" s="6" t="n">
        <v>88000</v>
      </c>
      <c r="M42" s="6" t="n">
        <v>54</v>
      </c>
      <c r="N42" s="6" t="n">
        <v>1</v>
      </c>
      <c r="O42" s="6" t="n"/>
      <c r="P42" s="6" t="n">
        <v>12345</v>
      </c>
      <c r="Q42" s="6" t="n">
        <v>0.75</v>
      </c>
      <c r="R42">
        <f>M42+IF(N42&gt;1,N(O42)*(N42-1),0)</f>
        <v/>
      </c>
      <c r="S42">
        <f>IFERROR(L42*MAX(N42,1)/R42*IF(ISBLANK(K38),1,K38),0)</f>
        <v/>
      </c>
      <c r="AB42" s="7" t="inlineStr">
        <is>
          <t>^Warhead_Sniper_Light</t>
        </is>
      </c>
    </row>
    <row r="43">
      <c r="A43" t="inlineStr">
        <is>
          <t>redalert2</t>
        </is>
      </c>
      <c r="B43" t="inlineStr">
        <is>
          <t>ra2_allies_tanyaii</t>
        </is>
      </c>
      <c r="C43" t="inlineStr">
        <is>
          <t>Tanya II</t>
        </is>
      </c>
      <c r="D43" s="6" t="inlineStr">
        <is>
          <t>HeroInfantry</t>
        </is>
      </c>
      <c r="E43" s="6" t="n">
        <v>50000</v>
      </c>
      <c r="F43" s="6" t="n">
        <v>75</v>
      </c>
      <c r="G43" t="inlineStr">
        <is>
          <t>Heroic</t>
        </is>
      </c>
      <c r="H43" s="6" t="n">
        <v>0.5305</v>
      </c>
      <c r="I43" s="6" t="n">
        <v>1</v>
      </c>
      <c r="J43" s="6" t="n">
        <v>1</v>
      </c>
      <c r="K43" s="6" t="n"/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(T43+U43+V43)/3</f>
        <v/>
      </c>
      <c r="X43" s="6" t="n">
        <v>3000</v>
      </c>
      <c r="Y43">
        <f>IFERROR(W43-X43,"")</f>
        <v/>
      </c>
      <c r="Z43">
        <f>IFERROR(ABS(Y43)/MAX(X43,1),"")</f>
        <v/>
      </c>
      <c r="AA43">
        <f>IFERROR((X43-(((E43/100000+F43/100+S43/200)*200*I43*H43)+((E43*F43/25000)*I43*H43))/3)/(((J43/5)*200*I43*H43)+((J43*S43/2.5)*I43*H43)+((E43*F43*J43*S43*I43*H43)/12500000))/3*1000,"")</f>
        <v/>
      </c>
    </row>
    <row r="44">
      <c r="B44" s="7" t="inlineStr">
        <is>
          <t xml:space="preserve">  ↳ RA2DoublePistols</t>
        </is>
      </c>
      <c r="C44" s="7" t="inlineStr">
        <is>
          <t>Armament@PRIMARY</t>
        </is>
      </c>
      <c r="L44" s="6" t="n">
        <v>14000</v>
      </c>
      <c r="M44" s="6" t="n">
        <v>12</v>
      </c>
      <c r="N44" s="6" t="n">
        <v>2</v>
      </c>
      <c r="O44" s="6" t="n">
        <v>3</v>
      </c>
      <c r="P44" s="6" t="n">
        <v>8000</v>
      </c>
      <c r="Q44" s="6" t="n">
        <v>0.75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^Warhead_Sniper_Light</t>
        </is>
      </c>
    </row>
    <row r="45">
      <c r="B45" s="7" t="inlineStr">
        <is>
          <t xml:space="preserve">  ↳ RA2DoublePistols_elite</t>
        </is>
      </c>
      <c r="C45" s="7" t="inlineStr">
        <is>
          <t>Armament@ELITE</t>
        </is>
      </c>
      <c r="L45" s="6" t="n">
        <v>14000</v>
      </c>
      <c r="M45" s="6" t="n">
        <v>12</v>
      </c>
      <c r="N45" s="6" t="n">
        <v>4</v>
      </c>
      <c r="O45" s="6" t="n">
        <v>3</v>
      </c>
      <c r="P45" s="6" t="n">
        <v>9000</v>
      </c>
      <c r="Q45" s="6" t="n">
        <v>0.75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^Warhead_Sniper_Light</t>
        </is>
      </c>
    </row>
    <row r="46">
      <c r="B46" s="7" t="inlineStr">
        <is>
          <t xml:space="preserve">  ↳ TanyaAttach</t>
        </is>
      </c>
      <c r="C46" s="7" t="inlineStr">
        <is>
          <t>Armament@c4</t>
        </is>
      </c>
      <c r="L46" s="6" t="n"/>
      <c r="M46" s="6" t="n">
        <v>20</v>
      </c>
      <c r="N46" s="6" t="n">
        <v>1</v>
      </c>
      <c r="O46" s="6" t="n"/>
      <c r="P46" s="6" t="n">
        <v>2000</v>
      </c>
      <c r="Q46" s="6" t="n">
        <v>1</v>
      </c>
      <c r="R46">
        <f>M46+IF(N46&gt;1,N(O46)*(N46-1),0)</f>
        <v/>
      </c>
      <c r="S46">
        <f>IFERROR(L46*MAX(N46,1)/R46*IF(ISBLANK(K43),1,K43),0)</f>
        <v/>
      </c>
      <c r="AB46" s="7" t="inlineStr">
        <is>
          <t>IvanAttach</t>
        </is>
      </c>
    </row>
    <row r="47">
      <c r="B47" s="7" t="inlineStr">
        <is>
          <t xml:space="preserve">  ↳ GenericC4</t>
        </is>
      </c>
      <c r="C47" s="7" t="inlineStr">
        <is>
          <t>Armament@c4building</t>
        </is>
      </c>
      <c r="L47" s="6" t="n"/>
      <c r="M47" s="6" t="n">
        <v>20</v>
      </c>
      <c r="N47" s="6" t="n">
        <v>1</v>
      </c>
      <c r="O47" s="6" t="n"/>
      <c r="P47" s="6" t="n">
        <v>2000</v>
      </c>
      <c r="Q47" s="6" t="n">
        <v>1</v>
      </c>
      <c r="R47">
        <f>M47+IF(N47&gt;1,N(O47)*(N47-1),0)</f>
        <v/>
      </c>
      <c r="S47">
        <f>IFERROR(L47*MAX(N47,1)/R47*IF(ISBLANK(K43),1,K43),0)</f>
        <v/>
      </c>
      <c r="AB47" s="7" t="inlineStr"/>
    </row>
    <row r="48">
      <c r="B48" s="7" t="inlineStr">
        <is>
          <t xml:space="preserve">  ↳ RA2DoublePistols</t>
        </is>
      </c>
      <c r="C48" s="7" t="inlineStr">
        <is>
          <t>Armament@GARRISONED</t>
        </is>
      </c>
      <c r="L48" s="6" t="n">
        <v>14000</v>
      </c>
      <c r="M48" s="6" t="n">
        <v>12</v>
      </c>
      <c r="N48" s="6" t="n">
        <v>2</v>
      </c>
      <c r="O48" s="6" t="n">
        <v>3</v>
      </c>
      <c r="P48" s="6" t="n">
        <v>8000</v>
      </c>
      <c r="Q48" s="6" t="n">
        <v>0.75</v>
      </c>
      <c r="R48">
        <f>M48+IF(N48&gt;1,N(O48)*(N48-1),0)</f>
        <v/>
      </c>
      <c r="S48">
        <f>IFERROR(L48*MAX(N48,1)/R48*IF(ISBLANK(K43),1,K43),0)</f>
        <v/>
      </c>
      <c r="AB48" s="7" t="inlineStr">
        <is>
          <t>^Warhead_Sniper_Light</t>
        </is>
      </c>
    </row>
    <row r="49">
      <c r="B49" s="7" t="inlineStr">
        <is>
          <t xml:space="preserve">  ↳ RA2DoublePistols_elite</t>
        </is>
      </c>
      <c r="C49" s="7" t="inlineStr">
        <is>
          <t>Armament@GARRISONEDELITE</t>
        </is>
      </c>
      <c r="L49" s="6" t="n">
        <v>14000</v>
      </c>
      <c r="M49" s="6" t="n">
        <v>12</v>
      </c>
      <c r="N49" s="6" t="n">
        <v>4</v>
      </c>
      <c r="O49" s="6" t="n">
        <v>3</v>
      </c>
      <c r="P49" s="6" t="n">
        <v>9000</v>
      </c>
      <c r="Q49" s="6" t="n">
        <v>0.75</v>
      </c>
      <c r="R49">
        <f>M49+IF(N49&gt;1,N(O49)*(N49-1),0)</f>
        <v/>
      </c>
      <c r="S49">
        <f>IFERROR(L49*MAX(N49,1)/R49*IF(ISBLANK(K43),1,K43),0)</f>
        <v/>
      </c>
      <c r="AB49" s="7" t="inlineStr">
        <is>
          <t>^Warhead_Sniper_Light</t>
        </is>
      </c>
    </row>
    <row r="50">
      <c r="A50" s="4" t="inlineStr">
        <is>
          <t>VEHICLES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>
      <c r="A51" t="inlineStr">
        <is>
          <t>redalert2</t>
        </is>
      </c>
      <c r="B51" t="inlineStr">
        <is>
          <t>ra2_allies_alliedmobileconstructionvehicle</t>
        </is>
      </c>
      <c r="C51" t="inlineStr">
        <is>
          <t>Allied Mobile Construction Vehicle</t>
        </is>
      </c>
      <c r="D51" s="6" t="inlineStr">
        <is>
          <t>SupportVehicle</t>
        </is>
      </c>
      <c r="E51" s="6" t="n">
        <v>300000</v>
      </c>
      <c r="F51" s="6" t="n">
        <v>75</v>
      </c>
      <c r="G51" t="inlineStr">
        <is>
          <t>Medium</t>
        </is>
      </c>
      <c r="H51" s="6" t="n">
        <v>0.782</v>
      </c>
      <c r="I51" s="6" t="n">
        <v>1</v>
      </c>
      <c r="J51" s="6" t="n">
        <v>1</v>
      </c>
      <c r="K51" s="6" t="n"/>
      <c r="X51" s="6" t="n">
        <v>5000</v>
      </c>
    </row>
    <row r="52">
      <c r="A52" t="inlineStr">
        <is>
          <t>redalert2</t>
        </is>
      </c>
      <c r="B52" t="inlineStr">
        <is>
          <t>ra2_allies_battlefortress</t>
        </is>
      </c>
      <c r="C52" t="inlineStr">
        <is>
          <t>Battle Fortress</t>
        </is>
      </c>
      <c r="D52" s="6" t="inlineStr">
        <is>
          <t>LineBreaker</t>
        </is>
      </c>
      <c r="E52" s="6" t="n">
        <v>320000</v>
      </c>
      <c r="F52" s="6" t="n">
        <v>60</v>
      </c>
      <c r="G52" t="inlineStr">
        <is>
          <t>Superheavy</t>
        </is>
      </c>
      <c r="H52" s="6" t="n">
        <v>0.4985</v>
      </c>
      <c r="I52" s="6" t="n">
        <v>1</v>
      </c>
      <c r="J52" s="6" t="n">
        <v>1</v>
      </c>
      <c r="K52" s="6" t="n"/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(((E52/750000)+(F52/80)+(S52/1600)+((P52/2500)*J52))*1600/4+(((E52/750000)*(F52/80))+(((P52/2500)*J52)*(S52/1600)))*1600/2+((E52/750000)*(F52/80)*((P52/2500)*J52)*(S52/1600))*1600)*(H52/1.0)/3</f>
        <v/>
      </c>
      <c r="X52" s="6" t="n">
        <v>4000</v>
      </c>
      <c r="Y52">
        <f>IFERROR(W52-X52,"")</f>
        <v/>
      </c>
      <c r="Z52">
        <f>IFERROR(ABS(Y52)/MAX(X52,1),"")</f>
        <v/>
      </c>
      <c r="AA52">
        <f>IFERROR(ROUND(((3*X52-(((E52/750000)+(F52/80)+(S52/1600))*1600/4+((E52/750000)*(F52/80))*1600/2)*(H52/1.0))/(1600/4+((S52/1600))*1600/2+((E52/750000)*(F52/80)*(S52/1600))*1600)*(H52/1.0)*2500)/J52,-1),"")</f>
        <v/>
      </c>
    </row>
    <row r="53">
      <c r="B53" s="7" t="inlineStr">
        <is>
          <t xml:space="preserve">  ↳ RA220mmrapid</t>
        </is>
      </c>
      <c r="C53" s="7" t="inlineStr">
        <is>
          <t>Armament</t>
        </is>
      </c>
      <c r="L53" s="6" t="n">
        <v>8000</v>
      </c>
      <c r="M53" s="6" t="n">
        <v>15</v>
      </c>
      <c r="N53" s="6" t="n">
        <v>1</v>
      </c>
      <c r="O53" s="6" t="n"/>
      <c r="P53" s="6" t="n">
        <v>5000</v>
      </c>
      <c r="Q53" s="6" t="n">
        <v>0.875</v>
      </c>
      <c r="R53">
        <f>M53+IF(N53&gt;1,N(O53)*(N53-1),0)</f>
        <v/>
      </c>
      <c r="S53">
        <f>IFERROR(L53*MAX(N53,1)/R53*IF(ISBLANK(K52),1,K52),0)</f>
        <v/>
      </c>
      <c r="AB53" s="7" t="inlineStr">
        <is>
          <t>^Warhead_Bullet_Light, ^Warhead_Bullet_Medium</t>
        </is>
      </c>
    </row>
    <row r="54">
      <c r="A54" t="inlineStr">
        <is>
          <t>redalert2</t>
        </is>
      </c>
      <c r="B54" t="inlineStr">
        <is>
          <t>ra2_allies_battlefortress_chrono</t>
        </is>
      </c>
      <c r="C54" t="inlineStr">
        <is>
          <t>Battle Fortress</t>
        </is>
      </c>
      <c r="D54" s="6" t="inlineStr">
        <is>
          <t>LineBreaker</t>
        </is>
      </c>
      <c r="E54" s="6" t="n">
        <v>320000</v>
      </c>
      <c r="F54" s="6" t="n">
        <v>60</v>
      </c>
      <c r="G54" t="inlineStr">
        <is>
          <t>Superheavy</t>
        </is>
      </c>
      <c r="H54" s="6" t="n">
        <v>0.5669999999999999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(((E54/750000)+(F54/80)+(S54/1600)+((P54/2500)*J54))*1600/4+(((E54/750000)*(F54/80))+(((P54/2500)*J54)*(S54/1600)))*1600/2+((E54/750000)*(F54/80)*((P54/2500)*J54)*(S54/1600))*1600)*(H54/1.0)/3</f>
        <v/>
      </c>
      <c r="X54" s="6" t="n">
        <v>4000</v>
      </c>
      <c r="Y54">
        <f>IFERROR(W54-X54,"")</f>
        <v/>
      </c>
      <c r="Z54">
        <f>IFERROR(ABS(Y54)/MAX(X54,1),"")</f>
        <v/>
      </c>
      <c r="AA54">
        <f>IFERROR(ROUND(((3*X54-(((E54/750000)+(F54/80)+(S54/1600))*1600/4+((E54/750000)*(F54/80))*1600/2)*(H54/1.0))/(1600/4+((S54/1600))*1600/2+((E54/750000)*(F54/80)*(S54/1600))*1600)*(H54/1.0)*2500)/J54,-1),"")</f>
        <v/>
      </c>
    </row>
    <row r="55">
      <c r="B55" s="7" t="inlineStr">
        <is>
          <t xml:space="preserve">  ↳ RA220mmrapid</t>
        </is>
      </c>
      <c r="C55" s="7" t="inlineStr">
        <is>
          <t>Armament</t>
        </is>
      </c>
      <c r="L55" s="6" t="n">
        <v>8000</v>
      </c>
      <c r="M55" s="6" t="n">
        <v>15</v>
      </c>
      <c r="N55" s="6" t="n">
        <v>1</v>
      </c>
      <c r="O55" s="6" t="n"/>
      <c r="P55" s="6" t="n">
        <v>5000</v>
      </c>
      <c r="Q55" s="6" t="n">
        <v>0.875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^Warhead_Bullet_Light, ^Warhead_Bullet_Medium</t>
        </is>
      </c>
    </row>
    <row r="56">
      <c r="A56" t="inlineStr">
        <is>
          <t>redalert2</t>
        </is>
      </c>
      <c r="B56" t="inlineStr">
        <is>
          <t>ra2_allies_battlefortress_empty</t>
        </is>
      </c>
      <c r="C56" t="inlineStr">
        <is>
          <t>Battle Fortress</t>
        </is>
      </c>
      <c r="D56" s="6" t="inlineStr">
        <is>
          <t>LineBreaker</t>
        </is>
      </c>
      <c r="E56" s="6" t="n">
        <v>320000</v>
      </c>
      <c r="F56" s="6" t="n">
        <v>60</v>
      </c>
      <c r="G56" t="inlineStr">
        <is>
          <t>Superheavy</t>
        </is>
      </c>
      <c r="H56" s="6" t="n">
        <v>0.5669999999999999</v>
      </c>
      <c r="I56" s="6" t="n">
        <v>1</v>
      </c>
      <c r="J56" s="6" t="n">
        <v>1</v>
      </c>
      <c r="K56" s="6" t="n"/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(((E56/750000)+(F56/80)+(S56/1600)+((P56/2500)*J56))*1600/4+(((E56/750000)*(F56/80))+(((P56/2500)*J56)*(S56/1600)))*1600/2+((E56/750000)*(F56/80)*((P56/2500)*J56)*(S56/1600))*1600)*(H56/1.0)/3</f>
        <v/>
      </c>
      <c r="X56" s="6" t="n">
        <v>4000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RA220mmrapid</t>
        </is>
      </c>
      <c r="C57" s="7" t="inlineStr">
        <is>
          <t>Armament</t>
        </is>
      </c>
      <c r="L57" s="6" t="n">
        <v>8000</v>
      </c>
      <c r="M57" s="6" t="n">
        <v>15</v>
      </c>
      <c r="N57" s="6" t="n">
        <v>1</v>
      </c>
      <c r="O57" s="6" t="n"/>
      <c r="P57" s="6" t="n">
        <v>5000</v>
      </c>
      <c r="Q57" s="6" t="n">
        <v>0.875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^Warhead_Bullet_Light, ^Warhead_Bullet_Medium</t>
        </is>
      </c>
    </row>
    <row r="58">
      <c r="A58" t="inlineStr">
        <is>
          <t>redalert2</t>
        </is>
      </c>
      <c r="B58" t="inlineStr">
        <is>
          <t>ra2_allies_chronominer</t>
        </is>
      </c>
      <c r="C58" t="inlineStr">
        <is>
          <t>Chrono Miner</t>
        </is>
      </c>
      <c r="D58" s="6" t="inlineStr">
        <is>
          <t>Harvester</t>
        </is>
      </c>
      <c r="E58" s="6" t="n">
        <v>100000</v>
      </c>
      <c r="F58" s="6" t="n">
        <v>100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K58" s="6" t="n"/>
      <c r="X58" s="6" t="n">
        <v>1000</v>
      </c>
    </row>
    <row r="59">
      <c r="A59" t="inlineStr">
        <is>
          <t>redalert2</t>
        </is>
      </c>
      <c r="B59" t="inlineStr">
        <is>
          <t>ra2_allies_grizzlytank</t>
        </is>
      </c>
      <c r="C59" t="inlineStr">
        <is>
          <t>Grizzly Tank</t>
        </is>
      </c>
      <c r="D59" s="6" t="inlineStr">
        <is>
          <t>MainBattleTank</t>
        </is>
      </c>
      <c r="E59" s="6" t="n">
        <v>100000</v>
      </c>
      <c r="F59" s="6" t="n">
        <v>95</v>
      </c>
      <c r="G59" t="inlineStr">
        <is>
          <t>Heavy</t>
        </is>
      </c>
      <c r="H59" s="6" t="n">
        <v>1</v>
      </c>
      <c r="I59" s="6" t="n">
        <v>1</v>
      </c>
      <c r="J59" s="6" t="n">
        <v>1</v>
      </c>
      <c r="K59" s="6" t="n">
        <v>0.016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(((E59/240000)+(F59/95)+(S59/600)+((P59/5500)*J59))*800/4+(((E59/240000)*(F59/95))+(((P59/5500)*J59)*(S59/600)))*800/2+((E59/240000)*(F59/95)*((P59/5500)*J59)*(S59/600))*800)*(H59/1.0)/3</f>
        <v/>
      </c>
      <c r="X59" s="6" t="n">
        <v>750</v>
      </c>
      <c r="Y59">
        <f>IFERROR(W59-X59,"")</f>
        <v/>
      </c>
      <c r="Z59">
        <f>IFERROR(ABS(Y59)/MAX(X59,1),"")</f>
        <v/>
      </c>
      <c r="AA59">
        <f>IFERROR(ROUND(((3*X59-(((E59/240000)+(F59/95)+(S59/600))*800/4+((E59/240000)*(F59/95))*800/2)*(H59/1.0))/(800/4+((S59/600))*800/2+((E59/240000)*(F59/95)*(S59/600))*800)*(H59/1.0)*5500)/J59,-1),"")</f>
        <v/>
      </c>
    </row>
    <row r="60">
      <c r="B60" s="7" t="inlineStr">
        <is>
          <t xml:space="preserve">  ↳ RA2105mm</t>
        </is>
      </c>
      <c r="C60" s="7" t="inlineStr">
        <is>
          <t>Armament</t>
        </is>
      </c>
      <c r="L60" s="6" t="n">
        <v>8000</v>
      </c>
      <c r="M60" s="6" t="n">
        <v>45</v>
      </c>
      <c r="N60" s="6" t="n">
        <v>1</v>
      </c>
      <c r="O60" s="6" t="n"/>
      <c r="P60" s="6" t="n">
        <v>5289</v>
      </c>
      <c r="Q60" s="6" t="n">
        <v>1</v>
      </c>
      <c r="R60">
        <f>M60+IF(N60&gt;1,N(O60)*(N60-1),0)</f>
        <v/>
      </c>
      <c r="S60">
        <f>IFERROR(L60*MAX(N60,1)/R60*IF(ISBLANK(K59),1,K59),0)</f>
        <v/>
      </c>
      <c r="AB60" s="7" t="inlineStr">
        <is>
          <t>^Warhead_CannonHE_Medium</t>
        </is>
      </c>
    </row>
    <row r="61">
      <c r="B61" s="7" t="inlineStr">
        <is>
          <t xml:space="preserve">  ↳ RA2105mm_elite</t>
        </is>
      </c>
      <c r="C61" s="7" t="inlineStr">
        <is>
          <t>Armament@elite</t>
        </is>
      </c>
      <c r="L61" s="6" t="n">
        <v>8000</v>
      </c>
      <c r="M61" s="6" t="n">
        <v>45</v>
      </c>
      <c r="N61" s="6" t="n">
        <v>2</v>
      </c>
      <c r="O61" s="6" t="n">
        <v>3</v>
      </c>
      <c r="P61" s="6" t="n">
        <v>6289</v>
      </c>
      <c r="Q61" s="6" t="n">
        <v>1</v>
      </c>
      <c r="R61">
        <f>M61+IF(N61&gt;1,N(O61)*(N61-1),0)</f>
        <v/>
      </c>
      <c r="S61">
        <f>IFERROR(L61*MAX(N61,1)/R61*IF(ISBLANK(K59),1,K59),0)</f>
        <v/>
      </c>
      <c r="AB61" s="7" t="inlineStr">
        <is>
          <t>^Warhead_CannonHE_Medium</t>
        </is>
      </c>
    </row>
    <row r="62">
      <c r="A62" t="inlineStr">
        <is>
          <t>redalert2</t>
        </is>
      </c>
      <c r="B62" t="inlineStr">
        <is>
          <t>ra2_allies_heavymiragetank</t>
        </is>
      </c>
      <c r="C62" t="inlineStr">
        <is>
          <t>Heavy Mirage Tank</t>
        </is>
      </c>
      <c r="D62" s="6" t="inlineStr">
        <is>
          <t>HighTechTank</t>
        </is>
      </c>
      <c r="E62" s="6" t="n">
        <v>240000</v>
      </c>
      <c r="F62" s="6" t="n">
        <v>60</v>
      </c>
      <c r="G62" t="inlineStr">
        <is>
          <t>Superheavy</t>
        </is>
      </c>
      <c r="H62" s="6" t="n">
        <v>0.75</v>
      </c>
      <c r="I62" s="6" t="n">
        <v>1</v>
      </c>
      <c r="J62" s="6" t="n">
        <v>1</v>
      </c>
      <c r="K62" s="6" t="n"/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(((E62/700000)+(F62/65)+(S62/2000)+((P62/6500)*J62))*2000/4+(((E62/700000)*(F62/65))+(((P62/6500)*J62)*(S62/2000)))*2000/2+((E62/700000)*(F62/65)*((P62/6500)*J62)*(S62/2000))*2000)*(H62/0.75)/3</f>
        <v/>
      </c>
      <c r="X62" s="6" t="n">
        <v>2000</v>
      </c>
      <c r="Y62">
        <f>IFERROR(W62-X62,"")</f>
        <v/>
      </c>
      <c r="Z62">
        <f>IFERROR(ABS(Y62)/MAX(X62,1),"")</f>
        <v/>
      </c>
      <c r="AA62">
        <f>IFERROR(ROUND(((3*X62-(((E62/700000)+(F62/65)+(S62/2000))*2000/4+((E62/700000)*(F62/65))*2000/2)*(H62/0.75))/(2000/4+((S62/2000))*2000/2+((E62/700000)*(F62/65)*(S62/2000))*2000)*(H62/0.75)*6500)/J62,-1),"")</f>
        <v/>
      </c>
    </row>
    <row r="63">
      <c r="B63" s="7" t="inlineStr">
        <is>
          <t xml:space="preserve">  ↳ RA2HeavyMirageGun</t>
        </is>
      </c>
      <c r="C63" s="7" t="inlineStr">
        <is>
          <t>Armament</t>
        </is>
      </c>
      <c r="L63" s="6" t="n">
        <v>32000</v>
      </c>
      <c r="M63" s="6" t="n">
        <v>51</v>
      </c>
      <c r="N63" s="6" t="n">
        <v>1</v>
      </c>
      <c r="O63" s="6" t="n"/>
      <c r="P63" s="6" t="n">
        <v>6112</v>
      </c>
      <c r="Q63" s="6" t="n">
        <v>0.75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^Warhead_CannonAP_Light</t>
        </is>
      </c>
    </row>
    <row r="64">
      <c r="B64" s="7" t="inlineStr">
        <is>
          <t xml:space="preserve">  ↳ RA2HeavyMirageGun_elite</t>
        </is>
      </c>
      <c r="C64" s="7" t="inlineStr">
        <is>
          <t>Armament@elite</t>
        </is>
      </c>
      <c r="L64" s="6" t="n">
        <v>32000</v>
      </c>
      <c r="M64" s="6" t="n">
        <v>51</v>
      </c>
      <c r="N64" s="6" t="n">
        <v>2</v>
      </c>
      <c r="O64" s="6" t="n">
        <v>3</v>
      </c>
      <c r="P64" s="6" t="n">
        <v>7112</v>
      </c>
      <c r="Q64" s="6" t="n">
        <v>0.75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^Warhead_CannonAP_Light</t>
        </is>
      </c>
    </row>
    <row r="65">
      <c r="A65" t="inlineStr">
        <is>
          <t>redalert2</t>
        </is>
      </c>
      <c r="B65" t="inlineStr">
        <is>
          <t>ra2_allies_ifv</t>
        </is>
      </c>
      <c r="C65" t="inlineStr">
        <is>
          <t>actor_fv.name</t>
        </is>
      </c>
      <c r="D65" s="6" t="inlineStr">
        <is>
          <t>ScoutVehicle</t>
        </is>
      </c>
      <c r="E65" s="6" t="n">
        <v>25000</v>
      </c>
      <c r="F65" s="6" t="n">
        <v>150</v>
      </c>
      <c r="G65" t="inlineStr">
        <is>
          <t>Scout</t>
        </is>
      </c>
      <c r="H65" s="6" t="n">
        <v>0.8639</v>
      </c>
      <c r="I65" s="6" t="n">
        <v>1</v>
      </c>
      <c r="J65" s="6" t="n">
        <v>1</v>
      </c>
      <c r="K65" s="6" t="n"/>
      <c r="P65">
        <f>MAX(P66,P67,P68,P69,P70,P71,P72,P73,P74,P75,P76,P77,P78,P79,P80,P81,P82,P83,P84,P88,P89,P90,P91,P92,P93,P94,P95,P96,P97,P98,P99,P100,P101,P102,P103,P104,P105,P106,P107)</f>
        <v/>
      </c>
      <c r="S65">
        <f>S66+S67+S68+S69+S70+S71+S72+S73+S74+S75+S76+S77+S78+S79+S80+S81+S82+S83+S84+S88+S89+S90+S91+S92+S93+S94+S95+S96+S97+S98+S99+S100+S101+S102+S103+S104+S105+S106+S107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(((E65/30000)+(F65/200)+(S65/450)+((P65/4500)*J65))*300/4+(((E65/30000)*(F65/200))+(((P65/4500)*J65)*(S65/450)))*300/2+((E65/30000)*(F65/200)*((P65/4500)*J65)*(S65/450))*300)*(H65/1.0)/3</f>
        <v/>
      </c>
      <c r="X65" s="6" t="n">
        <v>500</v>
      </c>
      <c r="Y65">
        <f>IFERROR(W65-X65,"")</f>
        <v/>
      </c>
      <c r="Z65">
        <f>IFERROR(ABS(Y65)/MAX(X65,1),"")</f>
        <v/>
      </c>
      <c r="AA65">
        <f>IFERROR(ROUND(((3*X65-(((E65/30000)+(F65/200)+(S65/450))*300/4+((E65/30000)*(F65/200))*300/2)*(H65/1.0))/(300/4+((S65/450))*300/2+((E65/30000)*(F65/200)*(S65/450))*300)*(H65/1.0)*4500)/J65,-1),"")</f>
        <v/>
      </c>
    </row>
    <row r="66">
      <c r="B66" s="7" t="inlineStr">
        <is>
          <t xml:space="preserve">  ↳ RA2CRM60</t>
        </is>
      </c>
      <c r="C66" s="7" t="inlineStr">
        <is>
          <t>Armament@mg</t>
        </is>
      </c>
      <c r="L66" s="6" t="n">
        <v>4000</v>
      </c>
      <c r="M66" s="6" t="n">
        <v>14</v>
      </c>
      <c r="N66" s="6" t="n">
        <v>4</v>
      </c>
      <c r="O66" s="6" t="n">
        <v>2</v>
      </c>
      <c r="P66" s="6" t="n">
        <v>5660</v>
      </c>
      <c r="Q66" s="6" t="n">
        <v>0.875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^Warhead_Bullet_Light, ^Warhead_Bullet_Medium</t>
        </is>
      </c>
    </row>
    <row r="67">
      <c r="B67" s="7" t="inlineStr">
        <is>
          <t xml:space="preserve">  ↳ RA2CRM60H</t>
        </is>
      </c>
      <c r="C67" s="7" t="inlineStr">
        <is>
          <t>Armament@hmg</t>
        </is>
      </c>
      <c r="L67" s="6" t="n">
        <v>6000</v>
      </c>
      <c r="M67" s="6" t="n">
        <v>10</v>
      </c>
      <c r="N67" s="6" t="n">
        <v>6</v>
      </c>
      <c r="O67" s="6" t="n">
        <v>2</v>
      </c>
      <c r="P67" s="6" t="n">
        <v>4692</v>
      </c>
      <c r="Q67" s="6" t="n">
        <v>1.125</v>
      </c>
      <c r="R67">
        <f>M67+IF(N67&gt;1,N(O67)*(N67-1),0)</f>
        <v/>
      </c>
      <c r="S67">
        <f>IFERROR(L67*MAX(N67,1)/R67*IF(ISBLANK(K65),1,K65),0)</f>
        <v/>
      </c>
      <c r="AB67" s="7" t="inlineStr">
        <is>
          <t>^Warhead_CannonHE_Heavy, ^Warhead_Bullet_Medium</t>
        </is>
      </c>
    </row>
    <row r="68">
      <c r="B68" s="7" t="inlineStr">
        <is>
          <t xml:space="preserve">  ↳ wc_tower_fire</t>
        </is>
      </c>
      <c r="C68" s="7" t="inlineStr">
        <is>
          <t>Armament@archer</t>
        </is>
      </c>
      <c r="L68" s="6" t="n">
        <v>2500</v>
      </c>
      <c r="M68" s="6" t="n">
        <v>40</v>
      </c>
      <c r="N68" s="6" t="n">
        <v>1</v>
      </c>
      <c r="O68" s="6" t="n"/>
      <c r="P68" s="6" t="n">
        <v>8704</v>
      </c>
      <c r="Q68" s="6" t="n">
        <v>1</v>
      </c>
      <c r="R68">
        <f>M68+IF(N68&gt;1,N(O68)*(N68-1),0)</f>
        <v/>
      </c>
      <c r="S68">
        <f>IFERROR(L68*MAX(N68,1)/R68*IF(ISBLANK(K65),1,K65),0)</f>
        <v/>
      </c>
      <c r="AB68" s="7" t="inlineStr">
        <is>
          <t>bowFire</t>
        </is>
      </c>
    </row>
    <row r="69">
      <c r="B69" s="7" t="inlineStr">
        <is>
          <t xml:space="preserve">  ↳ RA2IFVRepair</t>
        </is>
      </c>
      <c r="C69" s="7" t="inlineStr">
        <is>
          <t>Armament@repair</t>
        </is>
      </c>
      <c r="L69" s="6" t="n">
        <v>-3000</v>
      </c>
      <c r="M69" s="6" t="n">
        <v>50</v>
      </c>
      <c r="N69" s="6" t="n">
        <v>10</v>
      </c>
      <c r="O69" s="6" t="n">
        <v>1</v>
      </c>
      <c r="P69" s="6" t="n">
        <v>5000</v>
      </c>
      <c r="Q69" s="6" t="n">
        <v>1</v>
      </c>
      <c r="R69">
        <f>M69+IF(N69&gt;1,N(O69)*(N69-1),0)</f>
        <v/>
      </c>
      <c r="S69">
        <f>IFERROR(L69*MAX(N69,1)/R69*IF(ISBLANK(K65),1,K65),0)</f>
        <v/>
      </c>
      <c r="AB69" s="7" t="inlineStr">
        <is>
          <t>^RepairWeapon</t>
        </is>
      </c>
    </row>
    <row r="70">
      <c r="B70" s="7" t="inlineStr">
        <is>
          <t xml:space="preserve">  ↳ LightSniper</t>
        </is>
      </c>
      <c r="C70" s="7" t="inlineStr">
        <is>
          <t>Armament@lightsniper</t>
        </is>
      </c>
      <c r="L70" s="6" t="n">
        <v>30000</v>
      </c>
      <c r="M70" s="6" t="n">
        <v>100</v>
      </c>
      <c r="N70" s="6" t="n">
        <v>1</v>
      </c>
      <c r="O70" s="6" t="n"/>
      <c r="P70" s="6" t="n">
        <v>9153</v>
      </c>
      <c r="Q70" s="6" t="n">
        <v>0.75</v>
      </c>
      <c r="R70">
        <f>M70+IF(N70&gt;1,N(O70)*(N70-1),0)</f>
        <v/>
      </c>
      <c r="S70">
        <f>IFERROR(L70*MAX(N70,1)/R70*IF(ISBLANK(K65),1,K65),0)</f>
        <v/>
      </c>
      <c r="AB70" s="7" t="inlineStr">
        <is>
          <t>^Warhead_Sniper_Light</t>
        </is>
      </c>
    </row>
    <row r="71">
      <c r="B71" s="7" t="inlineStr">
        <is>
          <t xml:space="preserve">  ↳ RA2DoublePistolsIFV</t>
        </is>
      </c>
      <c r="C71" s="7" t="inlineStr">
        <is>
          <t>Armament@hero</t>
        </is>
      </c>
      <c r="L71" s="6" t="n">
        <v>14000</v>
      </c>
      <c r="M71" s="6" t="n">
        <v>12</v>
      </c>
      <c r="N71" s="6" t="n">
        <v>2</v>
      </c>
      <c r="O71" s="6" t="n">
        <v>3</v>
      </c>
      <c r="P71" s="6" t="n">
        <v>8000</v>
      </c>
      <c r="Q71" s="6" t="n">
        <v>0.75</v>
      </c>
      <c r="R71">
        <f>M71+IF(N71&gt;1,N(O71)*(N71-1),0)</f>
        <v/>
      </c>
      <c r="S71">
        <f>IFERROR(L71*MAX(N71,1)/R71*IF(ISBLANK(K65),1,K65),0)</f>
        <v/>
      </c>
      <c r="AB71" s="7" t="inlineStr">
        <is>
          <t>^Warhead_Sniper_Light</t>
        </is>
      </c>
    </row>
    <row r="72">
      <c r="B72" s="7" t="inlineStr">
        <is>
          <t xml:space="preserve">  ↳ TTankZap</t>
        </is>
      </c>
      <c r="C72" s="7" t="inlineStr">
        <is>
          <t>Armament@tesla</t>
        </is>
      </c>
      <c r="L72" s="6" t="n">
        <v>40000</v>
      </c>
      <c r="M72" s="6" t="n">
        <v>80</v>
      </c>
      <c r="N72" s="6" t="n">
        <v>1</v>
      </c>
      <c r="O72" s="6" t="n"/>
      <c r="P72" s="6" t="n">
        <v>7300</v>
      </c>
      <c r="Q72" s="6" t="n">
        <v>1.25</v>
      </c>
      <c r="R72">
        <f>M72+IF(N72&gt;1,N(O72)*(N72-1),0)</f>
        <v/>
      </c>
      <c r="S72">
        <f>IFERROR(L72*MAX(N72,1)/R72*IF(ISBLANK(K65),1,K65),0)</f>
        <v/>
      </c>
      <c r="AB72" s="7" t="inlineStr">
        <is>
          <t>^Warhead_Tesla_Heavy</t>
        </is>
      </c>
    </row>
    <row r="73">
      <c r="B73" s="7" t="inlineStr">
        <is>
          <t xml:space="preserve">  ↳ DragunovSniper</t>
        </is>
      </c>
      <c r="C73" s="7" t="inlineStr">
        <is>
          <t>Armament@flak</t>
        </is>
      </c>
      <c r="L73" s="6" t="n">
        <v>400000</v>
      </c>
      <c r="M73" s="6" t="n">
        <v>85</v>
      </c>
      <c r="N73" s="6" t="n">
        <v>1</v>
      </c>
      <c r="O73" s="6" t="n"/>
      <c r="P73" s="6" t="n">
        <v>5804</v>
      </c>
      <c r="Q73" s="6" t="n">
        <v>1</v>
      </c>
      <c r="R73">
        <f>M73+IF(N73&gt;1,N(O73)*(N73-1),0)</f>
        <v/>
      </c>
      <c r="S73">
        <f>IFERROR(L73*MAX(N73,1)/R73*IF(ISBLANK(K65),1,K65),0)</f>
        <v/>
      </c>
      <c r="AB73" s="7" t="inlineStr">
        <is>
          <t>^TankDestroyerCannon, ^RailgunWeapon, ^LightMissile, ^HeavyCannon, ^FlakWeapon</t>
        </is>
      </c>
    </row>
    <row r="74">
      <c r="B74" s="7" t="inlineStr">
        <is>
          <t xml:space="preserve">  ↳ RA2MirageGun</t>
        </is>
      </c>
      <c r="C74" s="7" t="inlineStr">
        <is>
          <t>Armament@cannon</t>
        </is>
      </c>
      <c r="L74" s="6" t="n">
        <v>24000</v>
      </c>
      <c r="M74" s="6" t="n">
        <v>39</v>
      </c>
      <c r="N74" s="6" t="n">
        <v>1</v>
      </c>
      <c r="O74" s="6" t="n"/>
      <c r="P74" s="6" t="n">
        <v>6031</v>
      </c>
      <c r="Q74" s="6" t="n">
        <v>0.75</v>
      </c>
      <c r="R74">
        <f>M74+IF(N74&gt;1,N(O74)*(N74-1),0)</f>
        <v/>
      </c>
      <c r="S74">
        <f>IFERROR(L74*MAX(N74,1)/R74*IF(ISBLANK(K65),1,K65),0)</f>
        <v/>
      </c>
      <c r="AB74" s="7" t="inlineStr">
        <is>
          <t>^Warhead_CannonAP_Light</t>
        </is>
      </c>
    </row>
    <row r="75">
      <c r="B75" s="7" t="inlineStr">
        <is>
          <t xml:space="preserve">  ↳ Grenade</t>
        </is>
      </c>
      <c r="C75" s="7" t="inlineStr">
        <is>
          <t>Armament@grenade</t>
        </is>
      </c>
      <c r="L75" s="6" t="n">
        <v>16000</v>
      </c>
      <c r="M75" s="6" t="n">
        <v>42</v>
      </c>
      <c r="N75" s="6" t="n">
        <v>1</v>
      </c>
      <c r="O75" s="6" t="n"/>
      <c r="P75" s="6" t="n">
        <v>6097</v>
      </c>
      <c r="Q75" s="6" t="n">
        <v>0.75</v>
      </c>
      <c r="R75">
        <f>M75+IF(N75&gt;1,N(O75)*(N75-1),0)</f>
        <v/>
      </c>
      <c r="S75">
        <f>IFERROR(L75*MAX(N75,1)/R75*IF(ISBLANK(K65),1,K65),0)</f>
        <v/>
      </c>
      <c r="AB75" s="7" t="inlineStr">
        <is>
          <t>^Warhead_Demolition_Light</t>
        </is>
      </c>
    </row>
    <row r="76">
      <c r="B76" s="7" t="inlineStr">
        <is>
          <t xml:space="preserve">  ↳ DRPlasmaTankWeapon</t>
        </is>
      </c>
      <c r="C76" s="7" t="inlineStr">
        <is>
          <t>Armament@plasma</t>
        </is>
      </c>
      <c r="L76" s="6" t="n">
        <v>6250</v>
      </c>
      <c r="M76" s="6" t="n">
        <v>21</v>
      </c>
      <c r="N76" s="6" t="n">
        <v>1</v>
      </c>
      <c r="O76" s="6" t="n"/>
      <c r="P76" s="6" t="n">
        <v>5120</v>
      </c>
      <c r="Q76" s="6" t="n">
        <v>1</v>
      </c>
      <c r="R76">
        <f>M76+IF(N76&gt;1,N(O76)*(N76-1),0)</f>
        <v/>
      </c>
      <c r="S76">
        <f>IFERROR(L76*MAX(N76,1)/R76*IF(ISBLANK(K65),1,K65),0)</f>
        <v/>
      </c>
      <c r="AB76" s="7" t="inlineStr">
        <is>
          <t>^DRPlasmaWeapon</t>
        </is>
      </c>
    </row>
    <row r="77">
      <c r="B77" s="7" t="inlineStr">
        <is>
          <t xml:space="preserve">  ↳ SWLaserG</t>
        </is>
      </c>
      <c r="C77" s="7" t="inlineStr">
        <is>
          <t>Armament@litlaser</t>
        </is>
      </c>
      <c r="L77" s="6" t="n">
        <v>2000</v>
      </c>
      <c r="M77" s="6" t="n">
        <v>30</v>
      </c>
      <c r="N77" s="6" t="n">
        <v>6</v>
      </c>
      <c r="O77" s="6" t="n"/>
      <c r="P77" s="6" t="n">
        <v>6144</v>
      </c>
      <c r="Q77" s="6" t="n">
        <v>1</v>
      </c>
      <c r="R77">
        <f>M77+IF(N77&gt;1,N(O77)*(N77-1),0)</f>
        <v/>
      </c>
      <c r="S77">
        <f>IFERROR(L77*MAX(N77,1)/R77*IF(ISBLANK(K65),1,K65),0)</f>
        <v/>
      </c>
      <c r="AB77" s="7" t="inlineStr">
        <is>
          <t>SWLaser</t>
        </is>
      </c>
    </row>
    <row r="78">
      <c r="B78" s="7" t="inlineStr">
        <is>
          <t xml:space="preserve">  ↳ USALaserCannonAG</t>
        </is>
      </c>
      <c r="C78" s="7" t="inlineStr">
        <is>
          <t>Armament@medlaser</t>
        </is>
      </c>
      <c r="L78" s="6" t="n">
        <v>4000</v>
      </c>
      <c r="M78" s="6" t="n">
        <v>50</v>
      </c>
      <c r="N78" s="6" t="n">
        <v>3</v>
      </c>
      <c r="O78" s="6" t="n">
        <v>6</v>
      </c>
      <c r="P78" s="6" t="n">
        <v>7168</v>
      </c>
      <c r="Q78" s="6" t="n">
        <v>1</v>
      </c>
      <c r="R78">
        <f>M78+IF(N78&gt;1,N(O78)*(N78-1),0)</f>
        <v/>
      </c>
      <c r="S78">
        <f>IFERROR(L78*MAX(N78,1)/R78*IF(ISBLANK(K65),1,K65),0)</f>
        <v/>
      </c>
      <c r="AB78" s="7" t="inlineStr">
        <is>
          <t>^AntiGroundMissile</t>
        </is>
      </c>
    </row>
    <row r="79">
      <c r="B79" s="7" t="inlineStr">
        <is>
          <t xml:space="preserve">  ↳ SWGreenLaserG</t>
        </is>
      </c>
      <c r="C79" s="7" t="inlineStr">
        <is>
          <t>Armament@greenlaser</t>
        </is>
      </c>
      <c r="L79" s="6" t="n">
        <v>5000</v>
      </c>
      <c r="M79" s="6" t="n">
        <v>75</v>
      </c>
      <c r="N79" s="6" t="n">
        <v>1</v>
      </c>
      <c r="O79" s="6" t="n"/>
      <c r="P79" s="6" t="n">
        <v>7168</v>
      </c>
      <c r="Q79" s="6" t="n">
        <v>1</v>
      </c>
      <c r="R79">
        <f>M79+IF(N79&gt;1,N(O79)*(N79-1),0)</f>
        <v/>
      </c>
      <c r="S79">
        <f>IFERROR(L79*MAX(N79,1)/R79*IF(ISBLANK(K65),1,K65),0)</f>
        <v/>
      </c>
      <c r="AB79" s="7" t="inlineStr">
        <is>
          <t>SWGreenLaser</t>
        </is>
      </c>
    </row>
    <row r="80">
      <c r="B80" s="7" t="inlineStr">
        <is>
          <t xml:space="preserve">  ↳ SWGBigRedLaserG</t>
        </is>
      </c>
      <c r="C80" s="7" t="inlineStr">
        <is>
          <t>Armament@misslaser</t>
        </is>
      </c>
      <c r="L80" s="6" t="n">
        <v>4000</v>
      </c>
      <c r="M80" s="6" t="n">
        <v>75</v>
      </c>
      <c r="N80" s="6" t="n">
        <v>1</v>
      </c>
      <c r="O80" s="6" t="n"/>
      <c r="P80" s="6" t="n">
        <v>8192</v>
      </c>
      <c r="Q80" s="6" t="n">
        <v>1</v>
      </c>
      <c r="R80">
        <f>M80+IF(N80&gt;1,N(O80)*(N80-1),0)</f>
        <v/>
      </c>
      <c r="S80">
        <f>IFERROR(L80*MAX(N80,1)/R80*IF(ISBLANK(K65),1,K65),0)</f>
        <v/>
      </c>
      <c r="AB80" s="7" t="inlineStr">
        <is>
          <t>SWrBigRedLaser</t>
        </is>
      </c>
    </row>
    <row r="81">
      <c r="B81" s="7" t="inlineStr">
        <is>
          <t xml:space="preserve">  ↳ BigFlamer</t>
        </is>
      </c>
      <c r="C81" s="7" t="inlineStr">
        <is>
          <t>Armament@fire</t>
        </is>
      </c>
      <c r="L81" s="6" t="n">
        <v>14000</v>
      </c>
      <c r="M81" s="6" t="n">
        <v>50</v>
      </c>
      <c r="N81" s="6" t="n">
        <v>2</v>
      </c>
      <c r="O81" s="6" t="n">
        <v>10</v>
      </c>
      <c r="P81" s="6" t="n">
        <v>2390</v>
      </c>
      <c r="Q81" s="6" t="n">
        <v>1</v>
      </c>
      <c r="R81">
        <f>M81+IF(N81&gt;1,N(O81)*(N81-1),0)</f>
        <v/>
      </c>
      <c r="S81">
        <f>IFERROR(L81*MAX(N81,1)/R81*IF(ISBLANK(K65),1,K65),0)</f>
        <v/>
      </c>
      <c r="AB81" s="7" t="inlineStr">
        <is>
          <t>^Warhead_Flame_Medium</t>
        </is>
      </c>
    </row>
    <row r="82">
      <c r="B82" s="7" t="inlineStr">
        <is>
          <t xml:space="preserve">  ↳ RA2RadBeamWeapon</t>
        </is>
      </c>
      <c r="C82" s="7" t="inlineStr">
        <is>
          <t>Armament@chem</t>
        </is>
      </c>
      <c r="L82" s="6" t="n">
        <v>30000</v>
      </c>
      <c r="M82" s="6" t="n">
        <v>45</v>
      </c>
      <c r="N82" s="6" t="n">
        <v>1</v>
      </c>
      <c r="O82" s="6" t="n"/>
      <c r="P82" s="6" t="n">
        <v>6444</v>
      </c>
      <c r="Q82" s="6" t="n">
        <v>1</v>
      </c>
      <c r="R82">
        <f>M82+IF(N82&gt;1,N(O82)*(N82-1),0)</f>
        <v/>
      </c>
      <c r="S82">
        <f>IFERROR(L82*MAX(N82,1)/R82*IF(ISBLANK(K65),1,K65),0)</f>
        <v/>
      </c>
      <c r="AB82" s="7" t="inlineStr">
        <is>
          <t>^Warhead_Chemical_Medium</t>
        </is>
      </c>
    </row>
    <row r="83">
      <c r="B83" s="7" t="inlineStr">
        <is>
          <t xml:space="preserve">  ↳ RA2RadBeamWeapon</t>
        </is>
      </c>
      <c r="C83" s="7" t="inlineStr">
        <is>
          <t>Armament@thrax</t>
        </is>
      </c>
      <c r="L83" s="6" t="n">
        <v>30000</v>
      </c>
      <c r="M83" s="6" t="n">
        <v>45</v>
      </c>
      <c r="N83" s="6" t="n">
        <v>1</v>
      </c>
      <c r="O83" s="6" t="n"/>
      <c r="P83" s="6" t="n">
        <v>6444</v>
      </c>
      <c r="Q83" s="6" t="n">
        <v>1</v>
      </c>
      <c r="R83">
        <f>M83+IF(N83&gt;1,N(O83)*(N83-1),0)</f>
        <v/>
      </c>
      <c r="S83">
        <f>IFERROR(L83*MAX(N83,1)/R83*IF(ISBLANK(K65),1,K65),0)</f>
        <v/>
      </c>
      <c r="AB83" s="7" t="inlineStr">
        <is>
          <t>^Warhead_Chemical_Medium</t>
        </is>
      </c>
    </row>
    <row r="84">
      <c r="B84" s="7" t="inlineStr">
        <is>
          <t xml:space="preserve">  ↳ RA2MultiHoverMissile</t>
        </is>
      </c>
      <c r="C84" s="7" t="inlineStr">
        <is>
          <t>Armament@missile</t>
        </is>
      </c>
      <c r="L84" s="6" t="n">
        <v>4000</v>
      </c>
      <c r="M84" s="6" t="n">
        <v>20</v>
      </c>
      <c r="N84" s="6" t="n">
        <v>4</v>
      </c>
      <c r="O84" s="6" t="n"/>
      <c r="P84" s="6" t="n">
        <v>6170</v>
      </c>
      <c r="Q84" s="6" t="n">
        <v>0.875</v>
      </c>
      <c r="R84">
        <f>M84+IF(N84&gt;1,N(O84)*(N84-1),0)</f>
        <v/>
      </c>
      <c r="S84">
        <f>IFERROR(L84*MAX(N84,1)/R84*IF(ISBLANK(K65),1,K65),0)</f>
        <v/>
      </c>
      <c r="AB84" s="7" t="inlineStr">
        <is>
          <t>^Warhead_CannonHE_Medium, ^Warhead_MissileHE_Light</t>
        </is>
      </c>
    </row>
    <row r="85">
      <c r="B85" s="7" t="inlineStr">
        <is>
          <t xml:space="preserve">  ↳ IFVChronoBeam</t>
        </is>
      </c>
      <c r="C85" s="7" t="inlineStr">
        <is>
          <t>Armament@chrono</t>
        </is>
      </c>
      <c r="L85" s="6" t="n"/>
      <c r="M85" s="6" t="n">
        <v>1</v>
      </c>
      <c r="N85" s="6" t="n">
        <v>1</v>
      </c>
      <c r="O85" s="6" t="n"/>
      <c r="P85" s="6" t="n">
        <v>7500</v>
      </c>
      <c r="Q85" s="6" t="n">
        <v>1</v>
      </c>
      <c r="R85">
        <f>M85+IF(N85&gt;1,N(O85)*(N85-1),0)</f>
        <v/>
      </c>
      <c r="S85">
        <f>IFERROR(L85*MAX(N85,1)/R85*IF(ISBLANK(K65),1,K65),0)</f>
        <v/>
      </c>
      <c r="AB85" s="7" t="inlineStr">
        <is>
          <t>ChronoBeam</t>
        </is>
      </c>
    </row>
    <row r="86">
      <c r="B86" s="7" t="inlineStr">
        <is>
          <t xml:space="preserve">  ↳ IFVChronoSound</t>
        </is>
      </c>
      <c r="C86" s="7" t="inlineStr">
        <is>
          <t>Armament@chronosound</t>
        </is>
      </c>
      <c r="L86" s="6" t="n"/>
      <c r="M86" s="6" t="n">
        <v>180</v>
      </c>
      <c r="N86" s="6" t="n">
        <v>1</v>
      </c>
      <c r="O86" s="6" t="n"/>
      <c r="P86" s="6" t="n">
        <v>8000</v>
      </c>
      <c r="Q86" s="6" t="n">
        <v>1</v>
      </c>
      <c r="R86">
        <f>M86+IF(N86&gt;1,N(O86)*(N86-1),0)</f>
        <v/>
      </c>
      <c r="S86">
        <f>IFERROR(L86*MAX(N86,1)/R86*IF(ISBLANK(K65),1,K65),0)</f>
        <v/>
      </c>
      <c r="AB86" s="7" t="inlineStr">
        <is>
          <t>RA2ChronoTele</t>
        </is>
      </c>
    </row>
    <row r="87">
      <c r="B87" s="7" t="inlineStr">
        <is>
          <t xml:space="preserve">  ↳ DemoTruckTargeting</t>
        </is>
      </c>
      <c r="C87" s="7" t="inlineStr">
        <is>
          <t>Armament@ivan</t>
        </is>
      </c>
      <c r="L87" s="6" t="n"/>
      <c r="M87" s="6" t="n"/>
      <c r="N87" s="6" t="n">
        <v>1</v>
      </c>
      <c r="O87" s="6" t="n"/>
      <c r="P87" s="6" t="n">
        <v>2000</v>
      </c>
      <c r="Q87" s="6" t="n">
        <v>1</v>
      </c>
      <c r="R87">
        <f>M87+IF(N87&gt;1,N(O87)*(N87-1),0)</f>
        <v/>
      </c>
      <c r="S87">
        <f>IFERROR(L87*MAX(N87,1)/R87*IF(ISBLANK(K65),1,K65),0)</f>
        <v/>
      </c>
      <c r="AB87" s="7" t="inlineStr"/>
    </row>
    <row r="88">
      <c r="B88" s="7" t="inlineStr">
        <is>
          <t xml:space="preserve">  ↳ Fremen_L</t>
        </is>
      </c>
      <c r="C88" s="7" t="inlineStr">
        <is>
          <t>Armament@fremen</t>
        </is>
      </c>
      <c r="L88" s="6" t="n">
        <v>3000</v>
      </c>
      <c r="M88" s="6" t="n">
        <v>25</v>
      </c>
      <c r="N88" s="6" t="n">
        <v>1</v>
      </c>
      <c r="O88" s="6" t="n"/>
      <c r="P88" s="6" t="n">
        <v>2560</v>
      </c>
      <c r="Q88" s="6" t="n">
        <v>1</v>
      </c>
      <c r="R88">
        <f>M88+IF(N88&gt;1,N(O88)*(N88-1),0)</f>
        <v/>
      </c>
      <c r="S88">
        <f>IFERROR(L88*MAX(N88,1)/R88*IF(ISBLANK(K65),1,K65),0)</f>
        <v/>
      </c>
      <c r="AB88" s="7" t="inlineStr">
        <is>
          <t>M_HMG</t>
        </is>
      </c>
    </row>
    <row r="89">
      <c r="B89" s="7" t="inlineStr">
        <is>
          <t xml:space="preserve">  ↳ TSSonicZap</t>
        </is>
      </c>
      <c r="C89" s="7" t="inlineStr">
        <is>
          <t>Armament@sonic</t>
        </is>
      </c>
      <c r="L89" s="6" t="n">
        <v>5000</v>
      </c>
      <c r="M89" s="6" t="n">
        <v>60</v>
      </c>
      <c r="N89" s="6" t="n">
        <v>1</v>
      </c>
      <c r="O89" s="6" t="n"/>
      <c r="P89" s="6" t="n">
        <v>6144</v>
      </c>
      <c r="Q89" s="6" t="n">
        <v>1</v>
      </c>
      <c r="R89">
        <f>M89+IF(N89&gt;1,N(O89)*(N89-1),0)</f>
        <v/>
      </c>
      <c r="S89">
        <f>IFERROR(L89*MAX(N89,1)/R89*IF(ISBLANK(K65),1,K65),0)</f>
        <v/>
      </c>
      <c r="AB89" s="7" t="inlineStr"/>
    </row>
    <row r="90">
      <c r="B90" s="7" t="inlineStr">
        <is>
          <t xml:space="preserve">  ↳ MedicHeal</t>
        </is>
      </c>
      <c r="C90" s="7" t="inlineStr">
        <is>
          <t>Armament@heal</t>
        </is>
      </c>
      <c r="L90" s="6" t="n">
        <v>-3000</v>
      </c>
      <c r="M90" s="6" t="n">
        <v>10</v>
      </c>
      <c r="N90" s="6" t="n">
        <v>1</v>
      </c>
      <c r="O90" s="6" t="n"/>
      <c r="P90" s="6" t="n">
        <v>6000</v>
      </c>
      <c r="Q90" s="6" t="n">
        <v>1</v>
      </c>
      <c r="R90">
        <f>M90+IF(N90&gt;1,N(O90)*(N90-1),0)</f>
        <v/>
      </c>
      <c r="S90">
        <f>IFERROR(L90*MAX(N90,1)/R90*IF(ISBLANK(K65),1,K65),0)</f>
        <v/>
      </c>
      <c r="AB90" s="7" t="inlineStr">
        <is>
          <t>^HealingWeapon</t>
        </is>
      </c>
    </row>
    <row r="91">
      <c r="B91" s="7" t="inlineStr">
        <is>
          <t xml:space="preserve">  ↳ RA2HoverMissile</t>
        </is>
      </c>
      <c r="C91" s="7" t="inlineStr">
        <is>
          <t>Armament@primary</t>
        </is>
      </c>
      <c r="L91" s="6" t="n">
        <v>12000</v>
      </c>
      <c r="M91" s="6" t="n">
        <v>28</v>
      </c>
      <c r="N91" s="6" t="n">
        <v>2</v>
      </c>
      <c r="O91" s="6" t="n">
        <v>4</v>
      </c>
      <c r="P91" s="6" t="n">
        <v>5760</v>
      </c>
      <c r="Q91" s="6" t="n">
        <v>0.75</v>
      </c>
      <c r="R91">
        <f>M91+IF(N91&gt;1,N(O91)*(N91-1),0)</f>
        <v/>
      </c>
      <c r="S91">
        <f>IFERROR(L91*MAX(N91,1)/R91*IF(ISBLANK(K65),1,K65),0)</f>
        <v/>
      </c>
      <c r="AB91" s="7" t="inlineStr">
        <is>
          <t>^Warhead_Arrow_Light, ^Warhead_MissileAP_Light</t>
        </is>
      </c>
    </row>
    <row r="92">
      <c r="B92" s="7" t="inlineStr">
        <is>
          <t xml:space="preserve">  ↳ RA2HoverMissile_elite</t>
        </is>
      </c>
      <c r="C92" s="7" t="inlineStr">
        <is>
          <t>Armament@primaryelite</t>
        </is>
      </c>
      <c r="L92" s="6" t="n">
        <v>12000</v>
      </c>
      <c r="M92" s="6" t="n">
        <v>28</v>
      </c>
      <c r="N92" s="6" t="n">
        <v>4</v>
      </c>
      <c r="O92" s="6" t="n">
        <v>4</v>
      </c>
      <c r="P92" s="6" t="n">
        <v>6760</v>
      </c>
      <c r="Q92" s="6" t="n">
        <v>0.75</v>
      </c>
      <c r="R92">
        <f>M92+IF(N92&gt;1,N(O92)*(N92-1),0)</f>
        <v/>
      </c>
      <c r="S92">
        <f>IFERROR(L92*MAX(N92,1)/R92*IF(ISBLANK(K65),1,K65),0)</f>
        <v/>
      </c>
      <c r="AB92" s="7" t="inlineStr">
        <is>
          <t>^Warhead_Arrow_Light, ^Warhead_MissileAP_Light</t>
        </is>
      </c>
    </row>
    <row r="93">
      <c r="B93" s="7" t="inlineStr">
        <is>
          <t xml:space="preserve">  ↳ RA2HoverMissile_AA</t>
        </is>
      </c>
      <c r="C93" s="7" t="inlineStr">
        <is>
          <t>Armament@primaryAA</t>
        </is>
      </c>
      <c r="L93" s="6" t="n">
        <v>12000</v>
      </c>
      <c r="M93" s="6" t="n">
        <v>28</v>
      </c>
      <c r="N93" s="6" t="n">
        <v>2</v>
      </c>
      <c r="O93" s="6" t="n">
        <v>4</v>
      </c>
      <c r="P93" s="6" t="n">
        <v>8640</v>
      </c>
      <c r="Q93" s="6" t="n">
        <v>0.75</v>
      </c>
      <c r="R93">
        <f>M93+IF(N93&gt;1,N(O93)*(N93-1),0)</f>
        <v/>
      </c>
      <c r="S93">
        <f>IFERROR(L93*MAX(N93,1)/R93*IF(ISBLANK(K65),1,K65),0)</f>
        <v/>
      </c>
      <c r="AB93" s="7" t="inlineStr">
        <is>
          <t>^Warhead_Arrow_Light, ^Warhead_MissileAP_Light</t>
        </is>
      </c>
    </row>
    <row r="94">
      <c r="B94" s="7" t="inlineStr">
        <is>
          <t xml:space="preserve">  ↳ RA2HoverMissile_AA_elite</t>
        </is>
      </c>
      <c r="C94" s="7" t="inlineStr">
        <is>
          <t>Armament@primaryeliteAA</t>
        </is>
      </c>
      <c r="L94" s="6" t="n">
        <v>12000</v>
      </c>
      <c r="M94" s="6" t="n">
        <v>28</v>
      </c>
      <c r="N94" s="6" t="n">
        <v>4</v>
      </c>
      <c r="O94" s="6" t="n">
        <v>4</v>
      </c>
      <c r="P94" s="6" t="n">
        <v>9640</v>
      </c>
      <c r="Q94" s="6" t="n">
        <v>0.75</v>
      </c>
      <c r="R94">
        <f>M94+IF(N94&gt;1,N(O94)*(N94-1),0)</f>
        <v/>
      </c>
      <c r="S94">
        <f>IFERROR(L94*MAX(N94,1)/R94*IF(ISBLANK(K65),1,K65),0)</f>
        <v/>
      </c>
      <c r="AB94" s="7" t="inlineStr">
        <is>
          <t>^Warhead_Arrow_Light, ^Warhead_MissileAP_Light</t>
        </is>
      </c>
    </row>
    <row r="95">
      <c r="B95" s="7" t="inlineStr">
        <is>
          <t xml:space="preserve">  ↳ RA2ThunderboltMissile</t>
        </is>
      </c>
      <c r="C95" s="7" t="inlineStr">
        <is>
          <t>Armament@primaryThunderbolt</t>
        </is>
      </c>
      <c r="L95" s="6" t="n">
        <v>4000</v>
      </c>
      <c r="M95" s="6" t="n">
        <v>25</v>
      </c>
      <c r="N95" s="6" t="n">
        <v>1</v>
      </c>
      <c r="O95" s="6" t="n"/>
      <c r="P95" s="6" t="n">
        <v>5120</v>
      </c>
      <c r="Q95" s="6" t="n">
        <v>1</v>
      </c>
      <c r="R95">
        <f>M95+IF(N95&gt;1,N(O95)*(N95-1),0)</f>
        <v/>
      </c>
      <c r="S95">
        <f>IFERROR(L95*MAX(N95,1)/R95*IF(ISBLANK(K65),1,K65),0)</f>
        <v/>
      </c>
      <c r="AB95" s="7" t="inlineStr">
        <is>
          <t>^Warhead_MissileHE_Heavy, ^Warhead_MissileHE_Light</t>
        </is>
      </c>
    </row>
    <row r="96">
      <c r="B96" s="7" t="inlineStr">
        <is>
          <t xml:space="preserve">  ↳ RA2ThunderboltMissile_elite</t>
        </is>
      </c>
      <c r="C96" s="7" t="inlineStr">
        <is>
          <t>Armament@primaryeliteThunderbolt</t>
        </is>
      </c>
      <c r="L96" s="6" t="n">
        <v>4000</v>
      </c>
      <c r="M96" s="6" t="n">
        <v>25</v>
      </c>
      <c r="N96" s="6" t="n">
        <v>4</v>
      </c>
      <c r="O96" s="6" t="n"/>
      <c r="P96" s="6" t="n">
        <v>6760</v>
      </c>
      <c r="Q96" s="6" t="n">
        <v>1</v>
      </c>
      <c r="R96">
        <f>M96+IF(N96&gt;1,N(O96)*(N96-1),0)</f>
        <v/>
      </c>
      <c r="S96">
        <f>IFERROR(L96*MAX(N96,1)/R96*IF(ISBLANK(K65),1,K65),0)</f>
        <v/>
      </c>
      <c r="AB96" s="7" t="inlineStr">
        <is>
          <t>^Warhead_MissileHE_Heavy, ^Warhead_MissileHE_Light</t>
        </is>
      </c>
    </row>
    <row r="97">
      <c r="B97" s="7" t="inlineStr">
        <is>
          <t xml:space="preserve">  ↳ RA2ThunderboltMissile_AA</t>
        </is>
      </c>
      <c r="C97" s="7" t="inlineStr">
        <is>
          <t>Armament@primaryAAThunderbolt</t>
        </is>
      </c>
      <c r="L97" s="6" t="n">
        <v>4000</v>
      </c>
      <c r="M97" s="6" t="n">
        <v>25</v>
      </c>
      <c r="N97" s="6" t="n">
        <v>1</v>
      </c>
      <c r="O97" s="6" t="n"/>
      <c r="P97" s="6" t="n">
        <v>8640</v>
      </c>
      <c r="Q97" s="6" t="n">
        <v>1</v>
      </c>
      <c r="R97">
        <f>M97+IF(N97&gt;1,N(O97)*(N97-1),0)</f>
        <v/>
      </c>
      <c r="S97">
        <f>IFERROR(L97*MAX(N97,1)/R97*IF(ISBLANK(K65),1,K65),0)</f>
        <v/>
      </c>
      <c r="AB97" s="7" t="inlineStr">
        <is>
          <t>^Warhead_MissileHE_Heavy, ^Warhead_MissileHE_Light</t>
        </is>
      </c>
    </row>
    <row r="98">
      <c r="B98" s="7" t="inlineStr">
        <is>
          <t xml:space="preserve">  ↳ RA2ThunderboltMissile_AA_elite</t>
        </is>
      </c>
      <c r="C98" s="7" t="inlineStr">
        <is>
          <t>Armament@primaryeliteAAThunderbolt</t>
        </is>
      </c>
      <c r="L98" s="6" t="n">
        <v>4000</v>
      </c>
      <c r="M98" s="6" t="n">
        <v>25</v>
      </c>
      <c r="N98" s="6" t="n">
        <v>4</v>
      </c>
      <c r="O98" s="6" t="n"/>
      <c r="P98" s="6" t="n">
        <v>9640</v>
      </c>
      <c r="Q98" s="6" t="n">
        <v>1</v>
      </c>
      <c r="R98">
        <f>M98+IF(N98&gt;1,N(O98)*(N98-1),0)</f>
        <v/>
      </c>
      <c r="S98">
        <f>IFERROR(L98*MAX(N98,1)/R98*IF(ISBLANK(K65),1,K65),0)</f>
        <v/>
      </c>
      <c r="AB98" s="7" t="inlineStr">
        <is>
          <t>^Warhead_MissileHE_Heavy, ^Warhead_MissileHE_Light</t>
        </is>
      </c>
    </row>
    <row r="99">
      <c r="B99" s="7" t="inlineStr">
        <is>
          <t xml:space="preserve">  ↳ RA2MultiHoverMissile_elite</t>
        </is>
      </c>
      <c r="C99" s="7" t="inlineStr">
        <is>
          <t>Armament@missileelite</t>
        </is>
      </c>
      <c r="L99" s="6" t="n">
        <v>4000</v>
      </c>
      <c r="M99" s="6" t="n">
        <v>20</v>
      </c>
      <c r="N99" s="6" t="n">
        <v>4</v>
      </c>
      <c r="O99" s="6" t="n"/>
      <c r="P99" s="6" t="n">
        <v>7170</v>
      </c>
      <c r="Q99" s="6" t="n">
        <v>0.875</v>
      </c>
      <c r="R99">
        <f>M99+IF(N99&gt;1,N(O99)*(N99-1),0)</f>
        <v/>
      </c>
      <c r="S99">
        <f>IFERROR(L99*MAX(N99,1)/R99*IF(ISBLANK(K65),1,K65),0)</f>
        <v/>
      </c>
      <c r="AB99" s="7" t="inlineStr">
        <is>
          <t>^Warhead_CannonHE_Medium, ^Warhead_MissileHE_Light</t>
        </is>
      </c>
    </row>
    <row r="100">
      <c r="B100" s="7" t="inlineStr">
        <is>
          <t xml:space="preserve">  ↳ RA2MultiHoverMissile_AA</t>
        </is>
      </c>
      <c r="C100" s="7" t="inlineStr">
        <is>
          <t>Armament@missileAA</t>
        </is>
      </c>
      <c r="L100" s="6" t="n">
        <v>4000</v>
      </c>
      <c r="M100" s="6" t="n">
        <v>20</v>
      </c>
      <c r="N100" s="6" t="n">
        <v>4</v>
      </c>
      <c r="O100" s="6" t="n"/>
      <c r="P100" s="6" t="n">
        <v>9255</v>
      </c>
      <c r="Q100" s="6" t="n">
        <v>0.875</v>
      </c>
      <c r="R100">
        <f>M100+IF(N100&gt;1,N(O100)*(N100-1),0)</f>
        <v/>
      </c>
      <c r="S100">
        <f>IFERROR(L100*MAX(N100,1)/R100*IF(ISBLANK(K65),1,K65),0)</f>
        <v/>
      </c>
      <c r="AB100" s="7" t="inlineStr">
        <is>
          <t>^Warhead_CannonHE_Medium, ^Warhead_MissileHE_Light</t>
        </is>
      </c>
    </row>
    <row r="101">
      <c r="B101" s="7" t="inlineStr">
        <is>
          <t xml:space="preserve">  ↳ RA2MultiHoverMissile_AA_elite</t>
        </is>
      </c>
      <c r="C101" s="7" t="inlineStr">
        <is>
          <t>Armament@missileeliteAA</t>
        </is>
      </c>
      <c r="L101" s="6" t="n">
        <v>4000</v>
      </c>
      <c r="M101" s="6" t="n">
        <v>20</v>
      </c>
      <c r="N101" s="6" t="n">
        <v>4</v>
      </c>
      <c r="O101" s="6" t="n"/>
      <c r="P101" s="6" t="n">
        <v>10255</v>
      </c>
      <c r="Q101" s="6" t="n">
        <v>0.875</v>
      </c>
      <c r="R101">
        <f>M101+IF(N101&gt;1,N(O101)*(N101-1),0)</f>
        <v/>
      </c>
      <c r="S101">
        <f>IFERROR(L101*MAX(N101,1)/R101*IF(ISBLANK(K65),1,K65),0)</f>
        <v/>
      </c>
      <c r="AB101" s="7" t="inlineStr">
        <is>
          <t>^Warhead_CannonHE_Medium, ^Warhead_MissileHE_Light</t>
        </is>
      </c>
    </row>
    <row r="102">
      <c r="B102" s="7" t="inlineStr">
        <is>
          <t xml:space="preserve">  ↳ RA2MultiThunderboltMissile</t>
        </is>
      </c>
      <c r="C102" s="7" t="inlineStr">
        <is>
          <t>Armament@missileThunderbolt</t>
        </is>
      </c>
      <c r="L102" s="6" t="n">
        <v>4000</v>
      </c>
      <c r="M102" s="6" t="n">
        <v>25</v>
      </c>
      <c r="N102" s="6" t="n">
        <v>1</v>
      </c>
      <c r="O102" s="6" t="n"/>
      <c r="P102" s="6" t="n">
        <v>5120</v>
      </c>
      <c r="Q102" s="6" t="n">
        <v>1</v>
      </c>
      <c r="R102">
        <f>M102+IF(N102&gt;1,N(O102)*(N102-1),0)</f>
        <v/>
      </c>
      <c r="S102">
        <f>IFERROR(L102*MAX(N102,1)/R102*IF(ISBLANK(K65),1,K65),0)</f>
        <v/>
      </c>
      <c r="AB102" s="7" t="inlineStr">
        <is>
          <t>^Warhead_MissileHE_Heavy, ^Warhead_MissileHE_Light</t>
        </is>
      </c>
    </row>
    <row r="103">
      <c r="B103" s="7" t="inlineStr">
        <is>
          <t xml:space="preserve">  ↳ RA2MultiThunderboltMissile_elite</t>
        </is>
      </c>
      <c r="C103" s="7" t="inlineStr">
        <is>
          <t>Armament@missileeliteThunderbolt</t>
        </is>
      </c>
      <c r="L103" s="6" t="n">
        <v>4000</v>
      </c>
      <c r="M103" s="6" t="n">
        <v>25</v>
      </c>
      <c r="N103" s="6" t="n">
        <v>4</v>
      </c>
      <c r="O103" s="6" t="n"/>
      <c r="P103" s="6" t="n">
        <v>7170</v>
      </c>
      <c r="Q103" s="6" t="n">
        <v>1</v>
      </c>
      <c r="R103">
        <f>M103+IF(N103&gt;1,N(O103)*(N103-1),0)</f>
        <v/>
      </c>
      <c r="S103">
        <f>IFERROR(L103*MAX(N103,1)/R103*IF(ISBLANK(K65),1,K65),0)</f>
        <v/>
      </c>
      <c r="AB103" s="7" t="inlineStr">
        <is>
          <t>^Warhead_MissileHE_Heavy, ^Warhead_MissileHE_Light</t>
        </is>
      </c>
    </row>
    <row r="104">
      <c r="B104" s="7" t="inlineStr">
        <is>
          <t xml:space="preserve">  ↳ RA2MultiThunderboltMissile_AA</t>
        </is>
      </c>
      <c r="C104" s="7" t="inlineStr">
        <is>
          <t>Armament@missileAAThunderbolt</t>
        </is>
      </c>
      <c r="L104" s="6" t="n">
        <v>4000</v>
      </c>
      <c r="M104" s="6" t="n">
        <v>25</v>
      </c>
      <c r="N104" s="6" t="n">
        <v>1</v>
      </c>
      <c r="O104" s="6" t="n"/>
      <c r="P104" s="6" t="n">
        <v>9255</v>
      </c>
      <c r="Q104" s="6" t="n">
        <v>1</v>
      </c>
      <c r="R104">
        <f>M104+IF(N104&gt;1,N(O104)*(N104-1),0)</f>
        <v/>
      </c>
      <c r="S104">
        <f>IFERROR(L104*MAX(N104,1)/R104*IF(ISBLANK(K65),1,K65),0)</f>
        <v/>
      </c>
      <c r="AB104" s="7" t="inlineStr">
        <is>
          <t>^Warhead_MissileHE_Heavy, ^Warhead_MissileHE_Light</t>
        </is>
      </c>
    </row>
    <row r="105">
      <c r="B105" s="7" t="inlineStr">
        <is>
          <t xml:space="preserve">  ↳ RA2MultiThunderboltMissile_AA_elite</t>
        </is>
      </c>
      <c r="C105" s="7" t="inlineStr">
        <is>
          <t>Armament@missileeliteAAThunderbolt</t>
        </is>
      </c>
      <c r="L105" s="6" t="n">
        <v>4000</v>
      </c>
      <c r="M105" s="6" t="n">
        <v>25</v>
      </c>
      <c r="N105" s="6" t="n">
        <v>4</v>
      </c>
      <c r="O105" s="6" t="n"/>
      <c r="P105" s="6" t="n">
        <v>10255</v>
      </c>
      <c r="Q105" s="6" t="n">
        <v>1</v>
      </c>
      <c r="R105">
        <f>M105+IF(N105&gt;1,N(O105)*(N105-1),0)</f>
        <v/>
      </c>
      <c r="S105">
        <f>IFERROR(L105*MAX(N105,1)/R105*IF(ISBLANK(K65),1,K65),0)</f>
        <v/>
      </c>
      <c r="AB105" s="7" t="inlineStr">
        <is>
          <t>^Warhead_MissileHE_Heavy, ^Warhead_MissileHE_Light</t>
        </is>
      </c>
    </row>
    <row r="106">
      <c r="B106" s="7" t="inlineStr">
        <is>
          <t xml:space="preserve">  ↳ MedicHeal</t>
        </is>
      </c>
      <c r="C106" s="7" t="inlineStr">
        <is>
          <t>Armament@healer</t>
        </is>
      </c>
      <c r="L106" s="6" t="n">
        <v>-3000</v>
      </c>
      <c r="M106" s="6" t="n">
        <v>10</v>
      </c>
      <c r="N106" s="6" t="n">
        <v>1</v>
      </c>
      <c r="O106" s="6" t="n"/>
      <c r="P106" s="6" t="n">
        <v>6000</v>
      </c>
      <c r="Q106" s="6" t="n">
        <v>1</v>
      </c>
      <c r="R106">
        <f>M106+IF(N106&gt;1,N(O106)*(N106-1),0)</f>
        <v/>
      </c>
      <c r="S106">
        <f>IFERROR(L106*MAX(N106,1)/R106*IF(ISBLANK(K65),1,K65),0)</f>
        <v/>
      </c>
      <c r="AB106" s="7" t="inlineStr">
        <is>
          <t>^HealingWeapon</t>
        </is>
      </c>
    </row>
    <row r="107">
      <c r="B107" s="7" t="inlineStr">
        <is>
          <t xml:space="preserve">  ↳ RA2AWP</t>
        </is>
      </c>
      <c r="C107" s="7" t="inlineStr">
        <is>
          <t>Armament@ra1_allies_alliedsniper</t>
        </is>
      </c>
      <c r="L107" s="6" t="n">
        <v>44000</v>
      </c>
      <c r="M107" s="6" t="n">
        <v>54</v>
      </c>
      <c r="N107" s="6" t="n">
        <v>1</v>
      </c>
      <c r="O107" s="6" t="n"/>
      <c r="P107" s="6" t="n">
        <v>10000</v>
      </c>
      <c r="Q107" s="6" t="n">
        <v>0.75</v>
      </c>
      <c r="R107">
        <f>M107+IF(N107&gt;1,N(O107)*(N107-1),0)</f>
        <v/>
      </c>
      <c r="S107">
        <f>IFERROR(L107*MAX(N107,1)/R107*IF(ISBLANK(K65),1,K65),0)</f>
        <v/>
      </c>
      <c r="AB107" s="7" t="inlineStr">
        <is>
          <t>^Warhead_Sniper_Light</t>
        </is>
      </c>
    </row>
    <row r="108">
      <c r="A108" t="inlineStr">
        <is>
          <t>redalert2</t>
        </is>
      </c>
      <c r="B108" t="inlineStr">
        <is>
          <t>ra2_allies_ifv_chrono</t>
        </is>
      </c>
      <c r="C108" t="inlineStr">
        <is>
          <t>actor_fv.name</t>
        </is>
      </c>
      <c r="D108" s="6" t="inlineStr">
        <is>
          <t>ScoutVehicle</t>
        </is>
      </c>
      <c r="E108" s="6" t="n">
        <v>25000</v>
      </c>
      <c r="F108" s="6" t="n">
        <v>150</v>
      </c>
      <c r="G108" t="inlineStr">
        <is>
          <t>Scout</t>
        </is>
      </c>
      <c r="H108" s="6" t="n">
        <v>0.5305</v>
      </c>
      <c r="I108" s="6" t="n">
        <v>1</v>
      </c>
      <c r="J108" s="6" t="n">
        <v>1</v>
      </c>
      <c r="K108" s="6" t="n"/>
      <c r="P108">
        <f>MAX(P109,P110,P111,P112,P113,P114,P115,P116,P117,P118,P119,P120,P121,P122,P123,P124,P125,P126,P127,P131,P132,P133,P134,P135,P136,P137,P138,P139,P140,P141,P142,P143,P144,P145,P146,P147,P148,P149,P150)</f>
        <v/>
      </c>
      <c r="S108">
        <f>S109+S110+S111+S112+S113+S114+S115+S116+S117+S118+S119+S120+S121+S122+S123+S124+S125+S126+S127+S131+S132+S133+S134+S135+S136+S137+S138+S139+S140+S141+S142+S143+S144+S145+S146+S147+S148+S149+S150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(((E108/30000)+(F108/200)+(S108/450)+((P108/4500)*J108))*300/4+(((E108/30000)*(F108/200))+(((P108/4500)*J108)*(S108/450)))*300/2+((E108/30000)*(F108/200)*((P108/4500)*J108)*(S108/450))*300)*(H108/1.0)/3</f>
        <v/>
      </c>
      <c r="X108" s="6" t="n">
        <v>500</v>
      </c>
      <c r="Y108">
        <f>IFERROR(W108-X108,"")</f>
        <v/>
      </c>
      <c r="Z108">
        <f>IFERROR(ABS(Y108)/MAX(X108,1),"")</f>
        <v/>
      </c>
      <c r="AA108">
        <f>IFERROR(ROUND(((3*X108-(((E108/30000)+(F108/200)+(S108/450))*300/4+((E108/30000)*(F108/200))*300/2)*(H108/1.0))/(300/4+((S108/450))*300/2+((E108/30000)*(F108/200)*(S108/450))*300)*(H108/1.0)*4500)/J108,-1),"")</f>
        <v/>
      </c>
    </row>
    <row r="109">
      <c r="B109" s="7" t="inlineStr">
        <is>
          <t xml:space="preserve">  ↳ RA2CRM60</t>
        </is>
      </c>
      <c r="C109" s="7" t="inlineStr">
        <is>
          <t>Armament@mg</t>
        </is>
      </c>
      <c r="L109" s="6" t="n">
        <v>4000</v>
      </c>
      <c r="M109" s="6" t="n">
        <v>14</v>
      </c>
      <c r="N109" s="6" t="n">
        <v>4</v>
      </c>
      <c r="O109" s="6" t="n">
        <v>2</v>
      </c>
      <c r="P109" s="6" t="n">
        <v>5660</v>
      </c>
      <c r="Q109" s="6" t="n">
        <v>0.875</v>
      </c>
      <c r="R109">
        <f>M109+IF(N109&gt;1,N(O109)*(N109-1),0)</f>
        <v/>
      </c>
      <c r="S109">
        <f>IFERROR(L109*MAX(N109,1)/R109*IF(ISBLANK(K108),1,K108),0)</f>
        <v/>
      </c>
      <c r="AB109" s="7" t="inlineStr">
        <is>
          <t>^Warhead_Bullet_Light, ^Warhead_Bullet_Medium</t>
        </is>
      </c>
    </row>
    <row r="110">
      <c r="B110" s="7" t="inlineStr">
        <is>
          <t xml:space="preserve">  ↳ RA2CRM60H</t>
        </is>
      </c>
      <c r="C110" s="7" t="inlineStr">
        <is>
          <t>Armament@hmg</t>
        </is>
      </c>
      <c r="L110" s="6" t="n">
        <v>6000</v>
      </c>
      <c r="M110" s="6" t="n">
        <v>10</v>
      </c>
      <c r="N110" s="6" t="n">
        <v>6</v>
      </c>
      <c r="O110" s="6" t="n">
        <v>2</v>
      </c>
      <c r="P110" s="6" t="n">
        <v>4692</v>
      </c>
      <c r="Q110" s="6" t="n">
        <v>1.125</v>
      </c>
      <c r="R110">
        <f>M110+IF(N110&gt;1,N(O110)*(N110-1),0)</f>
        <v/>
      </c>
      <c r="S110">
        <f>IFERROR(L110*MAX(N110,1)/R110*IF(ISBLANK(K108),1,K108),0)</f>
        <v/>
      </c>
      <c r="AB110" s="7" t="inlineStr">
        <is>
          <t>^Warhead_CannonHE_Heavy, ^Warhead_Bullet_Medium</t>
        </is>
      </c>
    </row>
    <row r="111">
      <c r="B111" s="7" t="inlineStr">
        <is>
          <t xml:space="preserve">  ↳ wc_tower_fire</t>
        </is>
      </c>
      <c r="C111" s="7" t="inlineStr">
        <is>
          <t>Armament@archer</t>
        </is>
      </c>
      <c r="L111" s="6" t="n">
        <v>2500</v>
      </c>
      <c r="M111" s="6" t="n">
        <v>40</v>
      </c>
      <c r="N111" s="6" t="n">
        <v>1</v>
      </c>
      <c r="O111" s="6" t="n"/>
      <c r="P111" s="6" t="n">
        <v>8704</v>
      </c>
      <c r="Q111" s="6" t="n">
        <v>1</v>
      </c>
      <c r="R111">
        <f>M111+IF(N111&gt;1,N(O111)*(N111-1),0)</f>
        <v/>
      </c>
      <c r="S111">
        <f>IFERROR(L111*MAX(N111,1)/R111*IF(ISBLANK(K108),1,K108),0)</f>
        <v/>
      </c>
      <c r="AB111" s="7" t="inlineStr">
        <is>
          <t>bowFire</t>
        </is>
      </c>
    </row>
    <row r="112">
      <c r="B112" s="7" t="inlineStr">
        <is>
          <t xml:space="preserve">  ↳ RA2IFVRepair</t>
        </is>
      </c>
      <c r="C112" s="7" t="inlineStr">
        <is>
          <t>Armament@repair</t>
        </is>
      </c>
      <c r="L112" s="6" t="n">
        <v>-3000</v>
      </c>
      <c r="M112" s="6" t="n">
        <v>50</v>
      </c>
      <c r="N112" s="6" t="n">
        <v>10</v>
      </c>
      <c r="O112" s="6" t="n">
        <v>1</v>
      </c>
      <c r="P112" s="6" t="n">
        <v>5000</v>
      </c>
      <c r="Q112" s="6" t="n">
        <v>1</v>
      </c>
      <c r="R112">
        <f>M112+IF(N112&gt;1,N(O112)*(N112-1),0)</f>
        <v/>
      </c>
      <c r="S112">
        <f>IFERROR(L112*MAX(N112,1)/R112*IF(ISBLANK(K108),1,K108),0)</f>
        <v/>
      </c>
      <c r="AB112" s="7" t="inlineStr">
        <is>
          <t>^RepairWeapon</t>
        </is>
      </c>
    </row>
    <row r="113">
      <c r="B113" s="7" t="inlineStr">
        <is>
          <t xml:space="preserve">  ↳ LightSniper</t>
        </is>
      </c>
      <c r="C113" s="7" t="inlineStr">
        <is>
          <t>Armament@lightsniper</t>
        </is>
      </c>
      <c r="L113" s="6" t="n">
        <v>30000</v>
      </c>
      <c r="M113" s="6" t="n">
        <v>100</v>
      </c>
      <c r="N113" s="6" t="n">
        <v>1</v>
      </c>
      <c r="O113" s="6" t="n"/>
      <c r="P113" s="6" t="n">
        <v>9153</v>
      </c>
      <c r="Q113" s="6" t="n">
        <v>0.75</v>
      </c>
      <c r="R113">
        <f>M113+IF(N113&gt;1,N(O113)*(N113-1),0)</f>
        <v/>
      </c>
      <c r="S113">
        <f>IFERROR(L113*MAX(N113,1)/R113*IF(ISBLANK(K108),1,K108),0)</f>
        <v/>
      </c>
      <c r="AB113" s="7" t="inlineStr">
        <is>
          <t>^Warhead_Sniper_Light</t>
        </is>
      </c>
    </row>
    <row r="114">
      <c r="B114" s="7" t="inlineStr">
        <is>
          <t xml:space="preserve">  ↳ RA2DoublePistolsIFV</t>
        </is>
      </c>
      <c r="C114" s="7" t="inlineStr">
        <is>
          <t>Armament@hero</t>
        </is>
      </c>
      <c r="L114" s="6" t="n">
        <v>14000</v>
      </c>
      <c r="M114" s="6" t="n">
        <v>12</v>
      </c>
      <c r="N114" s="6" t="n">
        <v>2</v>
      </c>
      <c r="O114" s="6" t="n">
        <v>3</v>
      </c>
      <c r="P114" s="6" t="n">
        <v>8000</v>
      </c>
      <c r="Q114" s="6" t="n">
        <v>0.75</v>
      </c>
      <c r="R114">
        <f>M114+IF(N114&gt;1,N(O114)*(N114-1),0)</f>
        <v/>
      </c>
      <c r="S114">
        <f>IFERROR(L114*MAX(N114,1)/R114*IF(ISBLANK(K108),1,K108),0)</f>
        <v/>
      </c>
      <c r="AB114" s="7" t="inlineStr">
        <is>
          <t>^Warhead_Sniper_Light</t>
        </is>
      </c>
    </row>
    <row r="115">
      <c r="B115" s="7" t="inlineStr">
        <is>
          <t xml:space="preserve">  ↳ TTankZap</t>
        </is>
      </c>
      <c r="C115" s="7" t="inlineStr">
        <is>
          <t>Armament@tesla</t>
        </is>
      </c>
      <c r="L115" s="6" t="n">
        <v>40000</v>
      </c>
      <c r="M115" s="6" t="n">
        <v>80</v>
      </c>
      <c r="N115" s="6" t="n">
        <v>1</v>
      </c>
      <c r="O115" s="6" t="n"/>
      <c r="P115" s="6" t="n">
        <v>7300</v>
      </c>
      <c r="Q115" s="6" t="n">
        <v>1.25</v>
      </c>
      <c r="R115">
        <f>M115+IF(N115&gt;1,N(O115)*(N115-1),0)</f>
        <v/>
      </c>
      <c r="S115">
        <f>IFERROR(L115*MAX(N115,1)/R115*IF(ISBLANK(K108),1,K108),0)</f>
        <v/>
      </c>
      <c r="AB115" s="7" t="inlineStr">
        <is>
          <t>^Warhead_Tesla_Heavy</t>
        </is>
      </c>
    </row>
    <row r="116">
      <c r="B116" s="7" t="inlineStr">
        <is>
          <t xml:space="preserve">  ↳ DragunovSniper</t>
        </is>
      </c>
      <c r="C116" s="7" t="inlineStr">
        <is>
          <t>Armament@flak</t>
        </is>
      </c>
      <c r="L116" s="6" t="n">
        <v>400000</v>
      </c>
      <c r="M116" s="6" t="n">
        <v>85</v>
      </c>
      <c r="N116" s="6" t="n">
        <v>1</v>
      </c>
      <c r="O116" s="6" t="n"/>
      <c r="P116" s="6" t="n">
        <v>5804</v>
      </c>
      <c r="Q116" s="6" t="n">
        <v>1</v>
      </c>
      <c r="R116">
        <f>M116+IF(N116&gt;1,N(O116)*(N116-1),0)</f>
        <v/>
      </c>
      <c r="S116">
        <f>IFERROR(L116*MAX(N116,1)/R116*IF(ISBLANK(K108),1,K108),0)</f>
        <v/>
      </c>
      <c r="AB116" s="7" t="inlineStr">
        <is>
          <t>^TankDestroyerCannon, ^RailgunWeapon, ^LightMissile, ^HeavyCannon, ^FlakWeapon</t>
        </is>
      </c>
    </row>
    <row r="117">
      <c r="B117" s="7" t="inlineStr">
        <is>
          <t xml:space="preserve">  ↳ RA2MirageGun</t>
        </is>
      </c>
      <c r="C117" s="7" t="inlineStr">
        <is>
          <t>Armament@cannon</t>
        </is>
      </c>
      <c r="L117" s="6" t="n">
        <v>24000</v>
      </c>
      <c r="M117" s="6" t="n">
        <v>39</v>
      </c>
      <c r="N117" s="6" t="n">
        <v>1</v>
      </c>
      <c r="O117" s="6" t="n"/>
      <c r="P117" s="6" t="n">
        <v>6031</v>
      </c>
      <c r="Q117" s="6" t="n">
        <v>0.75</v>
      </c>
      <c r="R117">
        <f>M117+IF(N117&gt;1,N(O117)*(N117-1),0)</f>
        <v/>
      </c>
      <c r="S117">
        <f>IFERROR(L117*MAX(N117,1)/R117*IF(ISBLANK(K108),1,K108),0)</f>
        <v/>
      </c>
      <c r="AB117" s="7" t="inlineStr">
        <is>
          <t>^Warhead_CannonAP_Light</t>
        </is>
      </c>
    </row>
    <row r="118">
      <c r="B118" s="7" t="inlineStr">
        <is>
          <t xml:space="preserve">  ↳ Grenade</t>
        </is>
      </c>
      <c r="C118" s="7" t="inlineStr">
        <is>
          <t>Armament@grenade</t>
        </is>
      </c>
      <c r="L118" s="6" t="n">
        <v>16000</v>
      </c>
      <c r="M118" s="6" t="n">
        <v>42</v>
      </c>
      <c r="N118" s="6" t="n">
        <v>1</v>
      </c>
      <c r="O118" s="6" t="n"/>
      <c r="P118" s="6" t="n">
        <v>6097</v>
      </c>
      <c r="Q118" s="6" t="n">
        <v>0.75</v>
      </c>
      <c r="R118">
        <f>M118+IF(N118&gt;1,N(O118)*(N118-1),0)</f>
        <v/>
      </c>
      <c r="S118">
        <f>IFERROR(L118*MAX(N118,1)/R118*IF(ISBLANK(K108),1,K108),0)</f>
        <v/>
      </c>
      <c r="AB118" s="7" t="inlineStr">
        <is>
          <t>^Warhead_Demolition_Light</t>
        </is>
      </c>
    </row>
    <row r="119">
      <c r="B119" s="7" t="inlineStr">
        <is>
          <t xml:space="preserve">  ↳ DRPlasmaTankWeapon</t>
        </is>
      </c>
      <c r="C119" s="7" t="inlineStr">
        <is>
          <t>Armament@plasma</t>
        </is>
      </c>
      <c r="L119" s="6" t="n">
        <v>6250</v>
      </c>
      <c r="M119" s="6" t="n">
        <v>21</v>
      </c>
      <c r="N119" s="6" t="n">
        <v>1</v>
      </c>
      <c r="O119" s="6" t="n"/>
      <c r="P119" s="6" t="n">
        <v>5120</v>
      </c>
      <c r="Q119" s="6" t="n">
        <v>1</v>
      </c>
      <c r="R119">
        <f>M119+IF(N119&gt;1,N(O119)*(N119-1),0)</f>
        <v/>
      </c>
      <c r="S119">
        <f>IFERROR(L119*MAX(N119,1)/R119*IF(ISBLANK(K108),1,K108),0)</f>
        <v/>
      </c>
      <c r="AB119" s="7" t="inlineStr">
        <is>
          <t>^DRPlasmaWeapon</t>
        </is>
      </c>
    </row>
    <row r="120">
      <c r="B120" s="7" t="inlineStr">
        <is>
          <t xml:space="preserve">  ↳ SWLaserG</t>
        </is>
      </c>
      <c r="C120" s="7" t="inlineStr">
        <is>
          <t>Armament@litlaser</t>
        </is>
      </c>
      <c r="L120" s="6" t="n">
        <v>2000</v>
      </c>
      <c r="M120" s="6" t="n">
        <v>30</v>
      </c>
      <c r="N120" s="6" t="n">
        <v>6</v>
      </c>
      <c r="O120" s="6" t="n"/>
      <c r="P120" s="6" t="n">
        <v>6144</v>
      </c>
      <c r="Q120" s="6" t="n">
        <v>1</v>
      </c>
      <c r="R120">
        <f>M120+IF(N120&gt;1,N(O120)*(N120-1),0)</f>
        <v/>
      </c>
      <c r="S120">
        <f>IFERROR(L120*MAX(N120,1)/R120*IF(ISBLANK(K108),1,K108),0)</f>
        <v/>
      </c>
      <c r="AB120" s="7" t="inlineStr">
        <is>
          <t>SWLaser</t>
        </is>
      </c>
    </row>
    <row r="121">
      <c r="B121" s="7" t="inlineStr">
        <is>
          <t xml:space="preserve">  ↳ USALaserCannonAG</t>
        </is>
      </c>
      <c r="C121" s="7" t="inlineStr">
        <is>
          <t>Armament@medlaser</t>
        </is>
      </c>
      <c r="L121" s="6" t="n">
        <v>4000</v>
      </c>
      <c r="M121" s="6" t="n">
        <v>50</v>
      </c>
      <c r="N121" s="6" t="n">
        <v>3</v>
      </c>
      <c r="O121" s="6" t="n">
        <v>6</v>
      </c>
      <c r="P121" s="6" t="n">
        <v>7168</v>
      </c>
      <c r="Q121" s="6" t="n">
        <v>1</v>
      </c>
      <c r="R121">
        <f>M121+IF(N121&gt;1,N(O121)*(N121-1),0)</f>
        <v/>
      </c>
      <c r="S121">
        <f>IFERROR(L121*MAX(N121,1)/R121*IF(ISBLANK(K108),1,K108),0)</f>
        <v/>
      </c>
      <c r="AB121" s="7" t="inlineStr">
        <is>
          <t>^AntiGroundMissile</t>
        </is>
      </c>
    </row>
    <row r="122">
      <c r="B122" s="7" t="inlineStr">
        <is>
          <t xml:space="preserve">  ↳ SWGreenLaserG</t>
        </is>
      </c>
      <c r="C122" s="7" t="inlineStr">
        <is>
          <t>Armament@greenlaser</t>
        </is>
      </c>
      <c r="L122" s="6" t="n">
        <v>5000</v>
      </c>
      <c r="M122" s="6" t="n">
        <v>75</v>
      </c>
      <c r="N122" s="6" t="n">
        <v>1</v>
      </c>
      <c r="O122" s="6" t="n"/>
      <c r="P122" s="6" t="n">
        <v>7168</v>
      </c>
      <c r="Q122" s="6" t="n">
        <v>1</v>
      </c>
      <c r="R122">
        <f>M122+IF(N122&gt;1,N(O122)*(N122-1),0)</f>
        <v/>
      </c>
      <c r="S122">
        <f>IFERROR(L122*MAX(N122,1)/R122*IF(ISBLANK(K108),1,K108),0)</f>
        <v/>
      </c>
      <c r="AB122" s="7" t="inlineStr">
        <is>
          <t>SWGreenLaser</t>
        </is>
      </c>
    </row>
    <row r="123">
      <c r="B123" s="7" t="inlineStr">
        <is>
          <t xml:space="preserve">  ↳ SWGBigRedLaserG</t>
        </is>
      </c>
      <c r="C123" s="7" t="inlineStr">
        <is>
          <t>Armament@misslaser</t>
        </is>
      </c>
      <c r="L123" s="6" t="n">
        <v>4000</v>
      </c>
      <c r="M123" s="6" t="n">
        <v>75</v>
      </c>
      <c r="N123" s="6" t="n">
        <v>1</v>
      </c>
      <c r="O123" s="6" t="n"/>
      <c r="P123" s="6" t="n">
        <v>8192</v>
      </c>
      <c r="Q123" s="6" t="n">
        <v>1</v>
      </c>
      <c r="R123">
        <f>M123+IF(N123&gt;1,N(O123)*(N123-1),0)</f>
        <v/>
      </c>
      <c r="S123">
        <f>IFERROR(L123*MAX(N123,1)/R123*IF(ISBLANK(K108),1,K108),0)</f>
        <v/>
      </c>
      <c r="AB123" s="7" t="inlineStr">
        <is>
          <t>SWrBigRedLaser</t>
        </is>
      </c>
    </row>
    <row r="124">
      <c r="B124" s="7" t="inlineStr">
        <is>
          <t xml:space="preserve">  ↳ BigFlamer</t>
        </is>
      </c>
      <c r="C124" s="7" t="inlineStr">
        <is>
          <t>Armament@fire</t>
        </is>
      </c>
      <c r="L124" s="6" t="n">
        <v>14000</v>
      </c>
      <c r="M124" s="6" t="n">
        <v>50</v>
      </c>
      <c r="N124" s="6" t="n">
        <v>2</v>
      </c>
      <c r="O124" s="6" t="n">
        <v>10</v>
      </c>
      <c r="P124" s="6" t="n">
        <v>2390</v>
      </c>
      <c r="Q124" s="6" t="n">
        <v>1</v>
      </c>
      <c r="R124">
        <f>M124+IF(N124&gt;1,N(O124)*(N124-1),0)</f>
        <v/>
      </c>
      <c r="S124">
        <f>IFERROR(L124*MAX(N124,1)/R124*IF(ISBLANK(K108),1,K108),0)</f>
        <v/>
      </c>
      <c r="AB124" s="7" t="inlineStr">
        <is>
          <t>^Warhead_Flame_Medium</t>
        </is>
      </c>
    </row>
    <row r="125">
      <c r="B125" s="7" t="inlineStr">
        <is>
          <t xml:space="preserve">  ↳ RA2RadBeamWeapon</t>
        </is>
      </c>
      <c r="C125" s="7" t="inlineStr">
        <is>
          <t>Armament@chem</t>
        </is>
      </c>
      <c r="L125" s="6" t="n">
        <v>30000</v>
      </c>
      <c r="M125" s="6" t="n">
        <v>45</v>
      </c>
      <c r="N125" s="6" t="n">
        <v>1</v>
      </c>
      <c r="O125" s="6" t="n"/>
      <c r="P125" s="6" t="n">
        <v>6444</v>
      </c>
      <c r="Q125" s="6" t="n">
        <v>1</v>
      </c>
      <c r="R125">
        <f>M125+IF(N125&gt;1,N(O125)*(N125-1),0)</f>
        <v/>
      </c>
      <c r="S125">
        <f>IFERROR(L125*MAX(N125,1)/R125*IF(ISBLANK(K108),1,K108),0)</f>
        <v/>
      </c>
      <c r="AB125" s="7" t="inlineStr">
        <is>
          <t>^Warhead_Chemical_Medium</t>
        </is>
      </c>
    </row>
    <row r="126">
      <c r="B126" s="7" t="inlineStr">
        <is>
          <t xml:space="preserve">  ↳ RA2RadBeamWeapon</t>
        </is>
      </c>
      <c r="C126" s="7" t="inlineStr">
        <is>
          <t>Armament@thrax</t>
        </is>
      </c>
      <c r="L126" s="6" t="n">
        <v>30000</v>
      </c>
      <c r="M126" s="6" t="n">
        <v>45</v>
      </c>
      <c r="N126" s="6" t="n">
        <v>1</v>
      </c>
      <c r="O126" s="6" t="n"/>
      <c r="P126" s="6" t="n">
        <v>6444</v>
      </c>
      <c r="Q126" s="6" t="n">
        <v>1</v>
      </c>
      <c r="R126">
        <f>M126+IF(N126&gt;1,N(O126)*(N126-1),0)</f>
        <v/>
      </c>
      <c r="S126">
        <f>IFERROR(L126*MAX(N126,1)/R126*IF(ISBLANK(K108),1,K108),0)</f>
        <v/>
      </c>
      <c r="AB126" s="7" t="inlineStr">
        <is>
          <t>^Warhead_Chemical_Medium</t>
        </is>
      </c>
    </row>
    <row r="127">
      <c r="B127" s="7" t="inlineStr">
        <is>
          <t xml:space="preserve">  ↳ RA2MultiHoverMissile</t>
        </is>
      </c>
      <c r="C127" s="7" t="inlineStr">
        <is>
          <t>Armament@missile</t>
        </is>
      </c>
      <c r="L127" s="6" t="n">
        <v>4000</v>
      </c>
      <c r="M127" s="6" t="n">
        <v>20</v>
      </c>
      <c r="N127" s="6" t="n">
        <v>4</v>
      </c>
      <c r="O127" s="6" t="n"/>
      <c r="P127" s="6" t="n">
        <v>6170</v>
      </c>
      <c r="Q127" s="6" t="n">
        <v>0.875</v>
      </c>
      <c r="R127">
        <f>M127+IF(N127&gt;1,N(O127)*(N127-1),0)</f>
        <v/>
      </c>
      <c r="S127">
        <f>IFERROR(L127*MAX(N127,1)/R127*IF(ISBLANK(K108),1,K108),0)</f>
        <v/>
      </c>
      <c r="AB127" s="7" t="inlineStr">
        <is>
          <t>^Warhead_CannonHE_Medium, ^Warhead_MissileHE_Light</t>
        </is>
      </c>
    </row>
    <row r="128">
      <c r="B128" s="7" t="inlineStr">
        <is>
          <t xml:space="preserve">  ↳ IFVChronoBeam</t>
        </is>
      </c>
      <c r="C128" s="7" t="inlineStr">
        <is>
          <t>Armament@chrono</t>
        </is>
      </c>
      <c r="L128" s="6" t="n"/>
      <c r="M128" s="6" t="n">
        <v>1</v>
      </c>
      <c r="N128" s="6" t="n">
        <v>1</v>
      </c>
      <c r="O128" s="6" t="n"/>
      <c r="P128" s="6" t="n">
        <v>7500</v>
      </c>
      <c r="Q128" s="6" t="n">
        <v>1</v>
      </c>
      <c r="R128">
        <f>M128+IF(N128&gt;1,N(O128)*(N128-1),0)</f>
        <v/>
      </c>
      <c r="S128">
        <f>IFERROR(L128*MAX(N128,1)/R128*IF(ISBLANK(K108),1,K108),0)</f>
        <v/>
      </c>
      <c r="AB128" s="7" t="inlineStr">
        <is>
          <t>ChronoBeam</t>
        </is>
      </c>
    </row>
    <row r="129">
      <c r="B129" s="7" t="inlineStr">
        <is>
          <t xml:space="preserve">  ↳ IFVChronoSound</t>
        </is>
      </c>
      <c r="C129" s="7" t="inlineStr">
        <is>
          <t>Armament@chronosound</t>
        </is>
      </c>
      <c r="L129" s="6" t="n"/>
      <c r="M129" s="6" t="n">
        <v>180</v>
      </c>
      <c r="N129" s="6" t="n">
        <v>1</v>
      </c>
      <c r="O129" s="6" t="n"/>
      <c r="P129" s="6" t="n">
        <v>8000</v>
      </c>
      <c r="Q129" s="6" t="n">
        <v>1</v>
      </c>
      <c r="R129">
        <f>M129+IF(N129&gt;1,N(O129)*(N129-1),0)</f>
        <v/>
      </c>
      <c r="S129">
        <f>IFERROR(L129*MAX(N129,1)/R129*IF(ISBLANK(K108),1,K108),0)</f>
        <v/>
      </c>
      <c r="AB129" s="7" t="inlineStr">
        <is>
          <t>RA2ChronoTele</t>
        </is>
      </c>
    </row>
    <row r="130">
      <c r="B130" s="7" t="inlineStr">
        <is>
          <t xml:space="preserve">  ↳ DemoTruckTargeting</t>
        </is>
      </c>
      <c r="C130" s="7" t="inlineStr">
        <is>
          <t>Armament@ivan</t>
        </is>
      </c>
      <c r="L130" s="6" t="n"/>
      <c r="M130" s="6" t="n"/>
      <c r="N130" s="6" t="n">
        <v>1</v>
      </c>
      <c r="O130" s="6" t="n"/>
      <c r="P130" s="6" t="n">
        <v>2000</v>
      </c>
      <c r="Q130" s="6" t="n">
        <v>1</v>
      </c>
      <c r="R130">
        <f>M130+IF(N130&gt;1,N(O130)*(N130-1),0)</f>
        <v/>
      </c>
      <c r="S130">
        <f>IFERROR(L130*MAX(N130,1)/R130*IF(ISBLANK(K108),1,K108),0)</f>
        <v/>
      </c>
      <c r="AB130" s="7" t="inlineStr"/>
    </row>
    <row r="131">
      <c r="B131" s="7" t="inlineStr">
        <is>
          <t xml:space="preserve">  ↳ Fremen_L</t>
        </is>
      </c>
      <c r="C131" s="7" t="inlineStr">
        <is>
          <t>Armament@fremen</t>
        </is>
      </c>
      <c r="L131" s="6" t="n">
        <v>3000</v>
      </c>
      <c r="M131" s="6" t="n">
        <v>25</v>
      </c>
      <c r="N131" s="6" t="n">
        <v>1</v>
      </c>
      <c r="O131" s="6" t="n"/>
      <c r="P131" s="6" t="n">
        <v>2560</v>
      </c>
      <c r="Q131" s="6" t="n">
        <v>1</v>
      </c>
      <c r="R131">
        <f>M131+IF(N131&gt;1,N(O131)*(N131-1),0)</f>
        <v/>
      </c>
      <c r="S131">
        <f>IFERROR(L131*MAX(N131,1)/R131*IF(ISBLANK(K108),1,K108),0)</f>
        <v/>
      </c>
      <c r="AB131" s="7" t="inlineStr">
        <is>
          <t>M_HMG</t>
        </is>
      </c>
    </row>
    <row r="132">
      <c r="B132" s="7" t="inlineStr">
        <is>
          <t xml:space="preserve">  ↳ TSSonicZap</t>
        </is>
      </c>
      <c r="C132" s="7" t="inlineStr">
        <is>
          <t>Armament@sonic</t>
        </is>
      </c>
      <c r="L132" s="6" t="n">
        <v>5000</v>
      </c>
      <c r="M132" s="6" t="n">
        <v>60</v>
      </c>
      <c r="N132" s="6" t="n">
        <v>1</v>
      </c>
      <c r="O132" s="6" t="n"/>
      <c r="P132" s="6" t="n">
        <v>6144</v>
      </c>
      <c r="Q132" s="6" t="n">
        <v>1</v>
      </c>
      <c r="R132">
        <f>M132+IF(N132&gt;1,N(O132)*(N132-1),0)</f>
        <v/>
      </c>
      <c r="S132">
        <f>IFERROR(L132*MAX(N132,1)/R132*IF(ISBLANK(K108),1,K108),0)</f>
        <v/>
      </c>
      <c r="AB132" s="7" t="inlineStr"/>
    </row>
    <row r="133">
      <c r="B133" s="7" t="inlineStr">
        <is>
          <t xml:space="preserve">  ↳ MedicHeal</t>
        </is>
      </c>
      <c r="C133" s="7" t="inlineStr">
        <is>
          <t>Armament@heal</t>
        </is>
      </c>
      <c r="L133" s="6" t="n">
        <v>-3000</v>
      </c>
      <c r="M133" s="6" t="n">
        <v>10</v>
      </c>
      <c r="N133" s="6" t="n">
        <v>1</v>
      </c>
      <c r="O133" s="6" t="n"/>
      <c r="P133" s="6" t="n">
        <v>6000</v>
      </c>
      <c r="Q133" s="6" t="n">
        <v>1</v>
      </c>
      <c r="R133">
        <f>M133+IF(N133&gt;1,N(O133)*(N133-1),0)</f>
        <v/>
      </c>
      <c r="S133">
        <f>IFERROR(L133*MAX(N133,1)/R133*IF(ISBLANK(K108),1,K108),0)</f>
        <v/>
      </c>
      <c r="AB133" s="7" t="inlineStr">
        <is>
          <t>^HealingWeapon</t>
        </is>
      </c>
    </row>
    <row r="134">
      <c r="B134" s="7" t="inlineStr">
        <is>
          <t xml:space="preserve">  ↳ RA2HoverMissile</t>
        </is>
      </c>
      <c r="C134" s="7" t="inlineStr">
        <is>
          <t>Armament@primary</t>
        </is>
      </c>
      <c r="L134" s="6" t="n">
        <v>12000</v>
      </c>
      <c r="M134" s="6" t="n">
        <v>28</v>
      </c>
      <c r="N134" s="6" t="n">
        <v>2</v>
      </c>
      <c r="O134" s="6" t="n">
        <v>4</v>
      </c>
      <c r="P134" s="6" t="n">
        <v>5760</v>
      </c>
      <c r="Q134" s="6" t="n">
        <v>0.75</v>
      </c>
      <c r="R134">
        <f>M134+IF(N134&gt;1,N(O134)*(N134-1),0)</f>
        <v/>
      </c>
      <c r="S134">
        <f>IFERROR(L134*MAX(N134,1)/R134*IF(ISBLANK(K108),1,K108),0)</f>
        <v/>
      </c>
      <c r="AB134" s="7" t="inlineStr">
        <is>
          <t>^Warhead_Arrow_Light, ^Warhead_MissileAP_Light</t>
        </is>
      </c>
    </row>
    <row r="135">
      <c r="B135" s="7" t="inlineStr">
        <is>
          <t xml:space="preserve">  ↳ RA2HoverMissile_elite</t>
        </is>
      </c>
      <c r="C135" s="7" t="inlineStr">
        <is>
          <t>Armament@primaryelite</t>
        </is>
      </c>
      <c r="L135" s="6" t="n">
        <v>12000</v>
      </c>
      <c r="M135" s="6" t="n">
        <v>28</v>
      </c>
      <c r="N135" s="6" t="n">
        <v>4</v>
      </c>
      <c r="O135" s="6" t="n">
        <v>4</v>
      </c>
      <c r="P135" s="6" t="n">
        <v>6760</v>
      </c>
      <c r="Q135" s="6" t="n">
        <v>0.75</v>
      </c>
      <c r="R135">
        <f>M135+IF(N135&gt;1,N(O135)*(N135-1),0)</f>
        <v/>
      </c>
      <c r="S135">
        <f>IFERROR(L135*MAX(N135,1)/R135*IF(ISBLANK(K108),1,K108),0)</f>
        <v/>
      </c>
      <c r="AB135" s="7" t="inlineStr">
        <is>
          <t>^Warhead_Arrow_Light, ^Warhead_MissileAP_Light</t>
        </is>
      </c>
    </row>
    <row r="136">
      <c r="B136" s="7" t="inlineStr">
        <is>
          <t xml:space="preserve">  ↳ RA2HoverMissile_AA</t>
        </is>
      </c>
      <c r="C136" s="7" t="inlineStr">
        <is>
          <t>Armament@primaryAA</t>
        </is>
      </c>
      <c r="L136" s="6" t="n">
        <v>12000</v>
      </c>
      <c r="M136" s="6" t="n">
        <v>28</v>
      </c>
      <c r="N136" s="6" t="n">
        <v>2</v>
      </c>
      <c r="O136" s="6" t="n">
        <v>4</v>
      </c>
      <c r="P136" s="6" t="n">
        <v>8640</v>
      </c>
      <c r="Q136" s="6" t="n">
        <v>0.75</v>
      </c>
      <c r="R136">
        <f>M136+IF(N136&gt;1,N(O136)*(N136-1),0)</f>
        <v/>
      </c>
      <c r="S136">
        <f>IFERROR(L136*MAX(N136,1)/R136*IF(ISBLANK(K108),1,K108),0)</f>
        <v/>
      </c>
      <c r="AB136" s="7" t="inlineStr">
        <is>
          <t>^Warhead_Arrow_Light, ^Warhead_MissileAP_Light</t>
        </is>
      </c>
    </row>
    <row r="137">
      <c r="B137" s="7" t="inlineStr">
        <is>
          <t xml:space="preserve">  ↳ RA2HoverMissile_AA_elite</t>
        </is>
      </c>
      <c r="C137" s="7" t="inlineStr">
        <is>
          <t>Armament@primaryeliteAA</t>
        </is>
      </c>
      <c r="L137" s="6" t="n">
        <v>12000</v>
      </c>
      <c r="M137" s="6" t="n">
        <v>28</v>
      </c>
      <c r="N137" s="6" t="n">
        <v>4</v>
      </c>
      <c r="O137" s="6" t="n">
        <v>4</v>
      </c>
      <c r="P137" s="6" t="n">
        <v>9640</v>
      </c>
      <c r="Q137" s="6" t="n">
        <v>0.75</v>
      </c>
      <c r="R137">
        <f>M137+IF(N137&gt;1,N(O137)*(N137-1),0)</f>
        <v/>
      </c>
      <c r="S137">
        <f>IFERROR(L137*MAX(N137,1)/R137*IF(ISBLANK(K108),1,K108),0)</f>
        <v/>
      </c>
      <c r="AB137" s="7" t="inlineStr">
        <is>
          <t>^Warhead_Arrow_Light, ^Warhead_MissileAP_Light</t>
        </is>
      </c>
    </row>
    <row r="138">
      <c r="B138" s="7" t="inlineStr">
        <is>
          <t xml:space="preserve">  ↳ RA2ThunderboltMissile</t>
        </is>
      </c>
      <c r="C138" s="7" t="inlineStr">
        <is>
          <t>Armament@primaryThunderbolt</t>
        </is>
      </c>
      <c r="L138" s="6" t="n">
        <v>4000</v>
      </c>
      <c r="M138" s="6" t="n">
        <v>25</v>
      </c>
      <c r="N138" s="6" t="n">
        <v>1</v>
      </c>
      <c r="O138" s="6" t="n"/>
      <c r="P138" s="6" t="n">
        <v>5120</v>
      </c>
      <c r="Q138" s="6" t="n">
        <v>1</v>
      </c>
      <c r="R138">
        <f>M138+IF(N138&gt;1,N(O138)*(N138-1),0)</f>
        <v/>
      </c>
      <c r="S138">
        <f>IFERROR(L138*MAX(N138,1)/R138*IF(ISBLANK(K108),1,K108),0)</f>
        <v/>
      </c>
      <c r="AB138" s="7" t="inlineStr">
        <is>
          <t>^Warhead_MissileHE_Heavy, ^Warhead_MissileHE_Light</t>
        </is>
      </c>
    </row>
    <row r="139">
      <c r="B139" s="7" t="inlineStr">
        <is>
          <t xml:space="preserve">  ↳ RA2ThunderboltMissile_elite</t>
        </is>
      </c>
      <c r="C139" s="7" t="inlineStr">
        <is>
          <t>Armament@primaryeliteThunderbolt</t>
        </is>
      </c>
      <c r="L139" s="6" t="n">
        <v>4000</v>
      </c>
      <c r="M139" s="6" t="n">
        <v>25</v>
      </c>
      <c r="N139" s="6" t="n">
        <v>4</v>
      </c>
      <c r="O139" s="6" t="n"/>
      <c r="P139" s="6" t="n">
        <v>6760</v>
      </c>
      <c r="Q139" s="6" t="n">
        <v>1</v>
      </c>
      <c r="R139">
        <f>M139+IF(N139&gt;1,N(O139)*(N139-1),0)</f>
        <v/>
      </c>
      <c r="S139">
        <f>IFERROR(L139*MAX(N139,1)/R139*IF(ISBLANK(K108),1,K108),0)</f>
        <v/>
      </c>
      <c r="AB139" s="7" t="inlineStr">
        <is>
          <t>^Warhead_MissileHE_Heavy, ^Warhead_MissileHE_Light</t>
        </is>
      </c>
    </row>
    <row r="140">
      <c r="B140" s="7" t="inlineStr">
        <is>
          <t xml:space="preserve">  ↳ RA2ThunderboltMissile_AA</t>
        </is>
      </c>
      <c r="C140" s="7" t="inlineStr">
        <is>
          <t>Armament@primaryAAThunderbolt</t>
        </is>
      </c>
      <c r="L140" s="6" t="n">
        <v>4000</v>
      </c>
      <c r="M140" s="6" t="n">
        <v>25</v>
      </c>
      <c r="N140" s="6" t="n">
        <v>1</v>
      </c>
      <c r="O140" s="6" t="n"/>
      <c r="P140" s="6" t="n">
        <v>8640</v>
      </c>
      <c r="Q140" s="6" t="n">
        <v>1</v>
      </c>
      <c r="R140">
        <f>M140+IF(N140&gt;1,N(O140)*(N140-1),0)</f>
        <v/>
      </c>
      <c r="S140">
        <f>IFERROR(L140*MAX(N140,1)/R140*IF(ISBLANK(K108),1,K108),0)</f>
        <v/>
      </c>
      <c r="AB140" s="7" t="inlineStr">
        <is>
          <t>^Warhead_MissileHE_Heavy, ^Warhead_MissileHE_Light</t>
        </is>
      </c>
    </row>
    <row r="141">
      <c r="B141" s="7" t="inlineStr">
        <is>
          <t xml:space="preserve">  ↳ RA2ThunderboltMissile_AA_elite</t>
        </is>
      </c>
      <c r="C141" s="7" t="inlineStr">
        <is>
          <t>Armament@primaryeliteAAThunderbolt</t>
        </is>
      </c>
      <c r="L141" s="6" t="n">
        <v>4000</v>
      </c>
      <c r="M141" s="6" t="n">
        <v>25</v>
      </c>
      <c r="N141" s="6" t="n">
        <v>4</v>
      </c>
      <c r="O141" s="6" t="n"/>
      <c r="P141" s="6" t="n">
        <v>9640</v>
      </c>
      <c r="Q141" s="6" t="n">
        <v>1</v>
      </c>
      <c r="R141">
        <f>M141+IF(N141&gt;1,N(O141)*(N141-1),0)</f>
        <v/>
      </c>
      <c r="S141">
        <f>IFERROR(L141*MAX(N141,1)/R141*IF(ISBLANK(K108),1,K108),0)</f>
        <v/>
      </c>
      <c r="AB141" s="7" t="inlineStr">
        <is>
          <t>^Warhead_MissileHE_Heavy, ^Warhead_MissileHE_Light</t>
        </is>
      </c>
    </row>
    <row r="142">
      <c r="B142" s="7" t="inlineStr">
        <is>
          <t xml:space="preserve">  ↳ RA2MultiHoverMissile_elite</t>
        </is>
      </c>
      <c r="C142" s="7" t="inlineStr">
        <is>
          <t>Armament@missileelite</t>
        </is>
      </c>
      <c r="L142" s="6" t="n">
        <v>4000</v>
      </c>
      <c r="M142" s="6" t="n">
        <v>20</v>
      </c>
      <c r="N142" s="6" t="n">
        <v>4</v>
      </c>
      <c r="O142" s="6" t="n"/>
      <c r="P142" s="6" t="n">
        <v>7170</v>
      </c>
      <c r="Q142" s="6" t="n">
        <v>0.875</v>
      </c>
      <c r="R142">
        <f>M142+IF(N142&gt;1,N(O142)*(N142-1),0)</f>
        <v/>
      </c>
      <c r="S142">
        <f>IFERROR(L142*MAX(N142,1)/R142*IF(ISBLANK(K108),1,K108),0)</f>
        <v/>
      </c>
      <c r="AB142" s="7" t="inlineStr">
        <is>
          <t>^Warhead_CannonHE_Medium, ^Warhead_MissileHE_Light</t>
        </is>
      </c>
    </row>
    <row r="143">
      <c r="B143" s="7" t="inlineStr">
        <is>
          <t xml:space="preserve">  ↳ RA2MultiHoverMissile_AA</t>
        </is>
      </c>
      <c r="C143" s="7" t="inlineStr">
        <is>
          <t>Armament@missileAA</t>
        </is>
      </c>
      <c r="L143" s="6" t="n">
        <v>4000</v>
      </c>
      <c r="M143" s="6" t="n">
        <v>20</v>
      </c>
      <c r="N143" s="6" t="n">
        <v>4</v>
      </c>
      <c r="O143" s="6" t="n"/>
      <c r="P143" s="6" t="n">
        <v>9255</v>
      </c>
      <c r="Q143" s="6" t="n">
        <v>0.875</v>
      </c>
      <c r="R143">
        <f>M143+IF(N143&gt;1,N(O143)*(N143-1),0)</f>
        <v/>
      </c>
      <c r="S143">
        <f>IFERROR(L143*MAX(N143,1)/R143*IF(ISBLANK(K108),1,K108),0)</f>
        <v/>
      </c>
      <c r="AB143" s="7" t="inlineStr">
        <is>
          <t>^Warhead_CannonHE_Medium, ^Warhead_MissileHE_Light</t>
        </is>
      </c>
    </row>
    <row r="144">
      <c r="B144" s="7" t="inlineStr">
        <is>
          <t xml:space="preserve">  ↳ RA2MultiHoverMissile_AA_elite</t>
        </is>
      </c>
      <c r="C144" s="7" t="inlineStr">
        <is>
          <t>Armament@missileeliteAA</t>
        </is>
      </c>
      <c r="L144" s="6" t="n">
        <v>4000</v>
      </c>
      <c r="M144" s="6" t="n">
        <v>20</v>
      </c>
      <c r="N144" s="6" t="n">
        <v>4</v>
      </c>
      <c r="O144" s="6" t="n"/>
      <c r="P144" s="6" t="n">
        <v>10255</v>
      </c>
      <c r="Q144" s="6" t="n">
        <v>0.875</v>
      </c>
      <c r="R144">
        <f>M144+IF(N144&gt;1,N(O144)*(N144-1),0)</f>
        <v/>
      </c>
      <c r="S144">
        <f>IFERROR(L144*MAX(N144,1)/R144*IF(ISBLANK(K108),1,K108),0)</f>
        <v/>
      </c>
      <c r="AB144" s="7" t="inlineStr">
        <is>
          <t>^Warhead_CannonHE_Medium, ^Warhead_MissileHE_Light</t>
        </is>
      </c>
    </row>
    <row r="145">
      <c r="B145" s="7" t="inlineStr">
        <is>
          <t xml:space="preserve">  ↳ RA2MultiThunderboltMissile</t>
        </is>
      </c>
      <c r="C145" s="7" t="inlineStr">
        <is>
          <t>Armament@missileThunderbolt</t>
        </is>
      </c>
      <c r="L145" s="6" t="n">
        <v>4000</v>
      </c>
      <c r="M145" s="6" t="n">
        <v>25</v>
      </c>
      <c r="N145" s="6" t="n">
        <v>1</v>
      </c>
      <c r="O145" s="6" t="n"/>
      <c r="P145" s="6" t="n">
        <v>5120</v>
      </c>
      <c r="Q145" s="6" t="n">
        <v>1</v>
      </c>
      <c r="R145">
        <f>M145+IF(N145&gt;1,N(O145)*(N145-1),0)</f>
        <v/>
      </c>
      <c r="S145">
        <f>IFERROR(L145*MAX(N145,1)/R145*IF(ISBLANK(K108),1,K108),0)</f>
        <v/>
      </c>
      <c r="AB145" s="7" t="inlineStr">
        <is>
          <t>^Warhead_MissileHE_Heavy, ^Warhead_MissileHE_Light</t>
        </is>
      </c>
    </row>
    <row r="146">
      <c r="B146" s="7" t="inlineStr">
        <is>
          <t xml:space="preserve">  ↳ RA2MultiThunderboltMissile_elite</t>
        </is>
      </c>
      <c r="C146" s="7" t="inlineStr">
        <is>
          <t>Armament@missileeliteThunderbolt</t>
        </is>
      </c>
      <c r="L146" s="6" t="n">
        <v>4000</v>
      </c>
      <c r="M146" s="6" t="n">
        <v>25</v>
      </c>
      <c r="N146" s="6" t="n">
        <v>4</v>
      </c>
      <c r="O146" s="6" t="n"/>
      <c r="P146" s="6" t="n">
        <v>7170</v>
      </c>
      <c r="Q146" s="6" t="n">
        <v>1</v>
      </c>
      <c r="R146">
        <f>M146+IF(N146&gt;1,N(O146)*(N146-1),0)</f>
        <v/>
      </c>
      <c r="S146">
        <f>IFERROR(L146*MAX(N146,1)/R146*IF(ISBLANK(K108),1,K108),0)</f>
        <v/>
      </c>
      <c r="AB146" s="7" t="inlineStr">
        <is>
          <t>^Warhead_MissileHE_Heavy, ^Warhead_MissileHE_Light</t>
        </is>
      </c>
    </row>
    <row r="147">
      <c r="B147" s="7" t="inlineStr">
        <is>
          <t xml:space="preserve">  ↳ RA2MultiThunderboltMissile_AA</t>
        </is>
      </c>
      <c r="C147" s="7" t="inlineStr">
        <is>
          <t>Armament@missileAAThunderbolt</t>
        </is>
      </c>
      <c r="L147" s="6" t="n">
        <v>4000</v>
      </c>
      <c r="M147" s="6" t="n">
        <v>25</v>
      </c>
      <c r="N147" s="6" t="n">
        <v>1</v>
      </c>
      <c r="O147" s="6" t="n"/>
      <c r="P147" s="6" t="n">
        <v>9255</v>
      </c>
      <c r="Q147" s="6" t="n">
        <v>1</v>
      </c>
      <c r="R147">
        <f>M147+IF(N147&gt;1,N(O147)*(N147-1),0)</f>
        <v/>
      </c>
      <c r="S147">
        <f>IFERROR(L147*MAX(N147,1)/R147*IF(ISBLANK(K108),1,K108),0)</f>
        <v/>
      </c>
      <c r="AB147" s="7" t="inlineStr">
        <is>
          <t>^Warhead_MissileHE_Heavy, ^Warhead_MissileHE_Light</t>
        </is>
      </c>
    </row>
    <row r="148">
      <c r="B148" s="7" t="inlineStr">
        <is>
          <t xml:space="preserve">  ↳ RA2MultiThunderboltMissile_AA_elite</t>
        </is>
      </c>
      <c r="C148" s="7" t="inlineStr">
        <is>
          <t>Armament@missileeliteAAThunderbolt</t>
        </is>
      </c>
      <c r="L148" s="6" t="n">
        <v>4000</v>
      </c>
      <c r="M148" s="6" t="n">
        <v>25</v>
      </c>
      <c r="N148" s="6" t="n">
        <v>4</v>
      </c>
      <c r="O148" s="6" t="n"/>
      <c r="P148" s="6" t="n">
        <v>10255</v>
      </c>
      <c r="Q148" s="6" t="n">
        <v>1</v>
      </c>
      <c r="R148">
        <f>M148+IF(N148&gt;1,N(O148)*(N148-1),0)</f>
        <v/>
      </c>
      <c r="S148">
        <f>IFERROR(L148*MAX(N148,1)/R148*IF(ISBLANK(K108),1,K108),0)</f>
        <v/>
      </c>
      <c r="AB148" s="7" t="inlineStr">
        <is>
          <t>^Warhead_MissileHE_Heavy, ^Warhead_MissileHE_Light</t>
        </is>
      </c>
    </row>
    <row r="149">
      <c r="B149" s="7" t="inlineStr">
        <is>
          <t xml:space="preserve">  ↳ MedicHeal</t>
        </is>
      </c>
      <c r="C149" s="7" t="inlineStr">
        <is>
          <t>Armament@healer</t>
        </is>
      </c>
      <c r="L149" s="6" t="n">
        <v>-3000</v>
      </c>
      <c r="M149" s="6" t="n">
        <v>10</v>
      </c>
      <c r="N149" s="6" t="n">
        <v>1</v>
      </c>
      <c r="O149" s="6" t="n"/>
      <c r="P149" s="6" t="n">
        <v>6000</v>
      </c>
      <c r="Q149" s="6" t="n">
        <v>1</v>
      </c>
      <c r="R149">
        <f>M149+IF(N149&gt;1,N(O149)*(N149-1),0)</f>
        <v/>
      </c>
      <c r="S149">
        <f>IFERROR(L149*MAX(N149,1)/R149*IF(ISBLANK(K108),1,K108),0)</f>
        <v/>
      </c>
      <c r="AB149" s="7" t="inlineStr">
        <is>
          <t>^HealingWeapon</t>
        </is>
      </c>
    </row>
    <row r="150">
      <c r="B150" s="7" t="inlineStr">
        <is>
          <t xml:space="preserve">  ↳ RA2AWP</t>
        </is>
      </c>
      <c r="C150" s="7" t="inlineStr">
        <is>
          <t>Armament@ra1_allies_alliedsniper</t>
        </is>
      </c>
      <c r="L150" s="6" t="n">
        <v>44000</v>
      </c>
      <c r="M150" s="6" t="n">
        <v>54</v>
      </c>
      <c r="N150" s="6" t="n">
        <v>1</v>
      </c>
      <c r="O150" s="6" t="n"/>
      <c r="P150" s="6" t="n">
        <v>10000</v>
      </c>
      <c r="Q150" s="6" t="n">
        <v>0.75</v>
      </c>
      <c r="R150">
        <f>M150+IF(N150&gt;1,N(O150)*(N150-1),0)</f>
        <v/>
      </c>
      <c r="S150">
        <f>IFERROR(L150*MAX(N150,1)/R150*IF(ISBLANK(K108),1,K108),0)</f>
        <v/>
      </c>
      <c r="AB150" s="7" t="inlineStr">
        <is>
          <t>^Warhead_Sniper_Light</t>
        </is>
      </c>
    </row>
    <row r="151">
      <c r="A151" t="inlineStr">
        <is>
          <t>redalert2</t>
        </is>
      </c>
      <c r="B151" t="inlineStr">
        <is>
          <t>ra2_allies_ifv_hmg</t>
        </is>
      </c>
      <c r="C151" t="inlineStr">
        <is>
          <t>actor_fv.name</t>
        </is>
      </c>
      <c r="D151" s="6" t="inlineStr">
        <is>
          <t>ScoutVehicle</t>
        </is>
      </c>
      <c r="E151" s="6" t="n">
        <v>25000</v>
      </c>
      <c r="F151" s="6" t="n">
        <v>150</v>
      </c>
      <c r="G151" t="inlineStr">
        <is>
          <t>Scout</t>
        </is>
      </c>
      <c r="H151" s="6" t="n">
        <v>0.782</v>
      </c>
      <c r="I151" s="6" t="n">
        <v>1</v>
      </c>
      <c r="J151" s="6" t="n">
        <v>1</v>
      </c>
      <c r="K151" s="6" t="n"/>
      <c r="P151">
        <f>MAX(P152,P153,P154,P155,P156,P157,P158,P159,P160,P161,P162,P163,P164,P165,P166,P167,P168,P169,P170,P174,P175,P176,P177,P178,P179,P180,P181,P182,P183,P184,P185,P186,P187,P188,P189,P190,P191,P192,P193)</f>
        <v/>
      </c>
      <c r="S151">
        <f>S152+S153+S154+S155+S156+S157+S158+S159+S160+S161+S162+S163+S164+S165+S166+S167+S168+S169+S170+S174+S175+S176+S177+S178+S179+S180+S181+S182+S183+S184+S185+S186+S187+S188+S189+S190+S191+S192+S193</f>
        <v/>
      </c>
      <c r="T151">
        <f>(E151/100000+F151/100+(P151/1000)*J151/5+S151/200)*200*I151*H151</f>
        <v/>
      </c>
      <c r="U151">
        <f>((E151*F151/25000)+((P151/1000)*J151*S151/2.5))*I151*H151</f>
        <v/>
      </c>
      <c r="V151">
        <f>(E151*F151*(P151/1000)*J151*S151*I151*H151)/12500000</f>
        <v/>
      </c>
      <c r="W151">
        <f>(((E151/30000)+(F151/200)+(S151/450)+((P151/4500)*J151))*300/4+(((E151/30000)*(F151/200))+(((P151/4500)*J151)*(S151/450)))*300/2+((E151/30000)*(F151/200)*((P151/4500)*J151)*(S151/450))*300)*(H151/1.0)/3</f>
        <v/>
      </c>
      <c r="X151" s="6" t="n">
        <v>500</v>
      </c>
      <c r="Y151">
        <f>IFERROR(W151-X151,"")</f>
        <v/>
      </c>
      <c r="Z151">
        <f>IFERROR(ABS(Y151)/MAX(X151,1),"")</f>
        <v/>
      </c>
      <c r="AA151">
        <f>IFERROR(ROUND(((3*X151-(((E151/30000)+(F151/200)+(S151/450))*300/4+((E151/30000)*(F151/200))*300/2)*(H151/1.0))/(300/4+((S151/450))*300/2+((E151/30000)*(F151/200)*(S151/450))*300)*(H151/1.0)*4500)/J151,-1),"")</f>
        <v/>
      </c>
    </row>
    <row r="152">
      <c r="B152" s="7" t="inlineStr">
        <is>
          <t xml:space="preserve">  ↳ RA2CRM60</t>
        </is>
      </c>
      <c r="C152" s="7" t="inlineStr">
        <is>
          <t>Armament@mg</t>
        </is>
      </c>
      <c r="L152" s="6" t="n">
        <v>4000</v>
      </c>
      <c r="M152" s="6" t="n">
        <v>14</v>
      </c>
      <c r="N152" s="6" t="n">
        <v>4</v>
      </c>
      <c r="O152" s="6" t="n">
        <v>2</v>
      </c>
      <c r="P152" s="6" t="n">
        <v>5660</v>
      </c>
      <c r="Q152" s="6" t="n">
        <v>0.875</v>
      </c>
      <c r="R152">
        <f>M152+IF(N152&gt;1,N(O152)*(N152-1),0)</f>
        <v/>
      </c>
      <c r="S152">
        <f>IFERROR(L152*MAX(N152,1)/R152*IF(ISBLANK(K151),1,K151),0)</f>
        <v/>
      </c>
      <c r="AB152" s="7" t="inlineStr">
        <is>
          <t>^Warhead_Bullet_Light, ^Warhead_Bullet_Medium</t>
        </is>
      </c>
    </row>
    <row r="153">
      <c r="B153" s="7" t="inlineStr">
        <is>
          <t xml:space="preserve">  ↳ RA2CRM60H</t>
        </is>
      </c>
      <c r="C153" s="7" t="inlineStr">
        <is>
          <t>Armament@hmg</t>
        </is>
      </c>
      <c r="L153" s="6" t="n">
        <v>6000</v>
      </c>
      <c r="M153" s="6" t="n">
        <v>10</v>
      </c>
      <c r="N153" s="6" t="n">
        <v>6</v>
      </c>
      <c r="O153" s="6" t="n">
        <v>2</v>
      </c>
      <c r="P153" s="6" t="n">
        <v>4692</v>
      </c>
      <c r="Q153" s="6" t="n">
        <v>1.125</v>
      </c>
      <c r="R153">
        <f>M153+IF(N153&gt;1,N(O153)*(N153-1),0)</f>
        <v/>
      </c>
      <c r="S153">
        <f>IFERROR(L153*MAX(N153,1)/R153*IF(ISBLANK(K151),1,K151),0)</f>
        <v/>
      </c>
      <c r="AB153" s="7" t="inlineStr">
        <is>
          <t>^Warhead_CannonHE_Heavy, ^Warhead_Bullet_Medium</t>
        </is>
      </c>
    </row>
    <row r="154">
      <c r="B154" s="7" t="inlineStr">
        <is>
          <t xml:space="preserve">  ↳ wc_tower_fire</t>
        </is>
      </c>
      <c r="C154" s="7" t="inlineStr">
        <is>
          <t>Armament@archer</t>
        </is>
      </c>
      <c r="L154" s="6" t="n">
        <v>2500</v>
      </c>
      <c r="M154" s="6" t="n">
        <v>40</v>
      </c>
      <c r="N154" s="6" t="n">
        <v>1</v>
      </c>
      <c r="O154" s="6" t="n"/>
      <c r="P154" s="6" t="n">
        <v>8704</v>
      </c>
      <c r="Q154" s="6" t="n">
        <v>1</v>
      </c>
      <c r="R154">
        <f>M154+IF(N154&gt;1,N(O154)*(N154-1),0)</f>
        <v/>
      </c>
      <c r="S154">
        <f>IFERROR(L154*MAX(N154,1)/R154*IF(ISBLANK(K151),1,K151),0)</f>
        <v/>
      </c>
      <c r="AB154" s="7" t="inlineStr">
        <is>
          <t>bowFire</t>
        </is>
      </c>
    </row>
    <row r="155">
      <c r="B155" s="7" t="inlineStr">
        <is>
          <t xml:space="preserve">  ↳ RA2IFVRepair</t>
        </is>
      </c>
      <c r="C155" s="7" t="inlineStr">
        <is>
          <t>Armament@repair</t>
        </is>
      </c>
      <c r="L155" s="6" t="n">
        <v>-3000</v>
      </c>
      <c r="M155" s="6" t="n">
        <v>50</v>
      </c>
      <c r="N155" s="6" t="n">
        <v>10</v>
      </c>
      <c r="O155" s="6" t="n">
        <v>1</v>
      </c>
      <c r="P155" s="6" t="n">
        <v>5000</v>
      </c>
      <c r="Q155" s="6" t="n">
        <v>1</v>
      </c>
      <c r="R155">
        <f>M155+IF(N155&gt;1,N(O155)*(N155-1),0)</f>
        <v/>
      </c>
      <c r="S155">
        <f>IFERROR(L155*MAX(N155,1)/R155*IF(ISBLANK(K151),1,K151),0)</f>
        <v/>
      </c>
      <c r="AB155" s="7" t="inlineStr">
        <is>
          <t>^RepairWeapon</t>
        </is>
      </c>
    </row>
    <row r="156">
      <c r="B156" s="7" t="inlineStr">
        <is>
          <t xml:space="preserve">  ↳ LightSniper</t>
        </is>
      </c>
      <c r="C156" s="7" t="inlineStr">
        <is>
          <t>Armament@lightsniper</t>
        </is>
      </c>
      <c r="L156" s="6" t="n">
        <v>30000</v>
      </c>
      <c r="M156" s="6" t="n">
        <v>100</v>
      </c>
      <c r="N156" s="6" t="n">
        <v>1</v>
      </c>
      <c r="O156" s="6" t="n"/>
      <c r="P156" s="6" t="n">
        <v>9153</v>
      </c>
      <c r="Q156" s="6" t="n">
        <v>0.75</v>
      </c>
      <c r="R156">
        <f>M156+IF(N156&gt;1,N(O156)*(N156-1),0)</f>
        <v/>
      </c>
      <c r="S156">
        <f>IFERROR(L156*MAX(N156,1)/R156*IF(ISBLANK(K151),1,K151),0)</f>
        <v/>
      </c>
      <c r="AB156" s="7" t="inlineStr">
        <is>
          <t>^Warhead_Sniper_Light</t>
        </is>
      </c>
    </row>
    <row r="157">
      <c r="B157" s="7" t="inlineStr">
        <is>
          <t xml:space="preserve">  ↳ RA2DoublePistolsIFV</t>
        </is>
      </c>
      <c r="C157" s="7" t="inlineStr">
        <is>
          <t>Armament@hero</t>
        </is>
      </c>
      <c r="L157" s="6" t="n">
        <v>14000</v>
      </c>
      <c r="M157" s="6" t="n">
        <v>12</v>
      </c>
      <c r="N157" s="6" t="n">
        <v>2</v>
      </c>
      <c r="O157" s="6" t="n">
        <v>3</v>
      </c>
      <c r="P157" s="6" t="n">
        <v>8000</v>
      </c>
      <c r="Q157" s="6" t="n">
        <v>0.75</v>
      </c>
      <c r="R157">
        <f>M157+IF(N157&gt;1,N(O157)*(N157-1),0)</f>
        <v/>
      </c>
      <c r="S157">
        <f>IFERROR(L157*MAX(N157,1)/R157*IF(ISBLANK(K151),1,K151),0)</f>
        <v/>
      </c>
      <c r="AB157" s="7" t="inlineStr">
        <is>
          <t>^Warhead_Sniper_Light</t>
        </is>
      </c>
    </row>
    <row r="158">
      <c r="B158" s="7" t="inlineStr">
        <is>
          <t xml:space="preserve">  ↳ TTankZap</t>
        </is>
      </c>
      <c r="C158" s="7" t="inlineStr">
        <is>
          <t>Armament@tesla</t>
        </is>
      </c>
      <c r="L158" s="6" t="n">
        <v>40000</v>
      </c>
      <c r="M158" s="6" t="n">
        <v>80</v>
      </c>
      <c r="N158" s="6" t="n">
        <v>1</v>
      </c>
      <c r="O158" s="6" t="n"/>
      <c r="P158" s="6" t="n">
        <v>7300</v>
      </c>
      <c r="Q158" s="6" t="n">
        <v>1.25</v>
      </c>
      <c r="R158">
        <f>M158+IF(N158&gt;1,N(O158)*(N158-1),0)</f>
        <v/>
      </c>
      <c r="S158">
        <f>IFERROR(L158*MAX(N158,1)/R158*IF(ISBLANK(K151),1,K151),0)</f>
        <v/>
      </c>
      <c r="AB158" s="7" t="inlineStr">
        <is>
          <t>^Warhead_Tesla_Heavy</t>
        </is>
      </c>
    </row>
    <row r="159">
      <c r="B159" s="7" t="inlineStr">
        <is>
          <t xml:space="preserve">  ↳ DragunovSniper</t>
        </is>
      </c>
      <c r="C159" s="7" t="inlineStr">
        <is>
          <t>Armament@flak</t>
        </is>
      </c>
      <c r="L159" s="6" t="n">
        <v>400000</v>
      </c>
      <c r="M159" s="6" t="n">
        <v>85</v>
      </c>
      <c r="N159" s="6" t="n">
        <v>1</v>
      </c>
      <c r="O159" s="6" t="n"/>
      <c r="P159" s="6" t="n">
        <v>5804</v>
      </c>
      <c r="Q159" s="6" t="n">
        <v>1</v>
      </c>
      <c r="R159">
        <f>M159+IF(N159&gt;1,N(O159)*(N159-1),0)</f>
        <v/>
      </c>
      <c r="S159">
        <f>IFERROR(L159*MAX(N159,1)/R159*IF(ISBLANK(K151),1,K151),0)</f>
        <v/>
      </c>
      <c r="AB159" s="7" t="inlineStr">
        <is>
          <t>^TankDestroyerCannon, ^RailgunWeapon, ^LightMissile, ^HeavyCannon, ^FlakWeapon</t>
        </is>
      </c>
    </row>
    <row r="160">
      <c r="B160" s="7" t="inlineStr">
        <is>
          <t xml:space="preserve">  ↳ RA2MirageGun</t>
        </is>
      </c>
      <c r="C160" s="7" t="inlineStr">
        <is>
          <t>Armament@cannon</t>
        </is>
      </c>
      <c r="L160" s="6" t="n">
        <v>24000</v>
      </c>
      <c r="M160" s="6" t="n">
        <v>39</v>
      </c>
      <c r="N160" s="6" t="n">
        <v>1</v>
      </c>
      <c r="O160" s="6" t="n"/>
      <c r="P160" s="6" t="n">
        <v>6031</v>
      </c>
      <c r="Q160" s="6" t="n">
        <v>0.75</v>
      </c>
      <c r="R160">
        <f>M160+IF(N160&gt;1,N(O160)*(N160-1),0)</f>
        <v/>
      </c>
      <c r="S160">
        <f>IFERROR(L160*MAX(N160,1)/R160*IF(ISBLANK(K151),1,K151),0)</f>
        <v/>
      </c>
      <c r="AB160" s="7" t="inlineStr">
        <is>
          <t>^Warhead_CannonAP_Light</t>
        </is>
      </c>
    </row>
    <row r="161">
      <c r="B161" s="7" t="inlineStr">
        <is>
          <t xml:space="preserve">  ↳ Grenade</t>
        </is>
      </c>
      <c r="C161" s="7" t="inlineStr">
        <is>
          <t>Armament@grenade</t>
        </is>
      </c>
      <c r="L161" s="6" t="n">
        <v>16000</v>
      </c>
      <c r="M161" s="6" t="n">
        <v>42</v>
      </c>
      <c r="N161" s="6" t="n">
        <v>1</v>
      </c>
      <c r="O161" s="6" t="n"/>
      <c r="P161" s="6" t="n">
        <v>6097</v>
      </c>
      <c r="Q161" s="6" t="n">
        <v>0.75</v>
      </c>
      <c r="R161">
        <f>M161+IF(N161&gt;1,N(O161)*(N161-1),0)</f>
        <v/>
      </c>
      <c r="S161">
        <f>IFERROR(L161*MAX(N161,1)/R161*IF(ISBLANK(K151),1,K151),0)</f>
        <v/>
      </c>
      <c r="AB161" s="7" t="inlineStr">
        <is>
          <t>^Warhead_Demolition_Light</t>
        </is>
      </c>
    </row>
    <row r="162">
      <c r="B162" s="7" t="inlineStr">
        <is>
          <t xml:space="preserve">  ↳ DRPlasmaTankWeapon</t>
        </is>
      </c>
      <c r="C162" s="7" t="inlineStr">
        <is>
          <t>Armament@plasma</t>
        </is>
      </c>
      <c r="L162" s="6" t="n">
        <v>6250</v>
      </c>
      <c r="M162" s="6" t="n">
        <v>21</v>
      </c>
      <c r="N162" s="6" t="n">
        <v>1</v>
      </c>
      <c r="O162" s="6" t="n"/>
      <c r="P162" s="6" t="n">
        <v>5120</v>
      </c>
      <c r="Q162" s="6" t="n">
        <v>1</v>
      </c>
      <c r="R162">
        <f>M162+IF(N162&gt;1,N(O162)*(N162-1),0)</f>
        <v/>
      </c>
      <c r="S162">
        <f>IFERROR(L162*MAX(N162,1)/R162*IF(ISBLANK(K151),1,K151),0)</f>
        <v/>
      </c>
      <c r="AB162" s="7" t="inlineStr">
        <is>
          <t>^DRPlasmaWeapon</t>
        </is>
      </c>
    </row>
    <row r="163">
      <c r="B163" s="7" t="inlineStr">
        <is>
          <t xml:space="preserve">  ↳ SWLaserG</t>
        </is>
      </c>
      <c r="C163" s="7" t="inlineStr">
        <is>
          <t>Armament@litlaser</t>
        </is>
      </c>
      <c r="L163" s="6" t="n">
        <v>2000</v>
      </c>
      <c r="M163" s="6" t="n">
        <v>30</v>
      </c>
      <c r="N163" s="6" t="n">
        <v>6</v>
      </c>
      <c r="O163" s="6" t="n"/>
      <c r="P163" s="6" t="n">
        <v>6144</v>
      </c>
      <c r="Q163" s="6" t="n">
        <v>1</v>
      </c>
      <c r="R163">
        <f>M163+IF(N163&gt;1,N(O163)*(N163-1),0)</f>
        <v/>
      </c>
      <c r="S163">
        <f>IFERROR(L163*MAX(N163,1)/R163*IF(ISBLANK(K151),1,K151),0)</f>
        <v/>
      </c>
      <c r="AB163" s="7" t="inlineStr">
        <is>
          <t>SWLaser</t>
        </is>
      </c>
    </row>
    <row r="164">
      <c r="B164" s="7" t="inlineStr">
        <is>
          <t xml:space="preserve">  ↳ USALaserCannonAG</t>
        </is>
      </c>
      <c r="C164" s="7" t="inlineStr">
        <is>
          <t>Armament@medlaser</t>
        </is>
      </c>
      <c r="L164" s="6" t="n">
        <v>4000</v>
      </c>
      <c r="M164" s="6" t="n">
        <v>50</v>
      </c>
      <c r="N164" s="6" t="n">
        <v>3</v>
      </c>
      <c r="O164" s="6" t="n">
        <v>6</v>
      </c>
      <c r="P164" s="6" t="n">
        <v>7168</v>
      </c>
      <c r="Q164" s="6" t="n">
        <v>1</v>
      </c>
      <c r="R164">
        <f>M164+IF(N164&gt;1,N(O164)*(N164-1),0)</f>
        <v/>
      </c>
      <c r="S164">
        <f>IFERROR(L164*MAX(N164,1)/R164*IF(ISBLANK(K151),1,K151),0)</f>
        <v/>
      </c>
      <c r="AB164" s="7" t="inlineStr">
        <is>
          <t>^AntiGroundMissile</t>
        </is>
      </c>
    </row>
    <row r="165">
      <c r="B165" s="7" t="inlineStr">
        <is>
          <t xml:space="preserve">  ↳ SWGreenLaserG</t>
        </is>
      </c>
      <c r="C165" s="7" t="inlineStr">
        <is>
          <t>Armament@greenlaser</t>
        </is>
      </c>
      <c r="L165" s="6" t="n">
        <v>5000</v>
      </c>
      <c r="M165" s="6" t="n">
        <v>75</v>
      </c>
      <c r="N165" s="6" t="n">
        <v>1</v>
      </c>
      <c r="O165" s="6" t="n"/>
      <c r="P165" s="6" t="n">
        <v>7168</v>
      </c>
      <c r="Q165" s="6" t="n">
        <v>1</v>
      </c>
      <c r="R165">
        <f>M165+IF(N165&gt;1,N(O165)*(N165-1),0)</f>
        <v/>
      </c>
      <c r="S165">
        <f>IFERROR(L165*MAX(N165,1)/R165*IF(ISBLANK(K151),1,K151),0)</f>
        <v/>
      </c>
      <c r="AB165" s="7" t="inlineStr">
        <is>
          <t>SWGreenLaser</t>
        </is>
      </c>
    </row>
    <row r="166">
      <c r="B166" s="7" t="inlineStr">
        <is>
          <t xml:space="preserve">  ↳ SWGBigRedLaserG</t>
        </is>
      </c>
      <c r="C166" s="7" t="inlineStr">
        <is>
          <t>Armament@misslaser</t>
        </is>
      </c>
      <c r="L166" s="6" t="n">
        <v>4000</v>
      </c>
      <c r="M166" s="6" t="n">
        <v>75</v>
      </c>
      <c r="N166" s="6" t="n">
        <v>1</v>
      </c>
      <c r="O166" s="6" t="n"/>
      <c r="P166" s="6" t="n">
        <v>8192</v>
      </c>
      <c r="Q166" s="6" t="n">
        <v>1</v>
      </c>
      <c r="R166">
        <f>M166+IF(N166&gt;1,N(O166)*(N166-1),0)</f>
        <v/>
      </c>
      <c r="S166">
        <f>IFERROR(L166*MAX(N166,1)/R166*IF(ISBLANK(K151),1,K151),0)</f>
        <v/>
      </c>
      <c r="AB166" s="7" t="inlineStr">
        <is>
          <t>SWrBigRedLaser</t>
        </is>
      </c>
    </row>
    <row r="167">
      <c r="B167" s="7" t="inlineStr">
        <is>
          <t xml:space="preserve">  ↳ BigFlamer</t>
        </is>
      </c>
      <c r="C167" s="7" t="inlineStr">
        <is>
          <t>Armament@fire</t>
        </is>
      </c>
      <c r="L167" s="6" t="n">
        <v>14000</v>
      </c>
      <c r="M167" s="6" t="n">
        <v>50</v>
      </c>
      <c r="N167" s="6" t="n">
        <v>2</v>
      </c>
      <c r="O167" s="6" t="n">
        <v>10</v>
      </c>
      <c r="P167" s="6" t="n">
        <v>2390</v>
      </c>
      <c r="Q167" s="6" t="n">
        <v>1</v>
      </c>
      <c r="R167">
        <f>M167+IF(N167&gt;1,N(O167)*(N167-1),0)</f>
        <v/>
      </c>
      <c r="S167">
        <f>IFERROR(L167*MAX(N167,1)/R167*IF(ISBLANK(K151),1,K151),0)</f>
        <v/>
      </c>
      <c r="AB167" s="7" t="inlineStr">
        <is>
          <t>^Warhead_Flame_Medium</t>
        </is>
      </c>
    </row>
    <row r="168">
      <c r="B168" s="7" t="inlineStr">
        <is>
          <t xml:space="preserve">  ↳ RA2RadBeamWeapon</t>
        </is>
      </c>
      <c r="C168" s="7" t="inlineStr">
        <is>
          <t>Armament@chem</t>
        </is>
      </c>
      <c r="L168" s="6" t="n">
        <v>30000</v>
      </c>
      <c r="M168" s="6" t="n">
        <v>45</v>
      </c>
      <c r="N168" s="6" t="n">
        <v>1</v>
      </c>
      <c r="O168" s="6" t="n"/>
      <c r="P168" s="6" t="n">
        <v>6444</v>
      </c>
      <c r="Q168" s="6" t="n">
        <v>1</v>
      </c>
      <c r="R168">
        <f>M168+IF(N168&gt;1,N(O168)*(N168-1),0)</f>
        <v/>
      </c>
      <c r="S168">
        <f>IFERROR(L168*MAX(N168,1)/R168*IF(ISBLANK(K151),1,K151),0)</f>
        <v/>
      </c>
      <c r="AB168" s="7" t="inlineStr">
        <is>
          <t>^Warhead_Chemical_Medium</t>
        </is>
      </c>
    </row>
    <row r="169">
      <c r="B169" s="7" t="inlineStr">
        <is>
          <t xml:space="preserve">  ↳ RA2RadBeamWeapon</t>
        </is>
      </c>
      <c r="C169" s="7" t="inlineStr">
        <is>
          <t>Armament@thrax</t>
        </is>
      </c>
      <c r="L169" s="6" t="n">
        <v>30000</v>
      </c>
      <c r="M169" s="6" t="n">
        <v>45</v>
      </c>
      <c r="N169" s="6" t="n">
        <v>1</v>
      </c>
      <c r="O169" s="6" t="n"/>
      <c r="P169" s="6" t="n">
        <v>6444</v>
      </c>
      <c r="Q169" s="6" t="n">
        <v>1</v>
      </c>
      <c r="R169">
        <f>M169+IF(N169&gt;1,N(O169)*(N169-1),0)</f>
        <v/>
      </c>
      <c r="S169">
        <f>IFERROR(L169*MAX(N169,1)/R169*IF(ISBLANK(K151),1,K151),0)</f>
        <v/>
      </c>
      <c r="AB169" s="7" t="inlineStr">
        <is>
          <t>^Warhead_Chemical_Medium</t>
        </is>
      </c>
    </row>
    <row r="170">
      <c r="B170" s="7" t="inlineStr">
        <is>
          <t xml:space="preserve">  ↳ RA2MultiHoverMissile</t>
        </is>
      </c>
      <c r="C170" s="7" t="inlineStr">
        <is>
          <t>Armament@missile</t>
        </is>
      </c>
      <c r="L170" s="6" t="n">
        <v>4000</v>
      </c>
      <c r="M170" s="6" t="n">
        <v>20</v>
      </c>
      <c r="N170" s="6" t="n">
        <v>4</v>
      </c>
      <c r="O170" s="6" t="n"/>
      <c r="P170" s="6" t="n">
        <v>6170</v>
      </c>
      <c r="Q170" s="6" t="n">
        <v>0.875</v>
      </c>
      <c r="R170">
        <f>M170+IF(N170&gt;1,N(O170)*(N170-1),0)</f>
        <v/>
      </c>
      <c r="S170">
        <f>IFERROR(L170*MAX(N170,1)/R170*IF(ISBLANK(K151),1,K151),0)</f>
        <v/>
      </c>
      <c r="AB170" s="7" t="inlineStr">
        <is>
          <t>^Warhead_CannonHE_Medium, ^Warhead_MissileHE_Light</t>
        </is>
      </c>
    </row>
    <row r="171">
      <c r="B171" s="7" t="inlineStr">
        <is>
          <t xml:space="preserve">  ↳ IFVChronoBeam</t>
        </is>
      </c>
      <c r="C171" s="7" t="inlineStr">
        <is>
          <t>Armament@chrono</t>
        </is>
      </c>
      <c r="L171" s="6" t="n"/>
      <c r="M171" s="6" t="n">
        <v>1</v>
      </c>
      <c r="N171" s="6" t="n">
        <v>1</v>
      </c>
      <c r="O171" s="6" t="n"/>
      <c r="P171" s="6" t="n">
        <v>7500</v>
      </c>
      <c r="Q171" s="6" t="n">
        <v>1</v>
      </c>
      <c r="R171">
        <f>M171+IF(N171&gt;1,N(O171)*(N171-1),0)</f>
        <v/>
      </c>
      <c r="S171">
        <f>IFERROR(L171*MAX(N171,1)/R171*IF(ISBLANK(K151),1,K151),0)</f>
        <v/>
      </c>
      <c r="AB171" s="7" t="inlineStr">
        <is>
          <t>ChronoBeam</t>
        </is>
      </c>
    </row>
    <row r="172">
      <c r="B172" s="7" t="inlineStr">
        <is>
          <t xml:space="preserve">  ↳ IFVChronoSound</t>
        </is>
      </c>
      <c r="C172" s="7" t="inlineStr">
        <is>
          <t>Armament@chronosound</t>
        </is>
      </c>
      <c r="L172" s="6" t="n"/>
      <c r="M172" s="6" t="n">
        <v>180</v>
      </c>
      <c r="N172" s="6" t="n">
        <v>1</v>
      </c>
      <c r="O172" s="6" t="n"/>
      <c r="P172" s="6" t="n">
        <v>8000</v>
      </c>
      <c r="Q172" s="6" t="n">
        <v>1</v>
      </c>
      <c r="R172">
        <f>M172+IF(N172&gt;1,N(O172)*(N172-1),0)</f>
        <v/>
      </c>
      <c r="S172">
        <f>IFERROR(L172*MAX(N172,1)/R172*IF(ISBLANK(K151),1,K151),0)</f>
        <v/>
      </c>
      <c r="AB172" s="7" t="inlineStr">
        <is>
          <t>RA2ChronoTele</t>
        </is>
      </c>
    </row>
    <row r="173">
      <c r="B173" s="7" t="inlineStr">
        <is>
          <t xml:space="preserve">  ↳ DemoTruckTargeting</t>
        </is>
      </c>
      <c r="C173" s="7" t="inlineStr">
        <is>
          <t>Armament@ivan</t>
        </is>
      </c>
      <c r="L173" s="6" t="n"/>
      <c r="M173" s="6" t="n"/>
      <c r="N173" s="6" t="n">
        <v>1</v>
      </c>
      <c r="O173" s="6" t="n"/>
      <c r="P173" s="6" t="n">
        <v>2000</v>
      </c>
      <c r="Q173" s="6" t="n">
        <v>1</v>
      </c>
      <c r="R173">
        <f>M173+IF(N173&gt;1,N(O173)*(N173-1),0)</f>
        <v/>
      </c>
      <c r="S173">
        <f>IFERROR(L173*MAX(N173,1)/R173*IF(ISBLANK(K151),1,K151),0)</f>
        <v/>
      </c>
      <c r="AB173" s="7" t="inlineStr"/>
    </row>
    <row r="174">
      <c r="B174" s="7" t="inlineStr">
        <is>
          <t xml:space="preserve">  ↳ Fremen_L</t>
        </is>
      </c>
      <c r="C174" s="7" t="inlineStr">
        <is>
          <t>Armament@fremen</t>
        </is>
      </c>
      <c r="L174" s="6" t="n">
        <v>3000</v>
      </c>
      <c r="M174" s="6" t="n">
        <v>25</v>
      </c>
      <c r="N174" s="6" t="n">
        <v>1</v>
      </c>
      <c r="O174" s="6" t="n"/>
      <c r="P174" s="6" t="n">
        <v>2560</v>
      </c>
      <c r="Q174" s="6" t="n">
        <v>1</v>
      </c>
      <c r="R174">
        <f>M174+IF(N174&gt;1,N(O174)*(N174-1),0)</f>
        <v/>
      </c>
      <c r="S174">
        <f>IFERROR(L174*MAX(N174,1)/R174*IF(ISBLANK(K151),1,K151),0)</f>
        <v/>
      </c>
      <c r="AB174" s="7" t="inlineStr">
        <is>
          <t>M_HMG</t>
        </is>
      </c>
    </row>
    <row r="175">
      <c r="B175" s="7" t="inlineStr">
        <is>
          <t xml:space="preserve">  ↳ TSSonicZap</t>
        </is>
      </c>
      <c r="C175" s="7" t="inlineStr">
        <is>
          <t>Armament@sonic</t>
        </is>
      </c>
      <c r="L175" s="6" t="n">
        <v>5000</v>
      </c>
      <c r="M175" s="6" t="n">
        <v>60</v>
      </c>
      <c r="N175" s="6" t="n">
        <v>1</v>
      </c>
      <c r="O175" s="6" t="n"/>
      <c r="P175" s="6" t="n">
        <v>6144</v>
      </c>
      <c r="Q175" s="6" t="n">
        <v>1</v>
      </c>
      <c r="R175">
        <f>M175+IF(N175&gt;1,N(O175)*(N175-1),0)</f>
        <v/>
      </c>
      <c r="S175">
        <f>IFERROR(L175*MAX(N175,1)/R175*IF(ISBLANK(K151),1,K151),0)</f>
        <v/>
      </c>
      <c r="AB175" s="7" t="inlineStr"/>
    </row>
    <row r="176">
      <c r="B176" s="7" t="inlineStr">
        <is>
          <t xml:space="preserve">  ↳ MedicHeal</t>
        </is>
      </c>
      <c r="C176" s="7" t="inlineStr">
        <is>
          <t>Armament@heal</t>
        </is>
      </c>
      <c r="L176" s="6" t="n">
        <v>-3000</v>
      </c>
      <c r="M176" s="6" t="n">
        <v>10</v>
      </c>
      <c r="N176" s="6" t="n">
        <v>1</v>
      </c>
      <c r="O176" s="6" t="n"/>
      <c r="P176" s="6" t="n">
        <v>6000</v>
      </c>
      <c r="Q176" s="6" t="n">
        <v>1</v>
      </c>
      <c r="R176">
        <f>M176+IF(N176&gt;1,N(O176)*(N176-1),0)</f>
        <v/>
      </c>
      <c r="S176">
        <f>IFERROR(L176*MAX(N176,1)/R176*IF(ISBLANK(K151),1,K151),0)</f>
        <v/>
      </c>
      <c r="AB176" s="7" t="inlineStr">
        <is>
          <t>^HealingWeapon</t>
        </is>
      </c>
    </row>
    <row r="177">
      <c r="B177" s="7" t="inlineStr">
        <is>
          <t xml:space="preserve">  ↳ RA2HoverMissile</t>
        </is>
      </c>
      <c r="C177" s="7" t="inlineStr">
        <is>
          <t>Armament@primary</t>
        </is>
      </c>
      <c r="L177" s="6" t="n">
        <v>12000</v>
      </c>
      <c r="M177" s="6" t="n">
        <v>28</v>
      </c>
      <c r="N177" s="6" t="n">
        <v>2</v>
      </c>
      <c r="O177" s="6" t="n">
        <v>4</v>
      </c>
      <c r="P177" s="6" t="n">
        <v>5760</v>
      </c>
      <c r="Q177" s="6" t="n">
        <v>0.75</v>
      </c>
      <c r="R177">
        <f>M177+IF(N177&gt;1,N(O177)*(N177-1),0)</f>
        <v/>
      </c>
      <c r="S177">
        <f>IFERROR(L177*MAX(N177,1)/R177*IF(ISBLANK(K151),1,K151),0)</f>
        <v/>
      </c>
      <c r="AB177" s="7" t="inlineStr">
        <is>
          <t>^Warhead_Arrow_Light, ^Warhead_MissileAP_Light</t>
        </is>
      </c>
    </row>
    <row r="178">
      <c r="B178" s="7" t="inlineStr">
        <is>
          <t xml:space="preserve">  ↳ RA2HoverMissile_elite</t>
        </is>
      </c>
      <c r="C178" s="7" t="inlineStr">
        <is>
          <t>Armament@primaryelite</t>
        </is>
      </c>
      <c r="L178" s="6" t="n">
        <v>12000</v>
      </c>
      <c r="M178" s="6" t="n">
        <v>28</v>
      </c>
      <c r="N178" s="6" t="n">
        <v>4</v>
      </c>
      <c r="O178" s="6" t="n">
        <v>4</v>
      </c>
      <c r="P178" s="6" t="n">
        <v>6760</v>
      </c>
      <c r="Q178" s="6" t="n">
        <v>0.75</v>
      </c>
      <c r="R178">
        <f>M178+IF(N178&gt;1,N(O178)*(N178-1),0)</f>
        <v/>
      </c>
      <c r="S178">
        <f>IFERROR(L178*MAX(N178,1)/R178*IF(ISBLANK(K151),1,K151),0)</f>
        <v/>
      </c>
      <c r="AB178" s="7" t="inlineStr">
        <is>
          <t>^Warhead_Arrow_Light, ^Warhead_MissileAP_Light</t>
        </is>
      </c>
    </row>
    <row r="179">
      <c r="B179" s="7" t="inlineStr">
        <is>
          <t xml:space="preserve">  ↳ RA2HoverMissile_AA</t>
        </is>
      </c>
      <c r="C179" s="7" t="inlineStr">
        <is>
          <t>Armament@primaryAA</t>
        </is>
      </c>
      <c r="L179" s="6" t="n">
        <v>12000</v>
      </c>
      <c r="M179" s="6" t="n">
        <v>28</v>
      </c>
      <c r="N179" s="6" t="n">
        <v>2</v>
      </c>
      <c r="O179" s="6" t="n">
        <v>4</v>
      </c>
      <c r="P179" s="6" t="n">
        <v>8640</v>
      </c>
      <c r="Q179" s="6" t="n">
        <v>0.75</v>
      </c>
      <c r="R179">
        <f>M179+IF(N179&gt;1,N(O179)*(N179-1),0)</f>
        <v/>
      </c>
      <c r="S179">
        <f>IFERROR(L179*MAX(N179,1)/R179*IF(ISBLANK(K151),1,K151),0)</f>
        <v/>
      </c>
      <c r="AB179" s="7" t="inlineStr">
        <is>
          <t>^Warhead_Arrow_Light, ^Warhead_MissileAP_Light</t>
        </is>
      </c>
    </row>
    <row r="180">
      <c r="B180" s="7" t="inlineStr">
        <is>
          <t xml:space="preserve">  ↳ RA2HoverMissile_AA_elite</t>
        </is>
      </c>
      <c r="C180" s="7" t="inlineStr">
        <is>
          <t>Armament@primaryeliteAA</t>
        </is>
      </c>
      <c r="L180" s="6" t="n">
        <v>12000</v>
      </c>
      <c r="M180" s="6" t="n">
        <v>28</v>
      </c>
      <c r="N180" s="6" t="n">
        <v>4</v>
      </c>
      <c r="O180" s="6" t="n">
        <v>4</v>
      </c>
      <c r="P180" s="6" t="n">
        <v>9640</v>
      </c>
      <c r="Q180" s="6" t="n">
        <v>0.75</v>
      </c>
      <c r="R180">
        <f>M180+IF(N180&gt;1,N(O180)*(N180-1),0)</f>
        <v/>
      </c>
      <c r="S180">
        <f>IFERROR(L180*MAX(N180,1)/R180*IF(ISBLANK(K151),1,K151),0)</f>
        <v/>
      </c>
      <c r="AB180" s="7" t="inlineStr">
        <is>
          <t>^Warhead_Arrow_Light, ^Warhead_MissileAP_Light</t>
        </is>
      </c>
    </row>
    <row r="181">
      <c r="B181" s="7" t="inlineStr">
        <is>
          <t xml:space="preserve">  ↳ RA2ThunderboltMissile</t>
        </is>
      </c>
      <c r="C181" s="7" t="inlineStr">
        <is>
          <t>Armament@primaryThunderbolt</t>
        </is>
      </c>
      <c r="L181" s="6" t="n">
        <v>4000</v>
      </c>
      <c r="M181" s="6" t="n">
        <v>25</v>
      </c>
      <c r="N181" s="6" t="n">
        <v>1</v>
      </c>
      <c r="O181" s="6" t="n"/>
      <c r="P181" s="6" t="n">
        <v>5120</v>
      </c>
      <c r="Q181" s="6" t="n">
        <v>1</v>
      </c>
      <c r="R181">
        <f>M181+IF(N181&gt;1,N(O181)*(N181-1),0)</f>
        <v/>
      </c>
      <c r="S181">
        <f>IFERROR(L181*MAX(N181,1)/R181*IF(ISBLANK(K151),1,K151),0)</f>
        <v/>
      </c>
      <c r="AB181" s="7" t="inlineStr">
        <is>
          <t>^Warhead_MissileHE_Heavy, ^Warhead_MissileHE_Light</t>
        </is>
      </c>
    </row>
    <row r="182">
      <c r="B182" s="7" t="inlineStr">
        <is>
          <t xml:space="preserve">  ↳ RA2ThunderboltMissile_elite</t>
        </is>
      </c>
      <c r="C182" s="7" t="inlineStr">
        <is>
          <t>Armament@primaryeliteThunderbolt</t>
        </is>
      </c>
      <c r="L182" s="6" t="n">
        <v>4000</v>
      </c>
      <c r="M182" s="6" t="n">
        <v>25</v>
      </c>
      <c r="N182" s="6" t="n">
        <v>4</v>
      </c>
      <c r="O182" s="6" t="n"/>
      <c r="P182" s="6" t="n">
        <v>6760</v>
      </c>
      <c r="Q182" s="6" t="n">
        <v>1</v>
      </c>
      <c r="R182">
        <f>M182+IF(N182&gt;1,N(O182)*(N182-1),0)</f>
        <v/>
      </c>
      <c r="S182">
        <f>IFERROR(L182*MAX(N182,1)/R182*IF(ISBLANK(K151),1,K151),0)</f>
        <v/>
      </c>
      <c r="AB182" s="7" t="inlineStr">
        <is>
          <t>^Warhead_MissileHE_Heavy, ^Warhead_MissileHE_Light</t>
        </is>
      </c>
    </row>
    <row r="183">
      <c r="B183" s="7" t="inlineStr">
        <is>
          <t xml:space="preserve">  ↳ RA2ThunderboltMissile_AA</t>
        </is>
      </c>
      <c r="C183" s="7" t="inlineStr">
        <is>
          <t>Armament@primaryAAThunderbolt</t>
        </is>
      </c>
      <c r="L183" s="6" t="n">
        <v>4000</v>
      </c>
      <c r="M183" s="6" t="n">
        <v>25</v>
      </c>
      <c r="N183" s="6" t="n">
        <v>1</v>
      </c>
      <c r="O183" s="6" t="n"/>
      <c r="P183" s="6" t="n">
        <v>8640</v>
      </c>
      <c r="Q183" s="6" t="n">
        <v>1</v>
      </c>
      <c r="R183">
        <f>M183+IF(N183&gt;1,N(O183)*(N183-1),0)</f>
        <v/>
      </c>
      <c r="S183">
        <f>IFERROR(L183*MAX(N183,1)/R183*IF(ISBLANK(K151),1,K151),0)</f>
        <v/>
      </c>
      <c r="AB183" s="7" t="inlineStr">
        <is>
          <t>^Warhead_MissileHE_Heavy, ^Warhead_MissileHE_Light</t>
        </is>
      </c>
    </row>
    <row r="184">
      <c r="B184" s="7" t="inlineStr">
        <is>
          <t xml:space="preserve">  ↳ RA2ThunderboltMissile_AA_elite</t>
        </is>
      </c>
      <c r="C184" s="7" t="inlineStr">
        <is>
          <t>Armament@primaryeliteAAThunderbolt</t>
        </is>
      </c>
      <c r="L184" s="6" t="n">
        <v>4000</v>
      </c>
      <c r="M184" s="6" t="n">
        <v>25</v>
      </c>
      <c r="N184" s="6" t="n">
        <v>4</v>
      </c>
      <c r="O184" s="6" t="n"/>
      <c r="P184" s="6" t="n">
        <v>9640</v>
      </c>
      <c r="Q184" s="6" t="n">
        <v>1</v>
      </c>
      <c r="R184">
        <f>M184+IF(N184&gt;1,N(O184)*(N184-1),0)</f>
        <v/>
      </c>
      <c r="S184">
        <f>IFERROR(L184*MAX(N184,1)/R184*IF(ISBLANK(K151),1,K151),0)</f>
        <v/>
      </c>
      <c r="AB184" s="7" t="inlineStr">
        <is>
          <t>^Warhead_MissileHE_Heavy, ^Warhead_MissileHE_Light</t>
        </is>
      </c>
    </row>
    <row r="185">
      <c r="B185" s="7" t="inlineStr">
        <is>
          <t xml:space="preserve">  ↳ RA2MultiHoverMissile_elite</t>
        </is>
      </c>
      <c r="C185" s="7" t="inlineStr">
        <is>
          <t>Armament@missileelite</t>
        </is>
      </c>
      <c r="L185" s="6" t="n">
        <v>4000</v>
      </c>
      <c r="M185" s="6" t="n">
        <v>20</v>
      </c>
      <c r="N185" s="6" t="n">
        <v>4</v>
      </c>
      <c r="O185" s="6" t="n"/>
      <c r="P185" s="6" t="n">
        <v>7170</v>
      </c>
      <c r="Q185" s="6" t="n">
        <v>0.875</v>
      </c>
      <c r="R185">
        <f>M185+IF(N185&gt;1,N(O185)*(N185-1),0)</f>
        <v/>
      </c>
      <c r="S185">
        <f>IFERROR(L185*MAX(N185,1)/R185*IF(ISBLANK(K151),1,K151),0)</f>
        <v/>
      </c>
      <c r="AB185" s="7" t="inlineStr">
        <is>
          <t>^Warhead_CannonHE_Medium, ^Warhead_MissileHE_Light</t>
        </is>
      </c>
    </row>
    <row r="186">
      <c r="B186" s="7" t="inlineStr">
        <is>
          <t xml:space="preserve">  ↳ RA2MultiHoverMissile_AA</t>
        </is>
      </c>
      <c r="C186" s="7" t="inlineStr">
        <is>
          <t>Armament@missileAA</t>
        </is>
      </c>
      <c r="L186" s="6" t="n">
        <v>4000</v>
      </c>
      <c r="M186" s="6" t="n">
        <v>20</v>
      </c>
      <c r="N186" s="6" t="n">
        <v>4</v>
      </c>
      <c r="O186" s="6" t="n"/>
      <c r="P186" s="6" t="n">
        <v>9255</v>
      </c>
      <c r="Q186" s="6" t="n">
        <v>0.875</v>
      </c>
      <c r="R186">
        <f>M186+IF(N186&gt;1,N(O186)*(N186-1),0)</f>
        <v/>
      </c>
      <c r="S186">
        <f>IFERROR(L186*MAX(N186,1)/R186*IF(ISBLANK(K151),1,K151),0)</f>
        <v/>
      </c>
      <c r="AB186" s="7" t="inlineStr">
        <is>
          <t>^Warhead_CannonHE_Medium, ^Warhead_MissileHE_Light</t>
        </is>
      </c>
    </row>
    <row r="187">
      <c r="B187" s="7" t="inlineStr">
        <is>
          <t xml:space="preserve">  ↳ RA2MultiHoverMissile_AA_elite</t>
        </is>
      </c>
      <c r="C187" s="7" t="inlineStr">
        <is>
          <t>Armament@missileeliteAA</t>
        </is>
      </c>
      <c r="L187" s="6" t="n">
        <v>4000</v>
      </c>
      <c r="M187" s="6" t="n">
        <v>20</v>
      </c>
      <c r="N187" s="6" t="n">
        <v>4</v>
      </c>
      <c r="O187" s="6" t="n"/>
      <c r="P187" s="6" t="n">
        <v>10255</v>
      </c>
      <c r="Q187" s="6" t="n">
        <v>0.875</v>
      </c>
      <c r="R187">
        <f>M187+IF(N187&gt;1,N(O187)*(N187-1),0)</f>
        <v/>
      </c>
      <c r="S187">
        <f>IFERROR(L187*MAX(N187,1)/R187*IF(ISBLANK(K151),1,K151),0)</f>
        <v/>
      </c>
      <c r="AB187" s="7" t="inlineStr">
        <is>
          <t>^Warhead_CannonHE_Medium, ^Warhead_MissileHE_Light</t>
        </is>
      </c>
    </row>
    <row r="188">
      <c r="B188" s="7" t="inlineStr">
        <is>
          <t xml:space="preserve">  ↳ RA2MultiThunderboltMissile</t>
        </is>
      </c>
      <c r="C188" s="7" t="inlineStr">
        <is>
          <t>Armament@missileThunderbolt</t>
        </is>
      </c>
      <c r="L188" s="6" t="n">
        <v>4000</v>
      </c>
      <c r="M188" s="6" t="n">
        <v>25</v>
      </c>
      <c r="N188" s="6" t="n">
        <v>1</v>
      </c>
      <c r="O188" s="6" t="n"/>
      <c r="P188" s="6" t="n">
        <v>5120</v>
      </c>
      <c r="Q188" s="6" t="n">
        <v>1</v>
      </c>
      <c r="R188">
        <f>M188+IF(N188&gt;1,N(O188)*(N188-1),0)</f>
        <v/>
      </c>
      <c r="S188">
        <f>IFERROR(L188*MAX(N188,1)/R188*IF(ISBLANK(K151),1,K151),0)</f>
        <v/>
      </c>
      <c r="AB188" s="7" t="inlineStr">
        <is>
          <t>^Warhead_MissileHE_Heavy, ^Warhead_MissileHE_Light</t>
        </is>
      </c>
    </row>
    <row r="189">
      <c r="B189" s="7" t="inlineStr">
        <is>
          <t xml:space="preserve">  ↳ RA2MultiThunderboltMissile_elite</t>
        </is>
      </c>
      <c r="C189" s="7" t="inlineStr">
        <is>
          <t>Armament@missileeliteThunderbolt</t>
        </is>
      </c>
      <c r="L189" s="6" t="n">
        <v>4000</v>
      </c>
      <c r="M189" s="6" t="n">
        <v>25</v>
      </c>
      <c r="N189" s="6" t="n">
        <v>4</v>
      </c>
      <c r="O189" s="6" t="n"/>
      <c r="P189" s="6" t="n">
        <v>7170</v>
      </c>
      <c r="Q189" s="6" t="n">
        <v>1</v>
      </c>
      <c r="R189">
        <f>M189+IF(N189&gt;1,N(O189)*(N189-1),0)</f>
        <v/>
      </c>
      <c r="S189">
        <f>IFERROR(L189*MAX(N189,1)/R189*IF(ISBLANK(K151),1,K151),0)</f>
        <v/>
      </c>
      <c r="AB189" s="7" t="inlineStr">
        <is>
          <t>^Warhead_MissileHE_Heavy, ^Warhead_MissileHE_Light</t>
        </is>
      </c>
    </row>
    <row r="190">
      <c r="B190" s="7" t="inlineStr">
        <is>
          <t xml:space="preserve">  ↳ RA2MultiThunderboltMissile_AA</t>
        </is>
      </c>
      <c r="C190" s="7" t="inlineStr">
        <is>
          <t>Armament@missileAAThunderbolt</t>
        </is>
      </c>
      <c r="L190" s="6" t="n">
        <v>4000</v>
      </c>
      <c r="M190" s="6" t="n">
        <v>25</v>
      </c>
      <c r="N190" s="6" t="n">
        <v>1</v>
      </c>
      <c r="O190" s="6" t="n"/>
      <c r="P190" s="6" t="n">
        <v>9255</v>
      </c>
      <c r="Q190" s="6" t="n">
        <v>1</v>
      </c>
      <c r="R190">
        <f>M190+IF(N190&gt;1,N(O190)*(N190-1),0)</f>
        <v/>
      </c>
      <c r="S190">
        <f>IFERROR(L190*MAX(N190,1)/R190*IF(ISBLANK(K151),1,K151),0)</f>
        <v/>
      </c>
      <c r="AB190" s="7" t="inlineStr">
        <is>
          <t>^Warhead_MissileHE_Heavy, ^Warhead_MissileHE_Light</t>
        </is>
      </c>
    </row>
    <row r="191">
      <c r="B191" s="7" t="inlineStr">
        <is>
          <t xml:space="preserve">  ↳ RA2MultiThunderboltMissile_AA_elite</t>
        </is>
      </c>
      <c r="C191" s="7" t="inlineStr">
        <is>
          <t>Armament@missileeliteAAThunderbolt</t>
        </is>
      </c>
      <c r="L191" s="6" t="n">
        <v>4000</v>
      </c>
      <c r="M191" s="6" t="n">
        <v>25</v>
      </c>
      <c r="N191" s="6" t="n">
        <v>4</v>
      </c>
      <c r="O191" s="6" t="n"/>
      <c r="P191" s="6" t="n">
        <v>10255</v>
      </c>
      <c r="Q191" s="6" t="n">
        <v>1</v>
      </c>
      <c r="R191">
        <f>M191+IF(N191&gt;1,N(O191)*(N191-1),0)</f>
        <v/>
      </c>
      <c r="S191">
        <f>IFERROR(L191*MAX(N191,1)/R191*IF(ISBLANK(K151),1,K151),0)</f>
        <v/>
      </c>
      <c r="AB191" s="7" t="inlineStr">
        <is>
          <t>^Warhead_MissileHE_Heavy, ^Warhead_MissileHE_Light</t>
        </is>
      </c>
    </row>
    <row r="192">
      <c r="B192" s="7" t="inlineStr">
        <is>
          <t xml:space="preserve">  ↳ MedicHeal</t>
        </is>
      </c>
      <c r="C192" s="7" t="inlineStr">
        <is>
          <t>Armament@healer</t>
        </is>
      </c>
      <c r="L192" s="6" t="n">
        <v>-3000</v>
      </c>
      <c r="M192" s="6" t="n">
        <v>10</v>
      </c>
      <c r="N192" s="6" t="n">
        <v>1</v>
      </c>
      <c r="O192" s="6" t="n"/>
      <c r="P192" s="6" t="n">
        <v>6000</v>
      </c>
      <c r="Q192" s="6" t="n">
        <v>1</v>
      </c>
      <c r="R192">
        <f>M192+IF(N192&gt;1,N(O192)*(N192-1),0)</f>
        <v/>
      </c>
      <c r="S192">
        <f>IFERROR(L192*MAX(N192,1)/R192*IF(ISBLANK(K151),1,K151),0)</f>
        <v/>
      </c>
      <c r="AB192" s="7" t="inlineStr">
        <is>
          <t>^HealingWeapon</t>
        </is>
      </c>
    </row>
    <row r="193">
      <c r="B193" s="7" t="inlineStr">
        <is>
          <t xml:space="preserve">  ↳ RA2AWP</t>
        </is>
      </c>
      <c r="C193" s="7" t="inlineStr">
        <is>
          <t>Armament@ra1_allies_alliedsniper</t>
        </is>
      </c>
      <c r="L193" s="6" t="n">
        <v>44000</v>
      </c>
      <c r="M193" s="6" t="n">
        <v>54</v>
      </c>
      <c r="N193" s="6" t="n">
        <v>1</v>
      </c>
      <c r="O193" s="6" t="n"/>
      <c r="P193" s="6" t="n">
        <v>10000</v>
      </c>
      <c r="Q193" s="6" t="n">
        <v>0.75</v>
      </c>
      <c r="R193">
        <f>M193+IF(N193&gt;1,N(O193)*(N193-1),0)</f>
        <v/>
      </c>
      <c r="S193">
        <f>IFERROR(L193*MAX(N193,1)/R193*IF(ISBLANK(K151),1,K151),0)</f>
        <v/>
      </c>
      <c r="AB193" s="7" t="inlineStr">
        <is>
          <t>^Warhead_Sniper_Light</t>
        </is>
      </c>
    </row>
    <row r="194">
      <c r="A194" t="inlineStr">
        <is>
          <t>redalert2</t>
        </is>
      </c>
      <c r="B194" t="inlineStr">
        <is>
          <t>ra2_allies_ifv_mg</t>
        </is>
      </c>
      <c r="C194" t="inlineStr">
        <is>
          <t>actor_fv.name</t>
        </is>
      </c>
      <c r="D194" s="6" t="inlineStr">
        <is>
          <t>ScoutVehicle</t>
        </is>
      </c>
      <c r="E194" s="6" t="n">
        <v>25000</v>
      </c>
      <c r="F194" s="6" t="n">
        <v>150</v>
      </c>
      <c r="G194" t="inlineStr">
        <is>
          <t>Scout</t>
        </is>
      </c>
      <c r="H194" s="6" t="n">
        <v>1</v>
      </c>
      <c r="I194" s="6" t="n">
        <v>1</v>
      </c>
      <c r="J194" s="6" t="n">
        <v>1</v>
      </c>
      <c r="K194" s="6" t="n"/>
      <c r="P194">
        <f>MAX(P195,P196,P197,P198,P199,P200,P201,P202,P203,P204,P205,P206,P207,P208,P209,P210,P211,P212,P213,P217,P218,P219,P220,P221,P222,P223,P224,P225,P226,P227,P228,P229,P230,P231,P232,P233,P234,P235,P236)</f>
        <v/>
      </c>
      <c r="S194">
        <f>S195+S196+S197+S198+S199+S200+S201+S202+S203+S204+S205+S206+S207+S208+S209+S210+S211+S212+S213+S217+S218+S219+S220+S221+S222+S223+S224+S225+S226+S227+S228+S229+S230+S231+S232+S233+S234+S235+S236</f>
        <v/>
      </c>
      <c r="T194">
        <f>(E194/100000+F194/100+(P194/1000)*J194/5+S194/200)*200*I194*H194</f>
        <v/>
      </c>
      <c r="U194">
        <f>((E194*F194/25000)+((P194/1000)*J194*S194/2.5))*I194*H194</f>
        <v/>
      </c>
      <c r="V194">
        <f>(E194*F194*(P194/1000)*J194*S194*I194*H194)/12500000</f>
        <v/>
      </c>
      <c r="W194">
        <f>(((E194/30000)+(F194/200)+(S194/450)+((P194/4500)*J194))*300/4+(((E194/30000)*(F194/200))+(((P194/4500)*J194)*(S194/450)))*300/2+((E194/30000)*(F194/200)*((P194/4500)*J194)*(S194/450))*300)*(H194/1.0)/3</f>
        <v/>
      </c>
      <c r="X194" s="6" t="n">
        <v>500</v>
      </c>
      <c r="Y194">
        <f>IFERROR(W194-X194,"")</f>
        <v/>
      </c>
      <c r="Z194">
        <f>IFERROR(ABS(Y194)/MAX(X194,1),"")</f>
        <v/>
      </c>
      <c r="AA194">
        <f>IFERROR(ROUND(((3*X194-(((E194/30000)+(F194/200)+(S194/450))*300/4+((E194/30000)*(F194/200))*300/2)*(H194/1.0))/(300/4+((S194/450))*300/2+((E194/30000)*(F194/200)*(S194/450))*300)*(H194/1.0)*4500)/J194,-1),"")</f>
        <v/>
      </c>
    </row>
    <row r="195">
      <c r="B195" s="7" t="inlineStr">
        <is>
          <t xml:space="preserve">  ↳ RA2CRM60</t>
        </is>
      </c>
      <c r="C195" s="7" t="inlineStr">
        <is>
          <t>Armament@mg</t>
        </is>
      </c>
      <c r="L195" s="6" t="n">
        <v>4000</v>
      </c>
      <c r="M195" s="6" t="n">
        <v>14</v>
      </c>
      <c r="N195" s="6" t="n">
        <v>4</v>
      </c>
      <c r="O195" s="6" t="n">
        <v>2</v>
      </c>
      <c r="P195" s="6" t="n">
        <v>5660</v>
      </c>
      <c r="Q195" s="6" t="n">
        <v>0.875</v>
      </c>
      <c r="R195">
        <f>M195+IF(N195&gt;1,N(O195)*(N195-1),0)</f>
        <v/>
      </c>
      <c r="S195">
        <f>IFERROR(L195*MAX(N195,1)/R195*IF(ISBLANK(K194),1,K194),0)</f>
        <v/>
      </c>
      <c r="AB195" s="7" t="inlineStr">
        <is>
          <t>^Warhead_Bullet_Light, ^Warhead_Bullet_Medium</t>
        </is>
      </c>
    </row>
    <row r="196">
      <c r="B196" s="7" t="inlineStr">
        <is>
          <t xml:space="preserve">  ↳ RA2CRM60H</t>
        </is>
      </c>
      <c r="C196" s="7" t="inlineStr">
        <is>
          <t>Armament@hmg</t>
        </is>
      </c>
      <c r="L196" s="6" t="n">
        <v>6000</v>
      </c>
      <c r="M196" s="6" t="n">
        <v>10</v>
      </c>
      <c r="N196" s="6" t="n">
        <v>6</v>
      </c>
      <c r="O196" s="6" t="n">
        <v>2</v>
      </c>
      <c r="P196" s="6" t="n">
        <v>4692</v>
      </c>
      <c r="Q196" s="6" t="n">
        <v>1.125</v>
      </c>
      <c r="R196">
        <f>M196+IF(N196&gt;1,N(O196)*(N196-1),0)</f>
        <v/>
      </c>
      <c r="S196">
        <f>IFERROR(L196*MAX(N196,1)/R196*IF(ISBLANK(K194),1,K194),0)</f>
        <v/>
      </c>
      <c r="AB196" s="7" t="inlineStr">
        <is>
          <t>^Warhead_CannonHE_Heavy, ^Warhead_Bullet_Medium</t>
        </is>
      </c>
    </row>
    <row r="197">
      <c r="B197" s="7" t="inlineStr">
        <is>
          <t xml:space="preserve">  ↳ wc_tower_fire</t>
        </is>
      </c>
      <c r="C197" s="7" t="inlineStr">
        <is>
          <t>Armament@archer</t>
        </is>
      </c>
      <c r="L197" s="6" t="n">
        <v>2500</v>
      </c>
      <c r="M197" s="6" t="n">
        <v>40</v>
      </c>
      <c r="N197" s="6" t="n">
        <v>1</v>
      </c>
      <c r="O197" s="6" t="n"/>
      <c r="P197" s="6" t="n">
        <v>8704</v>
      </c>
      <c r="Q197" s="6" t="n">
        <v>1</v>
      </c>
      <c r="R197">
        <f>M197+IF(N197&gt;1,N(O197)*(N197-1),0)</f>
        <v/>
      </c>
      <c r="S197">
        <f>IFERROR(L197*MAX(N197,1)/R197*IF(ISBLANK(K194),1,K194),0)</f>
        <v/>
      </c>
      <c r="AB197" s="7" t="inlineStr">
        <is>
          <t>bowFire</t>
        </is>
      </c>
    </row>
    <row r="198">
      <c r="B198" s="7" t="inlineStr">
        <is>
          <t xml:space="preserve">  ↳ RA2IFVRepair</t>
        </is>
      </c>
      <c r="C198" s="7" t="inlineStr">
        <is>
          <t>Armament@repair</t>
        </is>
      </c>
      <c r="L198" s="6" t="n">
        <v>-3000</v>
      </c>
      <c r="M198" s="6" t="n">
        <v>50</v>
      </c>
      <c r="N198" s="6" t="n">
        <v>10</v>
      </c>
      <c r="O198" s="6" t="n">
        <v>1</v>
      </c>
      <c r="P198" s="6" t="n">
        <v>5000</v>
      </c>
      <c r="Q198" s="6" t="n">
        <v>1</v>
      </c>
      <c r="R198">
        <f>M198+IF(N198&gt;1,N(O198)*(N198-1),0)</f>
        <v/>
      </c>
      <c r="S198">
        <f>IFERROR(L198*MAX(N198,1)/R198*IF(ISBLANK(K194),1,K194),0)</f>
        <v/>
      </c>
      <c r="AB198" s="7" t="inlineStr">
        <is>
          <t>^RepairWeapon</t>
        </is>
      </c>
    </row>
    <row r="199">
      <c r="B199" s="7" t="inlineStr">
        <is>
          <t xml:space="preserve">  ↳ LightSniper</t>
        </is>
      </c>
      <c r="C199" s="7" t="inlineStr">
        <is>
          <t>Armament@lightsniper</t>
        </is>
      </c>
      <c r="L199" s="6" t="n">
        <v>30000</v>
      </c>
      <c r="M199" s="6" t="n">
        <v>100</v>
      </c>
      <c r="N199" s="6" t="n">
        <v>1</v>
      </c>
      <c r="O199" s="6" t="n"/>
      <c r="P199" s="6" t="n">
        <v>9153</v>
      </c>
      <c r="Q199" s="6" t="n">
        <v>0.75</v>
      </c>
      <c r="R199">
        <f>M199+IF(N199&gt;1,N(O199)*(N199-1),0)</f>
        <v/>
      </c>
      <c r="S199">
        <f>IFERROR(L199*MAX(N199,1)/R199*IF(ISBLANK(K194),1,K194),0)</f>
        <v/>
      </c>
      <c r="AB199" s="7" t="inlineStr">
        <is>
          <t>^Warhead_Sniper_Light</t>
        </is>
      </c>
    </row>
    <row r="200">
      <c r="B200" s="7" t="inlineStr">
        <is>
          <t xml:space="preserve">  ↳ RA2DoublePistolsIFV</t>
        </is>
      </c>
      <c r="C200" s="7" t="inlineStr">
        <is>
          <t>Armament@hero</t>
        </is>
      </c>
      <c r="L200" s="6" t="n">
        <v>14000</v>
      </c>
      <c r="M200" s="6" t="n">
        <v>12</v>
      </c>
      <c r="N200" s="6" t="n">
        <v>2</v>
      </c>
      <c r="O200" s="6" t="n">
        <v>3</v>
      </c>
      <c r="P200" s="6" t="n">
        <v>8000</v>
      </c>
      <c r="Q200" s="6" t="n">
        <v>0.75</v>
      </c>
      <c r="R200">
        <f>M200+IF(N200&gt;1,N(O200)*(N200-1),0)</f>
        <v/>
      </c>
      <c r="S200">
        <f>IFERROR(L200*MAX(N200,1)/R200*IF(ISBLANK(K194),1,K194),0)</f>
        <v/>
      </c>
      <c r="AB200" s="7" t="inlineStr">
        <is>
          <t>^Warhead_Sniper_Light</t>
        </is>
      </c>
    </row>
    <row r="201">
      <c r="B201" s="7" t="inlineStr">
        <is>
          <t xml:space="preserve">  ↳ TTankZap</t>
        </is>
      </c>
      <c r="C201" s="7" t="inlineStr">
        <is>
          <t>Armament@tesla</t>
        </is>
      </c>
      <c r="L201" s="6" t="n">
        <v>40000</v>
      </c>
      <c r="M201" s="6" t="n">
        <v>80</v>
      </c>
      <c r="N201" s="6" t="n">
        <v>1</v>
      </c>
      <c r="O201" s="6" t="n"/>
      <c r="P201" s="6" t="n">
        <v>7300</v>
      </c>
      <c r="Q201" s="6" t="n">
        <v>1.25</v>
      </c>
      <c r="R201">
        <f>M201+IF(N201&gt;1,N(O201)*(N201-1),0)</f>
        <v/>
      </c>
      <c r="S201">
        <f>IFERROR(L201*MAX(N201,1)/R201*IF(ISBLANK(K194),1,K194),0)</f>
        <v/>
      </c>
      <c r="AB201" s="7" t="inlineStr">
        <is>
          <t>^Warhead_Tesla_Heavy</t>
        </is>
      </c>
    </row>
    <row r="202">
      <c r="B202" s="7" t="inlineStr">
        <is>
          <t xml:space="preserve">  ↳ DragunovSniper</t>
        </is>
      </c>
      <c r="C202" s="7" t="inlineStr">
        <is>
          <t>Armament@flak</t>
        </is>
      </c>
      <c r="L202" s="6" t="n">
        <v>400000</v>
      </c>
      <c r="M202" s="6" t="n">
        <v>85</v>
      </c>
      <c r="N202" s="6" t="n">
        <v>1</v>
      </c>
      <c r="O202" s="6" t="n"/>
      <c r="P202" s="6" t="n">
        <v>5804</v>
      </c>
      <c r="Q202" s="6" t="n">
        <v>1</v>
      </c>
      <c r="R202">
        <f>M202+IF(N202&gt;1,N(O202)*(N202-1),0)</f>
        <v/>
      </c>
      <c r="S202">
        <f>IFERROR(L202*MAX(N202,1)/R202*IF(ISBLANK(K194),1,K194),0)</f>
        <v/>
      </c>
      <c r="AB202" s="7" t="inlineStr">
        <is>
          <t>^TankDestroyerCannon, ^RailgunWeapon, ^LightMissile, ^HeavyCannon, ^FlakWeapon</t>
        </is>
      </c>
    </row>
    <row r="203">
      <c r="B203" s="7" t="inlineStr">
        <is>
          <t xml:space="preserve">  ↳ RA2MirageGun</t>
        </is>
      </c>
      <c r="C203" s="7" t="inlineStr">
        <is>
          <t>Armament@cannon</t>
        </is>
      </c>
      <c r="L203" s="6" t="n">
        <v>24000</v>
      </c>
      <c r="M203" s="6" t="n">
        <v>39</v>
      </c>
      <c r="N203" s="6" t="n">
        <v>1</v>
      </c>
      <c r="O203" s="6" t="n"/>
      <c r="P203" s="6" t="n">
        <v>6031</v>
      </c>
      <c r="Q203" s="6" t="n">
        <v>0.75</v>
      </c>
      <c r="R203">
        <f>M203+IF(N203&gt;1,N(O203)*(N203-1),0)</f>
        <v/>
      </c>
      <c r="S203">
        <f>IFERROR(L203*MAX(N203,1)/R203*IF(ISBLANK(K194),1,K194),0)</f>
        <v/>
      </c>
      <c r="AB203" s="7" t="inlineStr">
        <is>
          <t>^Warhead_CannonAP_Light</t>
        </is>
      </c>
    </row>
    <row r="204">
      <c r="B204" s="7" t="inlineStr">
        <is>
          <t xml:space="preserve">  ↳ Grenade</t>
        </is>
      </c>
      <c r="C204" s="7" t="inlineStr">
        <is>
          <t>Armament@grenade</t>
        </is>
      </c>
      <c r="L204" s="6" t="n">
        <v>16000</v>
      </c>
      <c r="M204" s="6" t="n">
        <v>42</v>
      </c>
      <c r="N204" s="6" t="n">
        <v>1</v>
      </c>
      <c r="O204" s="6" t="n"/>
      <c r="P204" s="6" t="n">
        <v>6097</v>
      </c>
      <c r="Q204" s="6" t="n">
        <v>0.75</v>
      </c>
      <c r="R204">
        <f>M204+IF(N204&gt;1,N(O204)*(N204-1),0)</f>
        <v/>
      </c>
      <c r="S204">
        <f>IFERROR(L204*MAX(N204,1)/R204*IF(ISBLANK(K194),1,K194),0)</f>
        <v/>
      </c>
      <c r="AB204" s="7" t="inlineStr">
        <is>
          <t>^Warhead_Demolition_Light</t>
        </is>
      </c>
    </row>
    <row r="205">
      <c r="B205" s="7" t="inlineStr">
        <is>
          <t xml:space="preserve">  ↳ DRPlasmaTankWeapon</t>
        </is>
      </c>
      <c r="C205" s="7" t="inlineStr">
        <is>
          <t>Armament@plasma</t>
        </is>
      </c>
      <c r="L205" s="6" t="n">
        <v>6250</v>
      </c>
      <c r="M205" s="6" t="n">
        <v>21</v>
      </c>
      <c r="N205" s="6" t="n">
        <v>1</v>
      </c>
      <c r="O205" s="6" t="n"/>
      <c r="P205" s="6" t="n">
        <v>5120</v>
      </c>
      <c r="Q205" s="6" t="n">
        <v>1</v>
      </c>
      <c r="R205">
        <f>M205+IF(N205&gt;1,N(O205)*(N205-1),0)</f>
        <v/>
      </c>
      <c r="S205">
        <f>IFERROR(L205*MAX(N205,1)/R205*IF(ISBLANK(K194),1,K194),0)</f>
        <v/>
      </c>
      <c r="AB205" s="7" t="inlineStr">
        <is>
          <t>^DRPlasmaWeapon</t>
        </is>
      </c>
    </row>
    <row r="206">
      <c r="B206" s="7" t="inlineStr">
        <is>
          <t xml:space="preserve">  ↳ SWLaserG</t>
        </is>
      </c>
      <c r="C206" s="7" t="inlineStr">
        <is>
          <t>Armament@litlaser</t>
        </is>
      </c>
      <c r="L206" s="6" t="n">
        <v>2000</v>
      </c>
      <c r="M206" s="6" t="n">
        <v>30</v>
      </c>
      <c r="N206" s="6" t="n">
        <v>6</v>
      </c>
      <c r="O206" s="6" t="n"/>
      <c r="P206" s="6" t="n">
        <v>6144</v>
      </c>
      <c r="Q206" s="6" t="n">
        <v>1</v>
      </c>
      <c r="R206">
        <f>M206+IF(N206&gt;1,N(O206)*(N206-1),0)</f>
        <v/>
      </c>
      <c r="S206">
        <f>IFERROR(L206*MAX(N206,1)/R206*IF(ISBLANK(K194),1,K194),0)</f>
        <v/>
      </c>
      <c r="AB206" s="7" t="inlineStr">
        <is>
          <t>SWLaser</t>
        </is>
      </c>
    </row>
    <row r="207">
      <c r="B207" s="7" t="inlineStr">
        <is>
          <t xml:space="preserve">  ↳ USALaserCannonAG</t>
        </is>
      </c>
      <c r="C207" s="7" t="inlineStr">
        <is>
          <t>Armament@medlaser</t>
        </is>
      </c>
      <c r="L207" s="6" t="n">
        <v>4000</v>
      </c>
      <c r="M207" s="6" t="n">
        <v>50</v>
      </c>
      <c r="N207" s="6" t="n">
        <v>3</v>
      </c>
      <c r="O207" s="6" t="n">
        <v>6</v>
      </c>
      <c r="P207" s="6" t="n">
        <v>7168</v>
      </c>
      <c r="Q207" s="6" t="n">
        <v>1</v>
      </c>
      <c r="R207">
        <f>M207+IF(N207&gt;1,N(O207)*(N207-1),0)</f>
        <v/>
      </c>
      <c r="S207">
        <f>IFERROR(L207*MAX(N207,1)/R207*IF(ISBLANK(K194),1,K194),0)</f>
        <v/>
      </c>
      <c r="AB207" s="7" t="inlineStr">
        <is>
          <t>^AntiGroundMissile</t>
        </is>
      </c>
    </row>
    <row r="208">
      <c r="B208" s="7" t="inlineStr">
        <is>
          <t xml:space="preserve">  ↳ SWGreenLaserG</t>
        </is>
      </c>
      <c r="C208" s="7" t="inlineStr">
        <is>
          <t>Armament@greenlaser</t>
        </is>
      </c>
      <c r="L208" s="6" t="n">
        <v>5000</v>
      </c>
      <c r="M208" s="6" t="n">
        <v>75</v>
      </c>
      <c r="N208" s="6" t="n">
        <v>1</v>
      </c>
      <c r="O208" s="6" t="n"/>
      <c r="P208" s="6" t="n">
        <v>7168</v>
      </c>
      <c r="Q208" s="6" t="n">
        <v>1</v>
      </c>
      <c r="R208">
        <f>M208+IF(N208&gt;1,N(O208)*(N208-1),0)</f>
        <v/>
      </c>
      <c r="S208">
        <f>IFERROR(L208*MAX(N208,1)/R208*IF(ISBLANK(K194),1,K194),0)</f>
        <v/>
      </c>
      <c r="AB208" s="7" t="inlineStr">
        <is>
          <t>SWGreenLaser</t>
        </is>
      </c>
    </row>
    <row r="209">
      <c r="B209" s="7" t="inlineStr">
        <is>
          <t xml:space="preserve">  ↳ SWGBigRedLaserG</t>
        </is>
      </c>
      <c r="C209" s="7" t="inlineStr">
        <is>
          <t>Armament@misslaser</t>
        </is>
      </c>
      <c r="L209" s="6" t="n">
        <v>4000</v>
      </c>
      <c r="M209" s="6" t="n">
        <v>75</v>
      </c>
      <c r="N209" s="6" t="n">
        <v>1</v>
      </c>
      <c r="O209" s="6" t="n"/>
      <c r="P209" s="6" t="n">
        <v>8192</v>
      </c>
      <c r="Q209" s="6" t="n">
        <v>1</v>
      </c>
      <c r="R209">
        <f>M209+IF(N209&gt;1,N(O209)*(N209-1),0)</f>
        <v/>
      </c>
      <c r="S209">
        <f>IFERROR(L209*MAX(N209,1)/R209*IF(ISBLANK(K194),1,K194),0)</f>
        <v/>
      </c>
      <c r="AB209" s="7" t="inlineStr">
        <is>
          <t>SWrBigRedLaser</t>
        </is>
      </c>
    </row>
    <row r="210">
      <c r="B210" s="7" t="inlineStr">
        <is>
          <t xml:space="preserve">  ↳ BigFlamer</t>
        </is>
      </c>
      <c r="C210" s="7" t="inlineStr">
        <is>
          <t>Armament@fire</t>
        </is>
      </c>
      <c r="L210" s="6" t="n">
        <v>14000</v>
      </c>
      <c r="M210" s="6" t="n">
        <v>50</v>
      </c>
      <c r="N210" s="6" t="n">
        <v>2</v>
      </c>
      <c r="O210" s="6" t="n">
        <v>10</v>
      </c>
      <c r="P210" s="6" t="n">
        <v>2390</v>
      </c>
      <c r="Q210" s="6" t="n">
        <v>1</v>
      </c>
      <c r="R210">
        <f>M210+IF(N210&gt;1,N(O210)*(N210-1),0)</f>
        <v/>
      </c>
      <c r="S210">
        <f>IFERROR(L210*MAX(N210,1)/R210*IF(ISBLANK(K194),1,K194),0)</f>
        <v/>
      </c>
      <c r="AB210" s="7" t="inlineStr">
        <is>
          <t>^Warhead_Flame_Medium</t>
        </is>
      </c>
    </row>
    <row r="211">
      <c r="B211" s="7" t="inlineStr">
        <is>
          <t xml:space="preserve">  ↳ RA2RadBeamWeapon</t>
        </is>
      </c>
      <c r="C211" s="7" t="inlineStr">
        <is>
          <t>Armament@chem</t>
        </is>
      </c>
      <c r="L211" s="6" t="n">
        <v>30000</v>
      </c>
      <c r="M211" s="6" t="n">
        <v>45</v>
      </c>
      <c r="N211" s="6" t="n">
        <v>1</v>
      </c>
      <c r="O211" s="6" t="n"/>
      <c r="P211" s="6" t="n">
        <v>6444</v>
      </c>
      <c r="Q211" s="6" t="n">
        <v>1</v>
      </c>
      <c r="R211">
        <f>M211+IF(N211&gt;1,N(O211)*(N211-1),0)</f>
        <v/>
      </c>
      <c r="S211">
        <f>IFERROR(L211*MAX(N211,1)/R211*IF(ISBLANK(K194),1,K194),0)</f>
        <v/>
      </c>
      <c r="AB211" s="7" t="inlineStr">
        <is>
          <t>^Warhead_Chemical_Medium</t>
        </is>
      </c>
    </row>
    <row r="212">
      <c r="B212" s="7" t="inlineStr">
        <is>
          <t xml:space="preserve">  ↳ RA2RadBeamWeapon</t>
        </is>
      </c>
      <c r="C212" s="7" t="inlineStr">
        <is>
          <t>Armament@thrax</t>
        </is>
      </c>
      <c r="L212" s="6" t="n">
        <v>30000</v>
      </c>
      <c r="M212" s="6" t="n">
        <v>45</v>
      </c>
      <c r="N212" s="6" t="n">
        <v>1</v>
      </c>
      <c r="O212" s="6" t="n"/>
      <c r="P212" s="6" t="n">
        <v>6444</v>
      </c>
      <c r="Q212" s="6" t="n">
        <v>1</v>
      </c>
      <c r="R212">
        <f>M212+IF(N212&gt;1,N(O212)*(N212-1),0)</f>
        <v/>
      </c>
      <c r="S212">
        <f>IFERROR(L212*MAX(N212,1)/R212*IF(ISBLANK(K194),1,K194),0)</f>
        <v/>
      </c>
      <c r="AB212" s="7" t="inlineStr">
        <is>
          <t>^Warhead_Chemical_Medium</t>
        </is>
      </c>
    </row>
    <row r="213">
      <c r="B213" s="7" t="inlineStr">
        <is>
          <t xml:space="preserve">  ↳ RA2MultiHoverMissile</t>
        </is>
      </c>
      <c r="C213" s="7" t="inlineStr">
        <is>
          <t>Armament@missile</t>
        </is>
      </c>
      <c r="L213" s="6" t="n">
        <v>4000</v>
      </c>
      <c r="M213" s="6" t="n">
        <v>20</v>
      </c>
      <c r="N213" s="6" t="n">
        <v>4</v>
      </c>
      <c r="O213" s="6" t="n"/>
      <c r="P213" s="6" t="n">
        <v>6170</v>
      </c>
      <c r="Q213" s="6" t="n">
        <v>0.875</v>
      </c>
      <c r="R213">
        <f>M213+IF(N213&gt;1,N(O213)*(N213-1),0)</f>
        <v/>
      </c>
      <c r="S213">
        <f>IFERROR(L213*MAX(N213,1)/R213*IF(ISBLANK(K194),1,K194),0)</f>
        <v/>
      </c>
      <c r="AB213" s="7" t="inlineStr">
        <is>
          <t>^Warhead_CannonHE_Medium, ^Warhead_MissileHE_Light</t>
        </is>
      </c>
    </row>
    <row r="214">
      <c r="B214" s="7" t="inlineStr">
        <is>
          <t xml:space="preserve">  ↳ IFVChronoBeam</t>
        </is>
      </c>
      <c r="C214" s="7" t="inlineStr">
        <is>
          <t>Armament@chrono</t>
        </is>
      </c>
      <c r="L214" s="6" t="n"/>
      <c r="M214" s="6" t="n">
        <v>1</v>
      </c>
      <c r="N214" s="6" t="n">
        <v>1</v>
      </c>
      <c r="O214" s="6" t="n"/>
      <c r="P214" s="6" t="n">
        <v>7500</v>
      </c>
      <c r="Q214" s="6" t="n">
        <v>1</v>
      </c>
      <c r="R214">
        <f>M214+IF(N214&gt;1,N(O214)*(N214-1),0)</f>
        <v/>
      </c>
      <c r="S214">
        <f>IFERROR(L214*MAX(N214,1)/R214*IF(ISBLANK(K194),1,K194),0)</f>
        <v/>
      </c>
      <c r="AB214" s="7" t="inlineStr">
        <is>
          <t>ChronoBeam</t>
        </is>
      </c>
    </row>
    <row r="215">
      <c r="B215" s="7" t="inlineStr">
        <is>
          <t xml:space="preserve">  ↳ IFVChronoSound</t>
        </is>
      </c>
      <c r="C215" s="7" t="inlineStr">
        <is>
          <t>Armament@chronosound</t>
        </is>
      </c>
      <c r="L215" s="6" t="n"/>
      <c r="M215" s="6" t="n">
        <v>180</v>
      </c>
      <c r="N215" s="6" t="n">
        <v>1</v>
      </c>
      <c r="O215" s="6" t="n"/>
      <c r="P215" s="6" t="n">
        <v>8000</v>
      </c>
      <c r="Q215" s="6" t="n">
        <v>1</v>
      </c>
      <c r="R215">
        <f>M215+IF(N215&gt;1,N(O215)*(N215-1),0)</f>
        <v/>
      </c>
      <c r="S215">
        <f>IFERROR(L215*MAX(N215,1)/R215*IF(ISBLANK(K194),1,K194),0)</f>
        <v/>
      </c>
      <c r="AB215" s="7" t="inlineStr">
        <is>
          <t>RA2ChronoTele</t>
        </is>
      </c>
    </row>
    <row r="216">
      <c r="B216" s="7" t="inlineStr">
        <is>
          <t xml:space="preserve">  ↳ DemoTruckTargeting</t>
        </is>
      </c>
      <c r="C216" s="7" t="inlineStr">
        <is>
          <t>Armament@ivan</t>
        </is>
      </c>
      <c r="L216" s="6" t="n"/>
      <c r="M216" s="6" t="n"/>
      <c r="N216" s="6" t="n">
        <v>1</v>
      </c>
      <c r="O216" s="6" t="n"/>
      <c r="P216" s="6" t="n">
        <v>2000</v>
      </c>
      <c r="Q216" s="6" t="n">
        <v>1</v>
      </c>
      <c r="R216">
        <f>M216+IF(N216&gt;1,N(O216)*(N216-1),0)</f>
        <v/>
      </c>
      <c r="S216">
        <f>IFERROR(L216*MAX(N216,1)/R216*IF(ISBLANK(K194),1,K194),0)</f>
        <v/>
      </c>
      <c r="AB216" s="7" t="inlineStr"/>
    </row>
    <row r="217">
      <c r="B217" s="7" t="inlineStr">
        <is>
          <t xml:space="preserve">  ↳ Fremen_L</t>
        </is>
      </c>
      <c r="C217" s="7" t="inlineStr">
        <is>
          <t>Armament@fremen</t>
        </is>
      </c>
      <c r="L217" s="6" t="n">
        <v>3000</v>
      </c>
      <c r="M217" s="6" t="n">
        <v>25</v>
      </c>
      <c r="N217" s="6" t="n">
        <v>1</v>
      </c>
      <c r="O217" s="6" t="n"/>
      <c r="P217" s="6" t="n">
        <v>2560</v>
      </c>
      <c r="Q217" s="6" t="n">
        <v>1</v>
      </c>
      <c r="R217">
        <f>M217+IF(N217&gt;1,N(O217)*(N217-1),0)</f>
        <v/>
      </c>
      <c r="S217">
        <f>IFERROR(L217*MAX(N217,1)/R217*IF(ISBLANK(K194),1,K194),0)</f>
        <v/>
      </c>
      <c r="AB217" s="7" t="inlineStr">
        <is>
          <t>M_HMG</t>
        </is>
      </c>
    </row>
    <row r="218">
      <c r="B218" s="7" t="inlineStr">
        <is>
          <t xml:space="preserve">  ↳ TSSonicZap</t>
        </is>
      </c>
      <c r="C218" s="7" t="inlineStr">
        <is>
          <t>Armament@sonic</t>
        </is>
      </c>
      <c r="L218" s="6" t="n">
        <v>5000</v>
      </c>
      <c r="M218" s="6" t="n">
        <v>60</v>
      </c>
      <c r="N218" s="6" t="n">
        <v>1</v>
      </c>
      <c r="O218" s="6" t="n"/>
      <c r="P218" s="6" t="n">
        <v>6144</v>
      </c>
      <c r="Q218" s="6" t="n">
        <v>1</v>
      </c>
      <c r="R218">
        <f>M218+IF(N218&gt;1,N(O218)*(N218-1),0)</f>
        <v/>
      </c>
      <c r="S218">
        <f>IFERROR(L218*MAX(N218,1)/R218*IF(ISBLANK(K194),1,K194),0)</f>
        <v/>
      </c>
      <c r="AB218" s="7" t="inlineStr"/>
    </row>
    <row r="219">
      <c r="B219" s="7" t="inlineStr">
        <is>
          <t xml:space="preserve">  ↳ MedicHeal</t>
        </is>
      </c>
      <c r="C219" s="7" t="inlineStr">
        <is>
          <t>Armament@heal</t>
        </is>
      </c>
      <c r="L219" s="6" t="n">
        <v>-3000</v>
      </c>
      <c r="M219" s="6" t="n">
        <v>10</v>
      </c>
      <c r="N219" s="6" t="n">
        <v>1</v>
      </c>
      <c r="O219" s="6" t="n"/>
      <c r="P219" s="6" t="n">
        <v>6000</v>
      </c>
      <c r="Q219" s="6" t="n">
        <v>1</v>
      </c>
      <c r="R219">
        <f>M219+IF(N219&gt;1,N(O219)*(N219-1),0)</f>
        <v/>
      </c>
      <c r="S219">
        <f>IFERROR(L219*MAX(N219,1)/R219*IF(ISBLANK(K194),1,K194),0)</f>
        <v/>
      </c>
      <c r="AB219" s="7" t="inlineStr">
        <is>
          <t>^HealingWeapon</t>
        </is>
      </c>
    </row>
    <row r="220">
      <c r="B220" s="7" t="inlineStr">
        <is>
          <t xml:space="preserve">  ↳ RA2HoverMissile</t>
        </is>
      </c>
      <c r="C220" s="7" t="inlineStr">
        <is>
          <t>Armament@primary</t>
        </is>
      </c>
      <c r="L220" s="6" t="n">
        <v>12000</v>
      </c>
      <c r="M220" s="6" t="n">
        <v>28</v>
      </c>
      <c r="N220" s="6" t="n">
        <v>2</v>
      </c>
      <c r="O220" s="6" t="n">
        <v>4</v>
      </c>
      <c r="P220" s="6" t="n">
        <v>5760</v>
      </c>
      <c r="Q220" s="6" t="n">
        <v>0.75</v>
      </c>
      <c r="R220">
        <f>M220+IF(N220&gt;1,N(O220)*(N220-1),0)</f>
        <v/>
      </c>
      <c r="S220">
        <f>IFERROR(L220*MAX(N220,1)/R220*IF(ISBLANK(K194),1,K194),0)</f>
        <v/>
      </c>
      <c r="AB220" s="7" t="inlineStr">
        <is>
          <t>^Warhead_Arrow_Light, ^Warhead_MissileAP_Light</t>
        </is>
      </c>
    </row>
    <row r="221">
      <c r="B221" s="7" t="inlineStr">
        <is>
          <t xml:space="preserve">  ↳ RA2HoverMissile_elite</t>
        </is>
      </c>
      <c r="C221" s="7" t="inlineStr">
        <is>
          <t>Armament@primaryelite</t>
        </is>
      </c>
      <c r="L221" s="6" t="n">
        <v>12000</v>
      </c>
      <c r="M221" s="6" t="n">
        <v>28</v>
      </c>
      <c r="N221" s="6" t="n">
        <v>4</v>
      </c>
      <c r="O221" s="6" t="n">
        <v>4</v>
      </c>
      <c r="P221" s="6" t="n">
        <v>6760</v>
      </c>
      <c r="Q221" s="6" t="n">
        <v>0.75</v>
      </c>
      <c r="R221">
        <f>M221+IF(N221&gt;1,N(O221)*(N221-1),0)</f>
        <v/>
      </c>
      <c r="S221">
        <f>IFERROR(L221*MAX(N221,1)/R221*IF(ISBLANK(K194),1,K194),0)</f>
        <v/>
      </c>
      <c r="AB221" s="7" t="inlineStr">
        <is>
          <t>^Warhead_Arrow_Light, ^Warhead_MissileAP_Light</t>
        </is>
      </c>
    </row>
    <row r="222">
      <c r="B222" s="7" t="inlineStr">
        <is>
          <t xml:space="preserve">  ↳ RA2HoverMissile_AA</t>
        </is>
      </c>
      <c r="C222" s="7" t="inlineStr">
        <is>
          <t>Armament@primaryAA</t>
        </is>
      </c>
      <c r="L222" s="6" t="n">
        <v>12000</v>
      </c>
      <c r="M222" s="6" t="n">
        <v>28</v>
      </c>
      <c r="N222" s="6" t="n">
        <v>2</v>
      </c>
      <c r="O222" s="6" t="n">
        <v>4</v>
      </c>
      <c r="P222" s="6" t="n">
        <v>8640</v>
      </c>
      <c r="Q222" s="6" t="n">
        <v>0.75</v>
      </c>
      <c r="R222">
        <f>M222+IF(N222&gt;1,N(O222)*(N222-1),0)</f>
        <v/>
      </c>
      <c r="S222">
        <f>IFERROR(L222*MAX(N222,1)/R222*IF(ISBLANK(K194),1,K194),0)</f>
        <v/>
      </c>
      <c r="AB222" s="7" t="inlineStr">
        <is>
          <t>^Warhead_Arrow_Light, ^Warhead_MissileAP_Light</t>
        </is>
      </c>
    </row>
    <row r="223">
      <c r="B223" s="7" t="inlineStr">
        <is>
          <t xml:space="preserve">  ↳ RA2HoverMissile_AA_elite</t>
        </is>
      </c>
      <c r="C223" s="7" t="inlineStr">
        <is>
          <t>Armament@primaryeliteAA</t>
        </is>
      </c>
      <c r="L223" s="6" t="n">
        <v>12000</v>
      </c>
      <c r="M223" s="6" t="n">
        <v>28</v>
      </c>
      <c r="N223" s="6" t="n">
        <v>4</v>
      </c>
      <c r="O223" s="6" t="n">
        <v>4</v>
      </c>
      <c r="P223" s="6" t="n">
        <v>9640</v>
      </c>
      <c r="Q223" s="6" t="n">
        <v>0.75</v>
      </c>
      <c r="R223">
        <f>M223+IF(N223&gt;1,N(O223)*(N223-1),0)</f>
        <v/>
      </c>
      <c r="S223">
        <f>IFERROR(L223*MAX(N223,1)/R223*IF(ISBLANK(K194),1,K194),0)</f>
        <v/>
      </c>
      <c r="AB223" s="7" t="inlineStr">
        <is>
          <t>^Warhead_Arrow_Light, ^Warhead_MissileAP_Light</t>
        </is>
      </c>
    </row>
    <row r="224">
      <c r="B224" s="7" t="inlineStr">
        <is>
          <t xml:space="preserve">  ↳ RA2ThunderboltMissile</t>
        </is>
      </c>
      <c r="C224" s="7" t="inlineStr">
        <is>
          <t>Armament@primaryThunderbolt</t>
        </is>
      </c>
      <c r="L224" s="6" t="n">
        <v>4000</v>
      </c>
      <c r="M224" s="6" t="n">
        <v>25</v>
      </c>
      <c r="N224" s="6" t="n">
        <v>1</v>
      </c>
      <c r="O224" s="6" t="n"/>
      <c r="P224" s="6" t="n">
        <v>5120</v>
      </c>
      <c r="Q224" s="6" t="n">
        <v>1</v>
      </c>
      <c r="R224">
        <f>M224+IF(N224&gt;1,N(O224)*(N224-1),0)</f>
        <v/>
      </c>
      <c r="S224">
        <f>IFERROR(L224*MAX(N224,1)/R224*IF(ISBLANK(K194),1,K194),0)</f>
        <v/>
      </c>
      <c r="AB224" s="7" t="inlineStr">
        <is>
          <t>^Warhead_MissileHE_Heavy, ^Warhead_MissileHE_Light</t>
        </is>
      </c>
    </row>
    <row r="225">
      <c r="B225" s="7" t="inlineStr">
        <is>
          <t xml:space="preserve">  ↳ RA2ThunderboltMissile_elite</t>
        </is>
      </c>
      <c r="C225" s="7" t="inlineStr">
        <is>
          <t>Armament@primaryeliteThunderbolt</t>
        </is>
      </c>
      <c r="L225" s="6" t="n">
        <v>4000</v>
      </c>
      <c r="M225" s="6" t="n">
        <v>25</v>
      </c>
      <c r="N225" s="6" t="n">
        <v>4</v>
      </c>
      <c r="O225" s="6" t="n"/>
      <c r="P225" s="6" t="n">
        <v>6760</v>
      </c>
      <c r="Q225" s="6" t="n">
        <v>1</v>
      </c>
      <c r="R225">
        <f>M225+IF(N225&gt;1,N(O225)*(N225-1),0)</f>
        <v/>
      </c>
      <c r="S225">
        <f>IFERROR(L225*MAX(N225,1)/R225*IF(ISBLANK(K194),1,K194),0)</f>
        <v/>
      </c>
      <c r="AB225" s="7" t="inlineStr">
        <is>
          <t>^Warhead_MissileHE_Heavy, ^Warhead_MissileHE_Light</t>
        </is>
      </c>
    </row>
    <row r="226">
      <c r="B226" s="7" t="inlineStr">
        <is>
          <t xml:space="preserve">  ↳ RA2ThunderboltMissile_AA</t>
        </is>
      </c>
      <c r="C226" s="7" t="inlineStr">
        <is>
          <t>Armament@primaryAAThunderbolt</t>
        </is>
      </c>
      <c r="L226" s="6" t="n">
        <v>4000</v>
      </c>
      <c r="M226" s="6" t="n">
        <v>25</v>
      </c>
      <c r="N226" s="6" t="n">
        <v>1</v>
      </c>
      <c r="O226" s="6" t="n"/>
      <c r="P226" s="6" t="n">
        <v>8640</v>
      </c>
      <c r="Q226" s="6" t="n">
        <v>1</v>
      </c>
      <c r="R226">
        <f>M226+IF(N226&gt;1,N(O226)*(N226-1),0)</f>
        <v/>
      </c>
      <c r="S226">
        <f>IFERROR(L226*MAX(N226,1)/R226*IF(ISBLANK(K194),1,K194),0)</f>
        <v/>
      </c>
      <c r="AB226" s="7" t="inlineStr">
        <is>
          <t>^Warhead_MissileHE_Heavy, ^Warhead_MissileHE_Light</t>
        </is>
      </c>
    </row>
    <row r="227">
      <c r="B227" s="7" t="inlineStr">
        <is>
          <t xml:space="preserve">  ↳ RA2ThunderboltMissile_AA_elite</t>
        </is>
      </c>
      <c r="C227" s="7" t="inlineStr">
        <is>
          <t>Armament@primaryeliteAAThunderbolt</t>
        </is>
      </c>
      <c r="L227" s="6" t="n">
        <v>4000</v>
      </c>
      <c r="M227" s="6" t="n">
        <v>25</v>
      </c>
      <c r="N227" s="6" t="n">
        <v>4</v>
      </c>
      <c r="O227" s="6" t="n"/>
      <c r="P227" s="6" t="n">
        <v>9640</v>
      </c>
      <c r="Q227" s="6" t="n">
        <v>1</v>
      </c>
      <c r="R227">
        <f>M227+IF(N227&gt;1,N(O227)*(N227-1),0)</f>
        <v/>
      </c>
      <c r="S227">
        <f>IFERROR(L227*MAX(N227,1)/R227*IF(ISBLANK(K194),1,K194),0)</f>
        <v/>
      </c>
      <c r="AB227" s="7" t="inlineStr">
        <is>
          <t>^Warhead_MissileHE_Heavy, ^Warhead_MissileHE_Light</t>
        </is>
      </c>
    </row>
    <row r="228">
      <c r="B228" s="7" t="inlineStr">
        <is>
          <t xml:space="preserve">  ↳ RA2MultiHoverMissile_elite</t>
        </is>
      </c>
      <c r="C228" s="7" t="inlineStr">
        <is>
          <t>Armament@missileelite</t>
        </is>
      </c>
      <c r="L228" s="6" t="n">
        <v>4000</v>
      </c>
      <c r="M228" s="6" t="n">
        <v>20</v>
      </c>
      <c r="N228" s="6" t="n">
        <v>4</v>
      </c>
      <c r="O228" s="6" t="n"/>
      <c r="P228" s="6" t="n">
        <v>7170</v>
      </c>
      <c r="Q228" s="6" t="n">
        <v>0.875</v>
      </c>
      <c r="R228">
        <f>M228+IF(N228&gt;1,N(O228)*(N228-1),0)</f>
        <v/>
      </c>
      <c r="S228">
        <f>IFERROR(L228*MAX(N228,1)/R228*IF(ISBLANK(K194),1,K194),0)</f>
        <v/>
      </c>
      <c r="AB228" s="7" t="inlineStr">
        <is>
          <t>^Warhead_CannonHE_Medium, ^Warhead_MissileHE_Light</t>
        </is>
      </c>
    </row>
    <row r="229">
      <c r="B229" s="7" t="inlineStr">
        <is>
          <t xml:space="preserve">  ↳ RA2MultiHoverMissile_AA</t>
        </is>
      </c>
      <c r="C229" s="7" t="inlineStr">
        <is>
          <t>Armament@missileAA</t>
        </is>
      </c>
      <c r="L229" s="6" t="n">
        <v>4000</v>
      </c>
      <c r="M229" s="6" t="n">
        <v>20</v>
      </c>
      <c r="N229" s="6" t="n">
        <v>4</v>
      </c>
      <c r="O229" s="6" t="n"/>
      <c r="P229" s="6" t="n">
        <v>9255</v>
      </c>
      <c r="Q229" s="6" t="n">
        <v>0.875</v>
      </c>
      <c r="R229">
        <f>M229+IF(N229&gt;1,N(O229)*(N229-1),0)</f>
        <v/>
      </c>
      <c r="S229">
        <f>IFERROR(L229*MAX(N229,1)/R229*IF(ISBLANK(K194),1,K194),0)</f>
        <v/>
      </c>
      <c r="AB229" s="7" t="inlineStr">
        <is>
          <t>^Warhead_CannonHE_Medium, ^Warhead_MissileHE_Light</t>
        </is>
      </c>
    </row>
    <row r="230">
      <c r="B230" s="7" t="inlineStr">
        <is>
          <t xml:space="preserve">  ↳ RA2MultiHoverMissile_AA_elite</t>
        </is>
      </c>
      <c r="C230" s="7" t="inlineStr">
        <is>
          <t>Armament@missileeliteAA</t>
        </is>
      </c>
      <c r="L230" s="6" t="n">
        <v>4000</v>
      </c>
      <c r="M230" s="6" t="n">
        <v>20</v>
      </c>
      <c r="N230" s="6" t="n">
        <v>4</v>
      </c>
      <c r="O230" s="6" t="n"/>
      <c r="P230" s="6" t="n">
        <v>10255</v>
      </c>
      <c r="Q230" s="6" t="n">
        <v>0.875</v>
      </c>
      <c r="R230">
        <f>M230+IF(N230&gt;1,N(O230)*(N230-1),0)</f>
        <v/>
      </c>
      <c r="S230">
        <f>IFERROR(L230*MAX(N230,1)/R230*IF(ISBLANK(K194),1,K194),0)</f>
        <v/>
      </c>
      <c r="AB230" s="7" t="inlineStr">
        <is>
          <t>^Warhead_CannonHE_Medium, ^Warhead_MissileHE_Light</t>
        </is>
      </c>
    </row>
    <row r="231">
      <c r="B231" s="7" t="inlineStr">
        <is>
          <t xml:space="preserve">  ↳ RA2MultiThunderboltMissile</t>
        </is>
      </c>
      <c r="C231" s="7" t="inlineStr">
        <is>
          <t>Armament@missileThunderbolt</t>
        </is>
      </c>
      <c r="L231" s="6" t="n">
        <v>4000</v>
      </c>
      <c r="M231" s="6" t="n">
        <v>25</v>
      </c>
      <c r="N231" s="6" t="n">
        <v>1</v>
      </c>
      <c r="O231" s="6" t="n"/>
      <c r="P231" s="6" t="n">
        <v>5120</v>
      </c>
      <c r="Q231" s="6" t="n">
        <v>1</v>
      </c>
      <c r="R231">
        <f>M231+IF(N231&gt;1,N(O231)*(N231-1),0)</f>
        <v/>
      </c>
      <c r="S231">
        <f>IFERROR(L231*MAX(N231,1)/R231*IF(ISBLANK(K194),1,K194),0)</f>
        <v/>
      </c>
      <c r="AB231" s="7" t="inlineStr">
        <is>
          <t>^Warhead_MissileHE_Heavy, ^Warhead_MissileHE_Light</t>
        </is>
      </c>
    </row>
    <row r="232">
      <c r="B232" s="7" t="inlineStr">
        <is>
          <t xml:space="preserve">  ↳ RA2MultiThunderboltMissile_elite</t>
        </is>
      </c>
      <c r="C232" s="7" t="inlineStr">
        <is>
          <t>Armament@missileeliteThunderbolt</t>
        </is>
      </c>
      <c r="L232" s="6" t="n">
        <v>4000</v>
      </c>
      <c r="M232" s="6" t="n">
        <v>25</v>
      </c>
      <c r="N232" s="6" t="n">
        <v>4</v>
      </c>
      <c r="O232" s="6" t="n"/>
      <c r="P232" s="6" t="n">
        <v>7170</v>
      </c>
      <c r="Q232" s="6" t="n">
        <v>1</v>
      </c>
      <c r="R232">
        <f>M232+IF(N232&gt;1,N(O232)*(N232-1),0)</f>
        <v/>
      </c>
      <c r="S232">
        <f>IFERROR(L232*MAX(N232,1)/R232*IF(ISBLANK(K194),1,K194),0)</f>
        <v/>
      </c>
      <c r="AB232" s="7" t="inlineStr">
        <is>
          <t>^Warhead_MissileHE_Heavy, ^Warhead_MissileHE_Light</t>
        </is>
      </c>
    </row>
    <row r="233">
      <c r="B233" s="7" t="inlineStr">
        <is>
          <t xml:space="preserve">  ↳ RA2MultiThunderboltMissile_AA</t>
        </is>
      </c>
      <c r="C233" s="7" t="inlineStr">
        <is>
          <t>Armament@missileAAThunderbolt</t>
        </is>
      </c>
      <c r="L233" s="6" t="n">
        <v>4000</v>
      </c>
      <c r="M233" s="6" t="n">
        <v>25</v>
      </c>
      <c r="N233" s="6" t="n">
        <v>1</v>
      </c>
      <c r="O233" s="6" t="n"/>
      <c r="P233" s="6" t="n">
        <v>9255</v>
      </c>
      <c r="Q233" s="6" t="n">
        <v>1</v>
      </c>
      <c r="R233">
        <f>M233+IF(N233&gt;1,N(O233)*(N233-1),0)</f>
        <v/>
      </c>
      <c r="S233">
        <f>IFERROR(L233*MAX(N233,1)/R233*IF(ISBLANK(K194),1,K194),0)</f>
        <v/>
      </c>
      <c r="AB233" s="7" t="inlineStr">
        <is>
          <t>^Warhead_MissileHE_Heavy, ^Warhead_MissileHE_Light</t>
        </is>
      </c>
    </row>
    <row r="234">
      <c r="B234" s="7" t="inlineStr">
        <is>
          <t xml:space="preserve">  ↳ RA2MultiThunderboltMissile_AA_elite</t>
        </is>
      </c>
      <c r="C234" s="7" t="inlineStr">
        <is>
          <t>Armament@missileeliteAAThunderbolt</t>
        </is>
      </c>
      <c r="L234" s="6" t="n">
        <v>4000</v>
      </c>
      <c r="M234" s="6" t="n">
        <v>25</v>
      </c>
      <c r="N234" s="6" t="n">
        <v>4</v>
      </c>
      <c r="O234" s="6" t="n"/>
      <c r="P234" s="6" t="n">
        <v>10255</v>
      </c>
      <c r="Q234" s="6" t="n">
        <v>1</v>
      </c>
      <c r="R234">
        <f>M234+IF(N234&gt;1,N(O234)*(N234-1),0)</f>
        <v/>
      </c>
      <c r="S234">
        <f>IFERROR(L234*MAX(N234,1)/R234*IF(ISBLANK(K194),1,K194),0)</f>
        <v/>
      </c>
      <c r="AB234" s="7" t="inlineStr">
        <is>
          <t>^Warhead_MissileHE_Heavy, ^Warhead_MissileHE_Light</t>
        </is>
      </c>
    </row>
    <row r="235">
      <c r="B235" s="7" t="inlineStr">
        <is>
          <t xml:space="preserve">  ↳ MedicHeal</t>
        </is>
      </c>
      <c r="C235" s="7" t="inlineStr">
        <is>
          <t>Armament@healer</t>
        </is>
      </c>
      <c r="L235" s="6" t="n">
        <v>-3000</v>
      </c>
      <c r="M235" s="6" t="n">
        <v>10</v>
      </c>
      <c r="N235" s="6" t="n">
        <v>1</v>
      </c>
      <c r="O235" s="6" t="n"/>
      <c r="P235" s="6" t="n">
        <v>6000</v>
      </c>
      <c r="Q235" s="6" t="n">
        <v>1</v>
      </c>
      <c r="R235">
        <f>M235+IF(N235&gt;1,N(O235)*(N235-1),0)</f>
        <v/>
      </c>
      <c r="S235">
        <f>IFERROR(L235*MAX(N235,1)/R235*IF(ISBLANK(K194),1,K194),0)</f>
        <v/>
      </c>
      <c r="AB235" s="7" t="inlineStr">
        <is>
          <t>^HealingWeapon</t>
        </is>
      </c>
    </row>
    <row r="236">
      <c r="B236" s="7" t="inlineStr">
        <is>
          <t xml:space="preserve">  ↳ RA2AWP</t>
        </is>
      </c>
      <c r="C236" s="7" t="inlineStr">
        <is>
          <t>Armament@ra1_allies_alliedsniper</t>
        </is>
      </c>
      <c r="L236" s="6" t="n">
        <v>44000</v>
      </c>
      <c r="M236" s="6" t="n">
        <v>54</v>
      </c>
      <c r="N236" s="6" t="n">
        <v>1</v>
      </c>
      <c r="O236" s="6" t="n"/>
      <c r="P236" s="6" t="n">
        <v>10000</v>
      </c>
      <c r="Q236" s="6" t="n">
        <v>0.75</v>
      </c>
      <c r="R236">
        <f>M236+IF(N236&gt;1,N(O236)*(N236-1),0)</f>
        <v/>
      </c>
      <c r="S236">
        <f>IFERROR(L236*MAX(N236,1)/R236*IF(ISBLANK(K194),1,K194),0)</f>
        <v/>
      </c>
      <c r="AB236" s="7" t="inlineStr">
        <is>
          <t>^Warhead_Sniper_Light</t>
        </is>
      </c>
    </row>
    <row r="237">
      <c r="A237" t="inlineStr">
        <is>
          <t>redalert2</t>
        </is>
      </c>
      <c r="B237" t="inlineStr">
        <is>
          <t>ra2_allies_ifv_missile</t>
        </is>
      </c>
      <c r="C237" t="inlineStr">
        <is>
          <t>actor_fv.name</t>
        </is>
      </c>
      <c r="D237" s="6" t="inlineStr">
        <is>
          <t>ScoutVehicle</t>
        </is>
      </c>
      <c r="E237" s="6" t="n">
        <v>25000</v>
      </c>
      <c r="F237" s="6" t="n">
        <v>150</v>
      </c>
      <c r="G237" t="inlineStr">
        <is>
          <t>Scout</t>
        </is>
      </c>
      <c r="H237" s="6" t="n">
        <v>1</v>
      </c>
      <c r="I237" s="6" t="n">
        <v>1</v>
      </c>
      <c r="J237" s="6" t="n">
        <v>1</v>
      </c>
      <c r="K237" s="6" t="n"/>
      <c r="P237">
        <f>MAX(P238,P239,P240,P241,P242,P243,P244,P245,P246,P247,P248,P249,P250,P251,P252,P253,P254,P255,P256,P260,P261,P262,P263,P264,P265,P266,P267,P268,P269,P270,P271,P272,P273,P274,P275,P276,P277,P278,P279)</f>
        <v/>
      </c>
      <c r="S237">
        <f>S238+S239+S240+S241+S242+S243+S244+S245+S246+S247+S248+S249+S250+S251+S252+S253+S254+S255+S256+S260+S261+S262+S263+S264+S265+S266+S267+S268+S269+S270+S271+S272+S273+S274+S275+S276+S277+S278+S279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(((E237/30000)+(F237/200)+(S237/450)+((P237/4500)*J237))*300/4+(((E237/30000)*(F237/200))+(((P237/4500)*J237)*(S237/450)))*300/2+((E237/30000)*(F237/200)*((P237/4500)*J237)*(S237/450))*300)*(H237/1.0)/3</f>
        <v/>
      </c>
      <c r="X237" s="6" t="n">
        <v>500</v>
      </c>
      <c r="Y237">
        <f>IFERROR(W237-X237,"")</f>
        <v/>
      </c>
      <c r="Z237">
        <f>IFERROR(ABS(Y237)/MAX(X237,1),"")</f>
        <v/>
      </c>
      <c r="AA237">
        <f>IFERROR(ROUND(((3*X237-(((E237/30000)+(F237/200)+(S237/450))*300/4+((E237/30000)*(F237/200))*300/2)*(H237/1.0))/(300/4+((S237/450))*300/2+((E237/30000)*(F237/200)*(S237/450))*300)*(H237/1.0)*4500)/J237,-1),"")</f>
        <v/>
      </c>
    </row>
    <row r="238">
      <c r="B238" s="7" t="inlineStr">
        <is>
          <t xml:space="preserve">  ↳ RA2CRM60</t>
        </is>
      </c>
      <c r="C238" s="7" t="inlineStr">
        <is>
          <t>Armament@mg</t>
        </is>
      </c>
      <c r="L238" s="6" t="n">
        <v>4000</v>
      </c>
      <c r="M238" s="6" t="n">
        <v>14</v>
      </c>
      <c r="N238" s="6" t="n">
        <v>4</v>
      </c>
      <c r="O238" s="6" t="n">
        <v>2</v>
      </c>
      <c r="P238" s="6" t="n">
        <v>5660</v>
      </c>
      <c r="Q238" s="6" t="n">
        <v>0.875</v>
      </c>
      <c r="R238">
        <f>M238+IF(N238&gt;1,N(O238)*(N238-1),0)</f>
        <v/>
      </c>
      <c r="S238">
        <f>IFERROR(L238*MAX(N238,1)/R238*IF(ISBLANK(K237),1,K237),0)</f>
        <v/>
      </c>
      <c r="AB238" s="7" t="inlineStr">
        <is>
          <t>^Warhead_Bullet_Light, ^Warhead_Bullet_Medium</t>
        </is>
      </c>
    </row>
    <row r="239">
      <c r="B239" s="7" t="inlineStr">
        <is>
          <t xml:space="preserve">  ↳ RA2CRM60H</t>
        </is>
      </c>
      <c r="C239" s="7" t="inlineStr">
        <is>
          <t>Armament@hmg</t>
        </is>
      </c>
      <c r="L239" s="6" t="n">
        <v>6000</v>
      </c>
      <c r="M239" s="6" t="n">
        <v>10</v>
      </c>
      <c r="N239" s="6" t="n">
        <v>6</v>
      </c>
      <c r="O239" s="6" t="n">
        <v>2</v>
      </c>
      <c r="P239" s="6" t="n">
        <v>4692</v>
      </c>
      <c r="Q239" s="6" t="n">
        <v>1.125</v>
      </c>
      <c r="R239">
        <f>M239+IF(N239&gt;1,N(O239)*(N239-1),0)</f>
        <v/>
      </c>
      <c r="S239">
        <f>IFERROR(L239*MAX(N239,1)/R239*IF(ISBLANK(K237),1,K237),0)</f>
        <v/>
      </c>
      <c r="AB239" s="7" t="inlineStr">
        <is>
          <t>^Warhead_CannonHE_Heavy, ^Warhead_Bullet_Medium</t>
        </is>
      </c>
    </row>
    <row r="240">
      <c r="B240" s="7" t="inlineStr">
        <is>
          <t xml:space="preserve">  ↳ wc_tower_fire</t>
        </is>
      </c>
      <c r="C240" s="7" t="inlineStr">
        <is>
          <t>Armament@archer</t>
        </is>
      </c>
      <c r="L240" s="6" t="n">
        <v>2500</v>
      </c>
      <c r="M240" s="6" t="n">
        <v>40</v>
      </c>
      <c r="N240" s="6" t="n">
        <v>1</v>
      </c>
      <c r="O240" s="6" t="n"/>
      <c r="P240" s="6" t="n">
        <v>8704</v>
      </c>
      <c r="Q240" s="6" t="n">
        <v>1</v>
      </c>
      <c r="R240">
        <f>M240+IF(N240&gt;1,N(O240)*(N240-1),0)</f>
        <v/>
      </c>
      <c r="S240">
        <f>IFERROR(L240*MAX(N240,1)/R240*IF(ISBLANK(K237),1,K237),0)</f>
        <v/>
      </c>
      <c r="AB240" s="7" t="inlineStr">
        <is>
          <t>bowFire</t>
        </is>
      </c>
    </row>
    <row r="241">
      <c r="B241" s="7" t="inlineStr">
        <is>
          <t xml:space="preserve">  ↳ RA2IFVRepair</t>
        </is>
      </c>
      <c r="C241" s="7" t="inlineStr">
        <is>
          <t>Armament@repair</t>
        </is>
      </c>
      <c r="L241" s="6" t="n">
        <v>-3000</v>
      </c>
      <c r="M241" s="6" t="n">
        <v>50</v>
      </c>
      <c r="N241" s="6" t="n">
        <v>10</v>
      </c>
      <c r="O241" s="6" t="n">
        <v>1</v>
      </c>
      <c r="P241" s="6" t="n">
        <v>5000</v>
      </c>
      <c r="Q241" s="6" t="n">
        <v>1</v>
      </c>
      <c r="R241">
        <f>M241+IF(N241&gt;1,N(O241)*(N241-1),0)</f>
        <v/>
      </c>
      <c r="S241">
        <f>IFERROR(L241*MAX(N241,1)/R241*IF(ISBLANK(K237),1,K237),0)</f>
        <v/>
      </c>
      <c r="AB241" s="7" t="inlineStr">
        <is>
          <t>^RepairWeapon</t>
        </is>
      </c>
    </row>
    <row r="242">
      <c r="B242" s="7" t="inlineStr">
        <is>
          <t xml:space="preserve">  ↳ LightSniper</t>
        </is>
      </c>
      <c r="C242" s="7" t="inlineStr">
        <is>
          <t>Armament@lightsniper</t>
        </is>
      </c>
      <c r="L242" s="6" t="n">
        <v>30000</v>
      </c>
      <c r="M242" s="6" t="n">
        <v>100</v>
      </c>
      <c r="N242" s="6" t="n">
        <v>1</v>
      </c>
      <c r="O242" s="6" t="n"/>
      <c r="P242" s="6" t="n">
        <v>9153</v>
      </c>
      <c r="Q242" s="6" t="n">
        <v>0.75</v>
      </c>
      <c r="R242">
        <f>M242+IF(N242&gt;1,N(O242)*(N242-1),0)</f>
        <v/>
      </c>
      <c r="S242">
        <f>IFERROR(L242*MAX(N242,1)/R242*IF(ISBLANK(K237),1,K237),0)</f>
        <v/>
      </c>
      <c r="AB242" s="7" t="inlineStr">
        <is>
          <t>^Warhead_Sniper_Light</t>
        </is>
      </c>
    </row>
    <row r="243">
      <c r="B243" s="7" t="inlineStr">
        <is>
          <t xml:space="preserve">  ↳ RA2DoublePistolsIFV</t>
        </is>
      </c>
      <c r="C243" s="7" t="inlineStr">
        <is>
          <t>Armament@hero</t>
        </is>
      </c>
      <c r="L243" s="6" t="n">
        <v>14000</v>
      </c>
      <c r="M243" s="6" t="n">
        <v>12</v>
      </c>
      <c r="N243" s="6" t="n">
        <v>2</v>
      </c>
      <c r="O243" s="6" t="n">
        <v>3</v>
      </c>
      <c r="P243" s="6" t="n">
        <v>8000</v>
      </c>
      <c r="Q243" s="6" t="n">
        <v>0.75</v>
      </c>
      <c r="R243">
        <f>M243+IF(N243&gt;1,N(O243)*(N243-1),0)</f>
        <v/>
      </c>
      <c r="S243">
        <f>IFERROR(L243*MAX(N243,1)/R243*IF(ISBLANK(K237),1,K237),0)</f>
        <v/>
      </c>
      <c r="AB243" s="7" t="inlineStr">
        <is>
          <t>^Warhead_Sniper_Light</t>
        </is>
      </c>
    </row>
    <row r="244">
      <c r="B244" s="7" t="inlineStr">
        <is>
          <t xml:space="preserve">  ↳ TTankZap</t>
        </is>
      </c>
      <c r="C244" s="7" t="inlineStr">
        <is>
          <t>Armament@tesla</t>
        </is>
      </c>
      <c r="L244" s="6" t="n">
        <v>40000</v>
      </c>
      <c r="M244" s="6" t="n">
        <v>80</v>
      </c>
      <c r="N244" s="6" t="n">
        <v>1</v>
      </c>
      <c r="O244" s="6" t="n"/>
      <c r="P244" s="6" t="n">
        <v>7300</v>
      </c>
      <c r="Q244" s="6" t="n">
        <v>1.25</v>
      </c>
      <c r="R244">
        <f>M244+IF(N244&gt;1,N(O244)*(N244-1),0)</f>
        <v/>
      </c>
      <c r="S244">
        <f>IFERROR(L244*MAX(N244,1)/R244*IF(ISBLANK(K237),1,K237),0)</f>
        <v/>
      </c>
      <c r="AB244" s="7" t="inlineStr">
        <is>
          <t>^Warhead_Tesla_Heavy</t>
        </is>
      </c>
    </row>
    <row r="245">
      <c r="B245" s="7" t="inlineStr">
        <is>
          <t xml:space="preserve">  ↳ DragunovSniper</t>
        </is>
      </c>
      <c r="C245" s="7" t="inlineStr">
        <is>
          <t>Armament@flak</t>
        </is>
      </c>
      <c r="L245" s="6" t="n">
        <v>400000</v>
      </c>
      <c r="M245" s="6" t="n">
        <v>85</v>
      </c>
      <c r="N245" s="6" t="n">
        <v>1</v>
      </c>
      <c r="O245" s="6" t="n"/>
      <c r="P245" s="6" t="n">
        <v>5804</v>
      </c>
      <c r="Q245" s="6" t="n">
        <v>1</v>
      </c>
      <c r="R245">
        <f>M245+IF(N245&gt;1,N(O245)*(N245-1),0)</f>
        <v/>
      </c>
      <c r="S245">
        <f>IFERROR(L245*MAX(N245,1)/R245*IF(ISBLANK(K237),1,K237),0)</f>
        <v/>
      </c>
      <c r="AB245" s="7" t="inlineStr">
        <is>
          <t>^TankDestroyerCannon, ^RailgunWeapon, ^LightMissile, ^HeavyCannon, ^FlakWeapon</t>
        </is>
      </c>
    </row>
    <row r="246">
      <c r="B246" s="7" t="inlineStr">
        <is>
          <t xml:space="preserve">  ↳ RA2MirageGun</t>
        </is>
      </c>
      <c r="C246" s="7" t="inlineStr">
        <is>
          <t>Armament@cannon</t>
        </is>
      </c>
      <c r="L246" s="6" t="n">
        <v>24000</v>
      </c>
      <c r="M246" s="6" t="n">
        <v>39</v>
      </c>
      <c r="N246" s="6" t="n">
        <v>1</v>
      </c>
      <c r="O246" s="6" t="n"/>
      <c r="P246" s="6" t="n">
        <v>6031</v>
      </c>
      <c r="Q246" s="6" t="n">
        <v>0.75</v>
      </c>
      <c r="R246">
        <f>M246+IF(N246&gt;1,N(O246)*(N246-1),0)</f>
        <v/>
      </c>
      <c r="S246">
        <f>IFERROR(L246*MAX(N246,1)/R246*IF(ISBLANK(K237),1,K237),0)</f>
        <v/>
      </c>
      <c r="AB246" s="7" t="inlineStr">
        <is>
          <t>^Warhead_CannonAP_Light</t>
        </is>
      </c>
    </row>
    <row r="247">
      <c r="B247" s="7" t="inlineStr">
        <is>
          <t xml:space="preserve">  ↳ Grenade</t>
        </is>
      </c>
      <c r="C247" s="7" t="inlineStr">
        <is>
          <t>Armament@grenade</t>
        </is>
      </c>
      <c r="L247" s="6" t="n">
        <v>16000</v>
      </c>
      <c r="M247" s="6" t="n">
        <v>42</v>
      </c>
      <c r="N247" s="6" t="n">
        <v>1</v>
      </c>
      <c r="O247" s="6" t="n"/>
      <c r="P247" s="6" t="n">
        <v>6097</v>
      </c>
      <c r="Q247" s="6" t="n">
        <v>0.75</v>
      </c>
      <c r="R247">
        <f>M247+IF(N247&gt;1,N(O247)*(N247-1),0)</f>
        <v/>
      </c>
      <c r="S247">
        <f>IFERROR(L247*MAX(N247,1)/R247*IF(ISBLANK(K237),1,K237),0)</f>
        <v/>
      </c>
      <c r="AB247" s="7" t="inlineStr">
        <is>
          <t>^Warhead_Demolition_Light</t>
        </is>
      </c>
    </row>
    <row r="248">
      <c r="B248" s="7" t="inlineStr">
        <is>
          <t xml:space="preserve">  ↳ DRPlasmaTankWeapon</t>
        </is>
      </c>
      <c r="C248" s="7" t="inlineStr">
        <is>
          <t>Armament@plasma</t>
        </is>
      </c>
      <c r="L248" s="6" t="n">
        <v>6250</v>
      </c>
      <c r="M248" s="6" t="n">
        <v>21</v>
      </c>
      <c r="N248" s="6" t="n">
        <v>1</v>
      </c>
      <c r="O248" s="6" t="n"/>
      <c r="P248" s="6" t="n">
        <v>5120</v>
      </c>
      <c r="Q248" s="6" t="n">
        <v>1</v>
      </c>
      <c r="R248">
        <f>M248+IF(N248&gt;1,N(O248)*(N248-1),0)</f>
        <v/>
      </c>
      <c r="S248">
        <f>IFERROR(L248*MAX(N248,1)/R248*IF(ISBLANK(K237),1,K237),0)</f>
        <v/>
      </c>
      <c r="AB248" s="7" t="inlineStr">
        <is>
          <t>^DRPlasmaWeapon</t>
        </is>
      </c>
    </row>
    <row r="249">
      <c r="B249" s="7" t="inlineStr">
        <is>
          <t xml:space="preserve">  ↳ SWLaserG</t>
        </is>
      </c>
      <c r="C249" s="7" t="inlineStr">
        <is>
          <t>Armament@litlaser</t>
        </is>
      </c>
      <c r="L249" s="6" t="n">
        <v>2000</v>
      </c>
      <c r="M249" s="6" t="n">
        <v>30</v>
      </c>
      <c r="N249" s="6" t="n">
        <v>6</v>
      </c>
      <c r="O249" s="6" t="n"/>
      <c r="P249" s="6" t="n">
        <v>6144</v>
      </c>
      <c r="Q249" s="6" t="n">
        <v>1</v>
      </c>
      <c r="R249">
        <f>M249+IF(N249&gt;1,N(O249)*(N249-1),0)</f>
        <v/>
      </c>
      <c r="S249">
        <f>IFERROR(L249*MAX(N249,1)/R249*IF(ISBLANK(K237),1,K237),0)</f>
        <v/>
      </c>
      <c r="AB249" s="7" t="inlineStr">
        <is>
          <t>SWLaser</t>
        </is>
      </c>
    </row>
    <row r="250">
      <c r="B250" s="7" t="inlineStr">
        <is>
          <t xml:space="preserve">  ↳ USALaserCannonAG</t>
        </is>
      </c>
      <c r="C250" s="7" t="inlineStr">
        <is>
          <t>Armament@medlaser</t>
        </is>
      </c>
      <c r="L250" s="6" t="n">
        <v>4000</v>
      </c>
      <c r="M250" s="6" t="n">
        <v>50</v>
      </c>
      <c r="N250" s="6" t="n">
        <v>3</v>
      </c>
      <c r="O250" s="6" t="n">
        <v>6</v>
      </c>
      <c r="P250" s="6" t="n">
        <v>7168</v>
      </c>
      <c r="Q250" s="6" t="n">
        <v>1</v>
      </c>
      <c r="R250">
        <f>M250+IF(N250&gt;1,N(O250)*(N250-1),0)</f>
        <v/>
      </c>
      <c r="S250">
        <f>IFERROR(L250*MAX(N250,1)/R250*IF(ISBLANK(K237),1,K237),0)</f>
        <v/>
      </c>
      <c r="AB250" s="7" t="inlineStr">
        <is>
          <t>^AntiGroundMissile</t>
        </is>
      </c>
    </row>
    <row r="251">
      <c r="B251" s="7" t="inlineStr">
        <is>
          <t xml:space="preserve">  ↳ SWGreenLaserG</t>
        </is>
      </c>
      <c r="C251" s="7" t="inlineStr">
        <is>
          <t>Armament@greenlaser</t>
        </is>
      </c>
      <c r="L251" s="6" t="n">
        <v>5000</v>
      </c>
      <c r="M251" s="6" t="n">
        <v>75</v>
      </c>
      <c r="N251" s="6" t="n">
        <v>1</v>
      </c>
      <c r="O251" s="6" t="n"/>
      <c r="P251" s="6" t="n">
        <v>7168</v>
      </c>
      <c r="Q251" s="6" t="n">
        <v>1</v>
      </c>
      <c r="R251">
        <f>M251+IF(N251&gt;1,N(O251)*(N251-1),0)</f>
        <v/>
      </c>
      <c r="S251">
        <f>IFERROR(L251*MAX(N251,1)/R251*IF(ISBLANK(K237),1,K237),0)</f>
        <v/>
      </c>
      <c r="AB251" s="7" t="inlineStr">
        <is>
          <t>SWGreenLaser</t>
        </is>
      </c>
    </row>
    <row r="252">
      <c r="B252" s="7" t="inlineStr">
        <is>
          <t xml:space="preserve">  ↳ SWGBigRedLaserG</t>
        </is>
      </c>
      <c r="C252" s="7" t="inlineStr">
        <is>
          <t>Armament@misslaser</t>
        </is>
      </c>
      <c r="L252" s="6" t="n">
        <v>4000</v>
      </c>
      <c r="M252" s="6" t="n">
        <v>75</v>
      </c>
      <c r="N252" s="6" t="n">
        <v>1</v>
      </c>
      <c r="O252" s="6" t="n"/>
      <c r="P252" s="6" t="n">
        <v>8192</v>
      </c>
      <c r="Q252" s="6" t="n">
        <v>1</v>
      </c>
      <c r="R252">
        <f>M252+IF(N252&gt;1,N(O252)*(N252-1),0)</f>
        <v/>
      </c>
      <c r="S252">
        <f>IFERROR(L252*MAX(N252,1)/R252*IF(ISBLANK(K237),1,K237),0)</f>
        <v/>
      </c>
      <c r="AB252" s="7" t="inlineStr">
        <is>
          <t>SWrBigRedLaser</t>
        </is>
      </c>
    </row>
    <row r="253">
      <c r="B253" s="7" t="inlineStr">
        <is>
          <t xml:space="preserve">  ↳ BigFlamer</t>
        </is>
      </c>
      <c r="C253" s="7" t="inlineStr">
        <is>
          <t>Armament@fire</t>
        </is>
      </c>
      <c r="L253" s="6" t="n">
        <v>14000</v>
      </c>
      <c r="M253" s="6" t="n">
        <v>50</v>
      </c>
      <c r="N253" s="6" t="n">
        <v>2</v>
      </c>
      <c r="O253" s="6" t="n">
        <v>10</v>
      </c>
      <c r="P253" s="6" t="n">
        <v>2390</v>
      </c>
      <c r="Q253" s="6" t="n">
        <v>1</v>
      </c>
      <c r="R253">
        <f>M253+IF(N253&gt;1,N(O253)*(N253-1),0)</f>
        <v/>
      </c>
      <c r="S253">
        <f>IFERROR(L253*MAX(N253,1)/R253*IF(ISBLANK(K237),1,K237),0)</f>
        <v/>
      </c>
      <c r="AB253" s="7" t="inlineStr">
        <is>
          <t>^Warhead_Flame_Medium</t>
        </is>
      </c>
    </row>
    <row r="254">
      <c r="B254" s="7" t="inlineStr">
        <is>
          <t xml:space="preserve">  ↳ RA2RadBeamWeapon</t>
        </is>
      </c>
      <c r="C254" s="7" t="inlineStr">
        <is>
          <t>Armament@chem</t>
        </is>
      </c>
      <c r="L254" s="6" t="n">
        <v>30000</v>
      </c>
      <c r="M254" s="6" t="n">
        <v>45</v>
      </c>
      <c r="N254" s="6" t="n">
        <v>1</v>
      </c>
      <c r="O254" s="6" t="n"/>
      <c r="P254" s="6" t="n">
        <v>6444</v>
      </c>
      <c r="Q254" s="6" t="n">
        <v>1</v>
      </c>
      <c r="R254">
        <f>M254+IF(N254&gt;1,N(O254)*(N254-1),0)</f>
        <v/>
      </c>
      <c r="S254">
        <f>IFERROR(L254*MAX(N254,1)/R254*IF(ISBLANK(K237),1,K237),0)</f>
        <v/>
      </c>
      <c r="AB254" s="7" t="inlineStr">
        <is>
          <t>^Warhead_Chemical_Medium</t>
        </is>
      </c>
    </row>
    <row r="255">
      <c r="B255" s="7" t="inlineStr">
        <is>
          <t xml:space="preserve">  ↳ RA2RadBeamWeapon</t>
        </is>
      </c>
      <c r="C255" s="7" t="inlineStr">
        <is>
          <t>Armament@thrax</t>
        </is>
      </c>
      <c r="L255" s="6" t="n">
        <v>30000</v>
      </c>
      <c r="M255" s="6" t="n">
        <v>45</v>
      </c>
      <c r="N255" s="6" t="n">
        <v>1</v>
      </c>
      <c r="O255" s="6" t="n"/>
      <c r="P255" s="6" t="n">
        <v>6444</v>
      </c>
      <c r="Q255" s="6" t="n">
        <v>1</v>
      </c>
      <c r="R255">
        <f>M255+IF(N255&gt;1,N(O255)*(N255-1),0)</f>
        <v/>
      </c>
      <c r="S255">
        <f>IFERROR(L255*MAX(N255,1)/R255*IF(ISBLANK(K237),1,K237),0)</f>
        <v/>
      </c>
      <c r="AB255" s="7" t="inlineStr">
        <is>
          <t>^Warhead_Chemical_Medium</t>
        </is>
      </c>
    </row>
    <row r="256">
      <c r="B256" s="7" t="inlineStr">
        <is>
          <t xml:space="preserve">  ↳ RA2MultiHoverMissile</t>
        </is>
      </c>
      <c r="C256" s="7" t="inlineStr">
        <is>
          <t>Armament@missile</t>
        </is>
      </c>
      <c r="L256" s="6" t="n">
        <v>4000</v>
      </c>
      <c r="M256" s="6" t="n">
        <v>20</v>
      </c>
      <c r="N256" s="6" t="n">
        <v>4</v>
      </c>
      <c r="O256" s="6" t="n"/>
      <c r="P256" s="6" t="n">
        <v>6170</v>
      </c>
      <c r="Q256" s="6" t="n">
        <v>0.875</v>
      </c>
      <c r="R256">
        <f>M256+IF(N256&gt;1,N(O256)*(N256-1),0)</f>
        <v/>
      </c>
      <c r="S256">
        <f>IFERROR(L256*MAX(N256,1)/R256*IF(ISBLANK(K237),1,K237),0)</f>
        <v/>
      </c>
      <c r="AB256" s="7" t="inlineStr">
        <is>
          <t>^Warhead_CannonHE_Medium, ^Warhead_MissileHE_Light</t>
        </is>
      </c>
    </row>
    <row r="257">
      <c r="B257" s="7" t="inlineStr">
        <is>
          <t xml:space="preserve">  ↳ IFVChronoBeam</t>
        </is>
      </c>
      <c r="C257" s="7" t="inlineStr">
        <is>
          <t>Armament@chrono</t>
        </is>
      </c>
      <c r="L257" s="6" t="n"/>
      <c r="M257" s="6" t="n">
        <v>1</v>
      </c>
      <c r="N257" s="6" t="n">
        <v>1</v>
      </c>
      <c r="O257" s="6" t="n"/>
      <c r="P257" s="6" t="n">
        <v>7500</v>
      </c>
      <c r="Q257" s="6" t="n">
        <v>1</v>
      </c>
      <c r="R257">
        <f>M257+IF(N257&gt;1,N(O257)*(N257-1),0)</f>
        <v/>
      </c>
      <c r="S257">
        <f>IFERROR(L257*MAX(N257,1)/R257*IF(ISBLANK(K237),1,K237),0)</f>
        <v/>
      </c>
      <c r="AB257" s="7" t="inlineStr">
        <is>
          <t>ChronoBeam</t>
        </is>
      </c>
    </row>
    <row r="258">
      <c r="B258" s="7" t="inlineStr">
        <is>
          <t xml:space="preserve">  ↳ IFVChronoSound</t>
        </is>
      </c>
      <c r="C258" s="7" t="inlineStr">
        <is>
          <t>Armament@chronosound</t>
        </is>
      </c>
      <c r="L258" s="6" t="n"/>
      <c r="M258" s="6" t="n">
        <v>180</v>
      </c>
      <c r="N258" s="6" t="n">
        <v>1</v>
      </c>
      <c r="O258" s="6" t="n"/>
      <c r="P258" s="6" t="n">
        <v>8000</v>
      </c>
      <c r="Q258" s="6" t="n">
        <v>1</v>
      </c>
      <c r="R258">
        <f>M258+IF(N258&gt;1,N(O258)*(N258-1),0)</f>
        <v/>
      </c>
      <c r="S258">
        <f>IFERROR(L258*MAX(N258,1)/R258*IF(ISBLANK(K237),1,K237),0)</f>
        <v/>
      </c>
      <c r="AB258" s="7" t="inlineStr">
        <is>
          <t>RA2ChronoTele</t>
        </is>
      </c>
    </row>
    <row r="259">
      <c r="B259" s="7" t="inlineStr">
        <is>
          <t xml:space="preserve">  ↳ DemoTruckTargeting</t>
        </is>
      </c>
      <c r="C259" s="7" t="inlineStr">
        <is>
          <t>Armament@ivan</t>
        </is>
      </c>
      <c r="L259" s="6" t="n"/>
      <c r="M259" s="6" t="n"/>
      <c r="N259" s="6" t="n">
        <v>1</v>
      </c>
      <c r="O259" s="6" t="n"/>
      <c r="P259" s="6" t="n">
        <v>2000</v>
      </c>
      <c r="Q259" s="6" t="n">
        <v>1</v>
      </c>
      <c r="R259">
        <f>M259+IF(N259&gt;1,N(O259)*(N259-1),0)</f>
        <v/>
      </c>
      <c r="S259">
        <f>IFERROR(L259*MAX(N259,1)/R259*IF(ISBLANK(K237),1,K237),0)</f>
        <v/>
      </c>
      <c r="AB259" s="7" t="inlineStr"/>
    </row>
    <row r="260">
      <c r="B260" s="7" t="inlineStr">
        <is>
          <t xml:space="preserve">  ↳ Fremen_L</t>
        </is>
      </c>
      <c r="C260" s="7" t="inlineStr">
        <is>
          <t>Armament@fremen</t>
        </is>
      </c>
      <c r="L260" s="6" t="n">
        <v>3000</v>
      </c>
      <c r="M260" s="6" t="n">
        <v>25</v>
      </c>
      <c r="N260" s="6" t="n">
        <v>1</v>
      </c>
      <c r="O260" s="6" t="n"/>
      <c r="P260" s="6" t="n">
        <v>2560</v>
      </c>
      <c r="Q260" s="6" t="n">
        <v>1</v>
      </c>
      <c r="R260">
        <f>M260+IF(N260&gt;1,N(O260)*(N260-1),0)</f>
        <v/>
      </c>
      <c r="S260">
        <f>IFERROR(L260*MAX(N260,1)/R260*IF(ISBLANK(K237),1,K237),0)</f>
        <v/>
      </c>
      <c r="AB260" s="7" t="inlineStr">
        <is>
          <t>M_HMG</t>
        </is>
      </c>
    </row>
    <row r="261">
      <c r="B261" s="7" t="inlineStr">
        <is>
          <t xml:space="preserve">  ↳ TSSonicZap</t>
        </is>
      </c>
      <c r="C261" s="7" t="inlineStr">
        <is>
          <t>Armament@sonic</t>
        </is>
      </c>
      <c r="L261" s="6" t="n">
        <v>5000</v>
      </c>
      <c r="M261" s="6" t="n">
        <v>60</v>
      </c>
      <c r="N261" s="6" t="n">
        <v>1</v>
      </c>
      <c r="O261" s="6" t="n"/>
      <c r="P261" s="6" t="n">
        <v>6144</v>
      </c>
      <c r="Q261" s="6" t="n">
        <v>1</v>
      </c>
      <c r="R261">
        <f>M261+IF(N261&gt;1,N(O261)*(N261-1),0)</f>
        <v/>
      </c>
      <c r="S261">
        <f>IFERROR(L261*MAX(N261,1)/R261*IF(ISBLANK(K237),1,K237),0)</f>
        <v/>
      </c>
      <c r="AB261" s="7" t="inlineStr"/>
    </row>
    <row r="262">
      <c r="B262" s="7" t="inlineStr">
        <is>
          <t xml:space="preserve">  ↳ MedicHeal</t>
        </is>
      </c>
      <c r="C262" s="7" t="inlineStr">
        <is>
          <t>Armament@heal</t>
        </is>
      </c>
      <c r="L262" s="6" t="n">
        <v>-3000</v>
      </c>
      <c r="M262" s="6" t="n">
        <v>10</v>
      </c>
      <c r="N262" s="6" t="n">
        <v>1</v>
      </c>
      <c r="O262" s="6" t="n"/>
      <c r="P262" s="6" t="n">
        <v>6000</v>
      </c>
      <c r="Q262" s="6" t="n">
        <v>1</v>
      </c>
      <c r="R262">
        <f>M262+IF(N262&gt;1,N(O262)*(N262-1),0)</f>
        <v/>
      </c>
      <c r="S262">
        <f>IFERROR(L262*MAX(N262,1)/R262*IF(ISBLANK(K237),1,K237),0)</f>
        <v/>
      </c>
      <c r="AB262" s="7" t="inlineStr">
        <is>
          <t>^HealingWeapon</t>
        </is>
      </c>
    </row>
    <row r="263">
      <c r="B263" s="7" t="inlineStr">
        <is>
          <t xml:space="preserve">  ↳ RA2HoverMissile</t>
        </is>
      </c>
      <c r="C263" s="7" t="inlineStr">
        <is>
          <t>Armament@primary</t>
        </is>
      </c>
      <c r="L263" s="6" t="n">
        <v>12000</v>
      </c>
      <c r="M263" s="6" t="n">
        <v>28</v>
      </c>
      <c r="N263" s="6" t="n">
        <v>2</v>
      </c>
      <c r="O263" s="6" t="n">
        <v>4</v>
      </c>
      <c r="P263" s="6" t="n">
        <v>5760</v>
      </c>
      <c r="Q263" s="6" t="n">
        <v>0.75</v>
      </c>
      <c r="R263">
        <f>M263+IF(N263&gt;1,N(O263)*(N263-1),0)</f>
        <v/>
      </c>
      <c r="S263">
        <f>IFERROR(L263*MAX(N263,1)/R263*IF(ISBLANK(K237),1,K237),0)</f>
        <v/>
      </c>
      <c r="AB263" s="7" t="inlineStr">
        <is>
          <t>^Warhead_Arrow_Light, ^Warhead_MissileAP_Light</t>
        </is>
      </c>
    </row>
    <row r="264">
      <c r="B264" s="7" t="inlineStr">
        <is>
          <t xml:space="preserve">  ↳ RA2HoverMissile_elite</t>
        </is>
      </c>
      <c r="C264" s="7" t="inlineStr">
        <is>
          <t>Armament@primaryelite</t>
        </is>
      </c>
      <c r="L264" s="6" t="n">
        <v>12000</v>
      </c>
      <c r="M264" s="6" t="n">
        <v>28</v>
      </c>
      <c r="N264" s="6" t="n">
        <v>4</v>
      </c>
      <c r="O264" s="6" t="n">
        <v>4</v>
      </c>
      <c r="P264" s="6" t="n">
        <v>6760</v>
      </c>
      <c r="Q264" s="6" t="n">
        <v>0.75</v>
      </c>
      <c r="R264">
        <f>M264+IF(N264&gt;1,N(O264)*(N264-1),0)</f>
        <v/>
      </c>
      <c r="S264">
        <f>IFERROR(L264*MAX(N264,1)/R264*IF(ISBLANK(K237),1,K237),0)</f>
        <v/>
      </c>
      <c r="AB264" s="7" t="inlineStr">
        <is>
          <t>^Warhead_Arrow_Light, ^Warhead_MissileAP_Light</t>
        </is>
      </c>
    </row>
    <row r="265">
      <c r="B265" s="7" t="inlineStr">
        <is>
          <t xml:space="preserve">  ↳ RA2HoverMissile_AA</t>
        </is>
      </c>
      <c r="C265" s="7" t="inlineStr">
        <is>
          <t>Armament@primaryAA</t>
        </is>
      </c>
      <c r="L265" s="6" t="n">
        <v>12000</v>
      </c>
      <c r="M265" s="6" t="n">
        <v>28</v>
      </c>
      <c r="N265" s="6" t="n">
        <v>2</v>
      </c>
      <c r="O265" s="6" t="n">
        <v>4</v>
      </c>
      <c r="P265" s="6" t="n">
        <v>8640</v>
      </c>
      <c r="Q265" s="6" t="n">
        <v>0.75</v>
      </c>
      <c r="R265">
        <f>M265+IF(N265&gt;1,N(O265)*(N265-1),0)</f>
        <v/>
      </c>
      <c r="S265">
        <f>IFERROR(L265*MAX(N265,1)/R265*IF(ISBLANK(K237),1,K237),0)</f>
        <v/>
      </c>
      <c r="AB265" s="7" t="inlineStr">
        <is>
          <t>^Warhead_Arrow_Light, ^Warhead_MissileAP_Light</t>
        </is>
      </c>
    </row>
    <row r="266">
      <c r="B266" s="7" t="inlineStr">
        <is>
          <t xml:space="preserve">  ↳ RA2HoverMissile_AA_elite</t>
        </is>
      </c>
      <c r="C266" s="7" t="inlineStr">
        <is>
          <t>Armament@primaryeliteAA</t>
        </is>
      </c>
      <c r="L266" s="6" t="n">
        <v>12000</v>
      </c>
      <c r="M266" s="6" t="n">
        <v>28</v>
      </c>
      <c r="N266" s="6" t="n">
        <v>4</v>
      </c>
      <c r="O266" s="6" t="n">
        <v>4</v>
      </c>
      <c r="P266" s="6" t="n">
        <v>9640</v>
      </c>
      <c r="Q266" s="6" t="n">
        <v>0.75</v>
      </c>
      <c r="R266">
        <f>M266+IF(N266&gt;1,N(O266)*(N266-1),0)</f>
        <v/>
      </c>
      <c r="S266">
        <f>IFERROR(L266*MAX(N266,1)/R266*IF(ISBLANK(K237),1,K237),0)</f>
        <v/>
      </c>
      <c r="AB266" s="7" t="inlineStr">
        <is>
          <t>^Warhead_Arrow_Light, ^Warhead_MissileAP_Light</t>
        </is>
      </c>
    </row>
    <row r="267">
      <c r="B267" s="7" t="inlineStr">
        <is>
          <t xml:space="preserve">  ↳ RA2ThunderboltMissile</t>
        </is>
      </c>
      <c r="C267" s="7" t="inlineStr">
        <is>
          <t>Armament@primaryThunderbolt</t>
        </is>
      </c>
      <c r="L267" s="6" t="n">
        <v>4000</v>
      </c>
      <c r="M267" s="6" t="n">
        <v>25</v>
      </c>
      <c r="N267" s="6" t="n">
        <v>1</v>
      </c>
      <c r="O267" s="6" t="n"/>
      <c r="P267" s="6" t="n">
        <v>5120</v>
      </c>
      <c r="Q267" s="6" t="n">
        <v>1</v>
      </c>
      <c r="R267">
        <f>M267+IF(N267&gt;1,N(O267)*(N267-1),0)</f>
        <v/>
      </c>
      <c r="S267">
        <f>IFERROR(L267*MAX(N267,1)/R267*IF(ISBLANK(K237),1,K237),0)</f>
        <v/>
      </c>
      <c r="AB267" s="7" t="inlineStr">
        <is>
          <t>^Warhead_MissileHE_Heavy, ^Warhead_MissileHE_Light</t>
        </is>
      </c>
    </row>
    <row r="268">
      <c r="B268" s="7" t="inlineStr">
        <is>
          <t xml:space="preserve">  ↳ RA2ThunderboltMissile_elite</t>
        </is>
      </c>
      <c r="C268" s="7" t="inlineStr">
        <is>
          <t>Armament@primaryeliteThunderbolt</t>
        </is>
      </c>
      <c r="L268" s="6" t="n">
        <v>4000</v>
      </c>
      <c r="M268" s="6" t="n">
        <v>25</v>
      </c>
      <c r="N268" s="6" t="n">
        <v>4</v>
      </c>
      <c r="O268" s="6" t="n"/>
      <c r="P268" s="6" t="n">
        <v>6760</v>
      </c>
      <c r="Q268" s="6" t="n">
        <v>1</v>
      </c>
      <c r="R268">
        <f>M268+IF(N268&gt;1,N(O268)*(N268-1),0)</f>
        <v/>
      </c>
      <c r="S268">
        <f>IFERROR(L268*MAX(N268,1)/R268*IF(ISBLANK(K237),1,K237),0)</f>
        <v/>
      </c>
      <c r="AB268" s="7" t="inlineStr">
        <is>
          <t>^Warhead_MissileHE_Heavy, ^Warhead_MissileHE_Light</t>
        </is>
      </c>
    </row>
    <row r="269">
      <c r="B269" s="7" t="inlineStr">
        <is>
          <t xml:space="preserve">  ↳ RA2ThunderboltMissile_AA</t>
        </is>
      </c>
      <c r="C269" s="7" t="inlineStr">
        <is>
          <t>Armament@primaryAAThunderbolt</t>
        </is>
      </c>
      <c r="L269" s="6" t="n">
        <v>4000</v>
      </c>
      <c r="M269" s="6" t="n">
        <v>25</v>
      </c>
      <c r="N269" s="6" t="n">
        <v>1</v>
      </c>
      <c r="O269" s="6" t="n"/>
      <c r="P269" s="6" t="n">
        <v>8640</v>
      </c>
      <c r="Q269" s="6" t="n">
        <v>1</v>
      </c>
      <c r="R269">
        <f>M269+IF(N269&gt;1,N(O269)*(N269-1),0)</f>
        <v/>
      </c>
      <c r="S269">
        <f>IFERROR(L269*MAX(N269,1)/R269*IF(ISBLANK(K237),1,K237),0)</f>
        <v/>
      </c>
      <c r="AB269" s="7" t="inlineStr">
        <is>
          <t>^Warhead_MissileHE_Heavy, ^Warhead_MissileHE_Light</t>
        </is>
      </c>
    </row>
    <row r="270">
      <c r="B270" s="7" t="inlineStr">
        <is>
          <t xml:space="preserve">  ↳ RA2ThunderboltMissile_AA_elite</t>
        </is>
      </c>
      <c r="C270" s="7" t="inlineStr">
        <is>
          <t>Armament@primaryeliteAAThunderbolt</t>
        </is>
      </c>
      <c r="L270" s="6" t="n">
        <v>4000</v>
      </c>
      <c r="M270" s="6" t="n">
        <v>25</v>
      </c>
      <c r="N270" s="6" t="n">
        <v>4</v>
      </c>
      <c r="O270" s="6" t="n"/>
      <c r="P270" s="6" t="n">
        <v>9640</v>
      </c>
      <c r="Q270" s="6" t="n">
        <v>1</v>
      </c>
      <c r="R270">
        <f>M270+IF(N270&gt;1,N(O270)*(N270-1),0)</f>
        <v/>
      </c>
      <c r="S270">
        <f>IFERROR(L270*MAX(N270,1)/R270*IF(ISBLANK(K237),1,K237),0)</f>
        <v/>
      </c>
      <c r="AB270" s="7" t="inlineStr">
        <is>
          <t>^Warhead_MissileHE_Heavy, ^Warhead_MissileHE_Light</t>
        </is>
      </c>
    </row>
    <row r="271">
      <c r="B271" s="7" t="inlineStr">
        <is>
          <t xml:space="preserve">  ↳ RA2MultiHoverMissile_elite</t>
        </is>
      </c>
      <c r="C271" s="7" t="inlineStr">
        <is>
          <t>Armament@missileelite</t>
        </is>
      </c>
      <c r="L271" s="6" t="n">
        <v>4000</v>
      </c>
      <c r="M271" s="6" t="n">
        <v>20</v>
      </c>
      <c r="N271" s="6" t="n">
        <v>4</v>
      </c>
      <c r="O271" s="6" t="n"/>
      <c r="P271" s="6" t="n">
        <v>7170</v>
      </c>
      <c r="Q271" s="6" t="n">
        <v>0.875</v>
      </c>
      <c r="R271">
        <f>M271+IF(N271&gt;1,N(O271)*(N271-1),0)</f>
        <v/>
      </c>
      <c r="S271">
        <f>IFERROR(L271*MAX(N271,1)/R271*IF(ISBLANK(K237),1,K237),0)</f>
        <v/>
      </c>
      <c r="AB271" s="7" t="inlineStr">
        <is>
          <t>^Warhead_CannonHE_Medium, ^Warhead_MissileHE_Light</t>
        </is>
      </c>
    </row>
    <row r="272">
      <c r="B272" s="7" t="inlineStr">
        <is>
          <t xml:space="preserve">  ↳ RA2MultiHoverMissile_AA</t>
        </is>
      </c>
      <c r="C272" s="7" t="inlineStr">
        <is>
          <t>Armament@missileAA</t>
        </is>
      </c>
      <c r="L272" s="6" t="n">
        <v>4000</v>
      </c>
      <c r="M272" s="6" t="n">
        <v>20</v>
      </c>
      <c r="N272" s="6" t="n">
        <v>4</v>
      </c>
      <c r="O272" s="6" t="n"/>
      <c r="P272" s="6" t="n">
        <v>9255</v>
      </c>
      <c r="Q272" s="6" t="n">
        <v>0.875</v>
      </c>
      <c r="R272">
        <f>M272+IF(N272&gt;1,N(O272)*(N272-1),0)</f>
        <v/>
      </c>
      <c r="S272">
        <f>IFERROR(L272*MAX(N272,1)/R272*IF(ISBLANK(K237),1,K237),0)</f>
        <v/>
      </c>
      <c r="AB272" s="7" t="inlineStr">
        <is>
          <t>^Warhead_CannonHE_Medium, ^Warhead_MissileHE_Light</t>
        </is>
      </c>
    </row>
    <row r="273">
      <c r="B273" s="7" t="inlineStr">
        <is>
          <t xml:space="preserve">  ↳ RA2MultiHoverMissile_AA_elite</t>
        </is>
      </c>
      <c r="C273" s="7" t="inlineStr">
        <is>
          <t>Armament@missileeliteAA</t>
        </is>
      </c>
      <c r="L273" s="6" t="n">
        <v>4000</v>
      </c>
      <c r="M273" s="6" t="n">
        <v>20</v>
      </c>
      <c r="N273" s="6" t="n">
        <v>4</v>
      </c>
      <c r="O273" s="6" t="n"/>
      <c r="P273" s="6" t="n">
        <v>10255</v>
      </c>
      <c r="Q273" s="6" t="n">
        <v>0.875</v>
      </c>
      <c r="R273">
        <f>M273+IF(N273&gt;1,N(O273)*(N273-1),0)</f>
        <v/>
      </c>
      <c r="S273">
        <f>IFERROR(L273*MAX(N273,1)/R273*IF(ISBLANK(K237),1,K237),0)</f>
        <v/>
      </c>
      <c r="AB273" s="7" t="inlineStr">
        <is>
          <t>^Warhead_CannonHE_Medium, ^Warhead_MissileHE_Light</t>
        </is>
      </c>
    </row>
    <row r="274">
      <c r="B274" s="7" t="inlineStr">
        <is>
          <t xml:space="preserve">  ↳ RA2MultiThunderboltMissile</t>
        </is>
      </c>
      <c r="C274" s="7" t="inlineStr">
        <is>
          <t>Armament@missileThunderbolt</t>
        </is>
      </c>
      <c r="L274" s="6" t="n">
        <v>4000</v>
      </c>
      <c r="M274" s="6" t="n">
        <v>25</v>
      </c>
      <c r="N274" s="6" t="n">
        <v>1</v>
      </c>
      <c r="O274" s="6" t="n"/>
      <c r="P274" s="6" t="n">
        <v>5120</v>
      </c>
      <c r="Q274" s="6" t="n">
        <v>1</v>
      </c>
      <c r="R274">
        <f>M274+IF(N274&gt;1,N(O274)*(N274-1),0)</f>
        <v/>
      </c>
      <c r="S274">
        <f>IFERROR(L274*MAX(N274,1)/R274*IF(ISBLANK(K237),1,K237),0)</f>
        <v/>
      </c>
      <c r="AB274" s="7" t="inlineStr">
        <is>
          <t>^Warhead_MissileHE_Heavy, ^Warhead_MissileHE_Light</t>
        </is>
      </c>
    </row>
    <row r="275">
      <c r="B275" s="7" t="inlineStr">
        <is>
          <t xml:space="preserve">  ↳ RA2MultiThunderboltMissile_elite</t>
        </is>
      </c>
      <c r="C275" s="7" t="inlineStr">
        <is>
          <t>Armament@missileeliteThunderbolt</t>
        </is>
      </c>
      <c r="L275" s="6" t="n">
        <v>4000</v>
      </c>
      <c r="M275" s="6" t="n">
        <v>25</v>
      </c>
      <c r="N275" s="6" t="n">
        <v>4</v>
      </c>
      <c r="O275" s="6" t="n"/>
      <c r="P275" s="6" t="n">
        <v>7170</v>
      </c>
      <c r="Q275" s="6" t="n">
        <v>1</v>
      </c>
      <c r="R275">
        <f>M275+IF(N275&gt;1,N(O275)*(N275-1),0)</f>
        <v/>
      </c>
      <c r="S275">
        <f>IFERROR(L275*MAX(N275,1)/R275*IF(ISBLANK(K237),1,K237),0)</f>
        <v/>
      </c>
      <c r="AB275" s="7" t="inlineStr">
        <is>
          <t>^Warhead_MissileHE_Heavy, ^Warhead_MissileHE_Light</t>
        </is>
      </c>
    </row>
    <row r="276">
      <c r="B276" s="7" t="inlineStr">
        <is>
          <t xml:space="preserve">  ↳ RA2MultiThunderboltMissile_AA</t>
        </is>
      </c>
      <c r="C276" s="7" t="inlineStr">
        <is>
          <t>Armament@missileAAThunderbolt</t>
        </is>
      </c>
      <c r="L276" s="6" t="n">
        <v>4000</v>
      </c>
      <c r="M276" s="6" t="n">
        <v>25</v>
      </c>
      <c r="N276" s="6" t="n">
        <v>1</v>
      </c>
      <c r="O276" s="6" t="n"/>
      <c r="P276" s="6" t="n">
        <v>9255</v>
      </c>
      <c r="Q276" s="6" t="n">
        <v>1</v>
      </c>
      <c r="R276">
        <f>M276+IF(N276&gt;1,N(O276)*(N276-1),0)</f>
        <v/>
      </c>
      <c r="S276">
        <f>IFERROR(L276*MAX(N276,1)/R276*IF(ISBLANK(K237),1,K237),0)</f>
        <v/>
      </c>
      <c r="AB276" s="7" t="inlineStr">
        <is>
          <t>^Warhead_MissileHE_Heavy, ^Warhead_MissileHE_Light</t>
        </is>
      </c>
    </row>
    <row r="277">
      <c r="B277" s="7" t="inlineStr">
        <is>
          <t xml:space="preserve">  ↳ RA2MultiThunderboltMissile_AA_elite</t>
        </is>
      </c>
      <c r="C277" s="7" t="inlineStr">
        <is>
          <t>Armament@missileeliteAAThunderbolt</t>
        </is>
      </c>
      <c r="L277" s="6" t="n">
        <v>4000</v>
      </c>
      <c r="M277" s="6" t="n">
        <v>25</v>
      </c>
      <c r="N277" s="6" t="n">
        <v>4</v>
      </c>
      <c r="O277" s="6" t="n"/>
      <c r="P277" s="6" t="n">
        <v>10255</v>
      </c>
      <c r="Q277" s="6" t="n">
        <v>1</v>
      </c>
      <c r="R277">
        <f>M277+IF(N277&gt;1,N(O277)*(N277-1),0)</f>
        <v/>
      </c>
      <c r="S277">
        <f>IFERROR(L277*MAX(N277,1)/R277*IF(ISBLANK(K237),1,K237),0)</f>
        <v/>
      </c>
      <c r="AB277" s="7" t="inlineStr">
        <is>
          <t>^Warhead_MissileHE_Heavy, ^Warhead_MissileHE_Light</t>
        </is>
      </c>
    </row>
    <row r="278">
      <c r="B278" s="7" t="inlineStr">
        <is>
          <t xml:space="preserve">  ↳ MedicHeal</t>
        </is>
      </c>
      <c r="C278" s="7" t="inlineStr">
        <is>
          <t>Armament@healer</t>
        </is>
      </c>
      <c r="L278" s="6" t="n">
        <v>-3000</v>
      </c>
      <c r="M278" s="6" t="n">
        <v>10</v>
      </c>
      <c r="N278" s="6" t="n">
        <v>1</v>
      </c>
      <c r="O278" s="6" t="n"/>
      <c r="P278" s="6" t="n">
        <v>6000</v>
      </c>
      <c r="Q278" s="6" t="n">
        <v>1</v>
      </c>
      <c r="R278">
        <f>M278+IF(N278&gt;1,N(O278)*(N278-1),0)</f>
        <v/>
      </c>
      <c r="S278">
        <f>IFERROR(L278*MAX(N278,1)/R278*IF(ISBLANK(K237),1,K237),0)</f>
        <v/>
      </c>
      <c r="AB278" s="7" t="inlineStr">
        <is>
          <t>^HealingWeapon</t>
        </is>
      </c>
    </row>
    <row r="279">
      <c r="B279" s="7" t="inlineStr">
        <is>
          <t xml:space="preserve">  ↳ RA2AWP</t>
        </is>
      </c>
      <c r="C279" s="7" t="inlineStr">
        <is>
          <t>Armament@ra1_allies_alliedsniper</t>
        </is>
      </c>
      <c r="L279" s="6" t="n">
        <v>44000</v>
      </c>
      <c r="M279" s="6" t="n">
        <v>54</v>
      </c>
      <c r="N279" s="6" t="n">
        <v>1</v>
      </c>
      <c r="O279" s="6" t="n"/>
      <c r="P279" s="6" t="n">
        <v>10000</v>
      </c>
      <c r="Q279" s="6" t="n">
        <v>0.75</v>
      </c>
      <c r="R279">
        <f>M279+IF(N279&gt;1,N(O279)*(N279-1),0)</f>
        <v/>
      </c>
      <c r="S279">
        <f>IFERROR(L279*MAX(N279,1)/R279*IF(ISBLANK(K237),1,K237),0)</f>
        <v/>
      </c>
      <c r="AB279" s="7" t="inlineStr">
        <is>
          <t>^Warhead_Sniper_Light</t>
        </is>
      </c>
    </row>
    <row r="280">
      <c r="A280" t="inlineStr">
        <is>
          <t>redalert2</t>
        </is>
      </c>
      <c r="B280" t="inlineStr">
        <is>
          <t>ra2_allies_ifv_repair</t>
        </is>
      </c>
      <c r="C280" t="inlineStr">
        <is>
          <t>actor_fv.name</t>
        </is>
      </c>
      <c r="D280" s="6" t="inlineStr">
        <is>
          <t>ScoutVehicle</t>
        </is>
      </c>
      <c r="E280" s="6" t="n">
        <v>25000</v>
      </c>
      <c r="F280" s="6" t="n">
        <v>150</v>
      </c>
      <c r="G280" t="inlineStr">
        <is>
          <t>Scout</t>
        </is>
      </c>
      <c r="H280" s="6" t="n">
        <v>0.7143</v>
      </c>
      <c r="I280" s="6" t="n">
        <v>1</v>
      </c>
      <c r="J280" s="6" t="n">
        <v>1</v>
      </c>
      <c r="K280" s="6" t="n"/>
      <c r="P280">
        <f>MAX(P281,P282,P283,P284,P285,P286,P287,P288,P289,P290,P291,P292,P293,P294,P295,P296,P297,P298,P299,P303,P304,P305,P306,P307,P308,P309,P310,P311,P312,P313,P314,P315,P316,P317,P318,P319,P320,P321,P322)</f>
        <v/>
      </c>
      <c r="S280">
        <f>S281+S282+S283+S284+S285+S286+S287+S288+S289+S290+S291+S292+S293+S294+S295+S296+S297+S298+S299+S303+S304+S305+S306+S307+S308+S309+S310+S311+S312+S313+S314+S315+S316+S317+S318+S319+S320+S321+S322</f>
        <v/>
      </c>
      <c r="T280">
        <f>(E280/100000+F280/100+(P280/1000)*J280/5+S280/200)*200*I280*H280</f>
        <v/>
      </c>
      <c r="U280">
        <f>((E280*F280/25000)+((P280/1000)*J280*S280/2.5))*I280*H280</f>
        <v/>
      </c>
      <c r="V280">
        <f>(E280*F280*(P280/1000)*J280*S280*I280*H280)/12500000</f>
        <v/>
      </c>
      <c r="W280">
        <f>(((E280/30000)+(F280/200)+(S280/450)+((P280/4500)*J280))*300/4+(((E280/30000)*(F280/200))+(((P280/4500)*J280)*(S280/450)))*300/2+((E280/30000)*(F280/200)*((P280/4500)*J280)*(S280/450))*300)*(H280/1.0)/3</f>
        <v/>
      </c>
      <c r="X280" s="6" t="n">
        <v>500</v>
      </c>
      <c r="Y280">
        <f>IFERROR(W280-X280,"")</f>
        <v/>
      </c>
      <c r="Z280">
        <f>IFERROR(ABS(Y280)/MAX(X280,1),"")</f>
        <v/>
      </c>
      <c r="AA280">
        <f>IFERROR(ROUND(((3*X280-(((E280/30000)+(F280/200)+(S280/450))*300/4+((E280/30000)*(F280/200))*300/2)*(H280/1.0))/(300/4+((S280/450))*300/2+((E280/30000)*(F280/200)*(S280/450))*300)*(H280/1.0)*4500)/J280,-1),"")</f>
        <v/>
      </c>
    </row>
    <row r="281">
      <c r="B281" s="7" t="inlineStr">
        <is>
          <t xml:space="preserve">  ↳ RA2CRM60</t>
        </is>
      </c>
      <c r="C281" s="7" t="inlineStr">
        <is>
          <t>Armament@mg</t>
        </is>
      </c>
      <c r="L281" s="6" t="n">
        <v>4000</v>
      </c>
      <c r="M281" s="6" t="n">
        <v>14</v>
      </c>
      <c r="N281" s="6" t="n">
        <v>4</v>
      </c>
      <c r="O281" s="6" t="n">
        <v>2</v>
      </c>
      <c r="P281" s="6" t="n">
        <v>5660</v>
      </c>
      <c r="Q281" s="6" t="n">
        <v>0.875</v>
      </c>
      <c r="R281">
        <f>M281+IF(N281&gt;1,N(O281)*(N281-1),0)</f>
        <v/>
      </c>
      <c r="S281">
        <f>IFERROR(L281*MAX(N281,1)/R281*IF(ISBLANK(K280),1,K280),0)</f>
        <v/>
      </c>
      <c r="AB281" s="7" t="inlineStr">
        <is>
          <t>^Warhead_Bullet_Light, ^Warhead_Bullet_Medium</t>
        </is>
      </c>
    </row>
    <row r="282">
      <c r="B282" s="7" t="inlineStr">
        <is>
          <t xml:space="preserve">  ↳ RA2CRM60H</t>
        </is>
      </c>
      <c r="C282" s="7" t="inlineStr">
        <is>
          <t>Armament@hmg</t>
        </is>
      </c>
      <c r="L282" s="6" t="n">
        <v>6000</v>
      </c>
      <c r="M282" s="6" t="n">
        <v>10</v>
      </c>
      <c r="N282" s="6" t="n">
        <v>6</v>
      </c>
      <c r="O282" s="6" t="n">
        <v>2</v>
      </c>
      <c r="P282" s="6" t="n">
        <v>4692</v>
      </c>
      <c r="Q282" s="6" t="n">
        <v>1.125</v>
      </c>
      <c r="R282">
        <f>M282+IF(N282&gt;1,N(O282)*(N282-1),0)</f>
        <v/>
      </c>
      <c r="S282">
        <f>IFERROR(L282*MAX(N282,1)/R282*IF(ISBLANK(K280),1,K280),0)</f>
        <v/>
      </c>
      <c r="AB282" s="7" t="inlineStr">
        <is>
          <t>^Warhead_CannonHE_Heavy, ^Warhead_Bullet_Medium</t>
        </is>
      </c>
    </row>
    <row r="283">
      <c r="B283" s="7" t="inlineStr">
        <is>
          <t xml:space="preserve">  ↳ wc_tower_fire</t>
        </is>
      </c>
      <c r="C283" s="7" t="inlineStr">
        <is>
          <t>Armament@archer</t>
        </is>
      </c>
      <c r="L283" s="6" t="n">
        <v>2500</v>
      </c>
      <c r="M283" s="6" t="n">
        <v>40</v>
      </c>
      <c r="N283" s="6" t="n">
        <v>1</v>
      </c>
      <c r="O283" s="6" t="n"/>
      <c r="P283" s="6" t="n">
        <v>8704</v>
      </c>
      <c r="Q283" s="6" t="n">
        <v>1</v>
      </c>
      <c r="R283">
        <f>M283+IF(N283&gt;1,N(O283)*(N283-1),0)</f>
        <v/>
      </c>
      <c r="S283">
        <f>IFERROR(L283*MAX(N283,1)/R283*IF(ISBLANK(K280),1,K280),0)</f>
        <v/>
      </c>
      <c r="AB283" s="7" t="inlineStr">
        <is>
          <t>bowFire</t>
        </is>
      </c>
    </row>
    <row r="284">
      <c r="B284" s="7" t="inlineStr">
        <is>
          <t xml:space="preserve">  ↳ RA2IFVRepair</t>
        </is>
      </c>
      <c r="C284" s="7" t="inlineStr">
        <is>
          <t>Armament@repair</t>
        </is>
      </c>
      <c r="L284" s="6" t="n">
        <v>-3000</v>
      </c>
      <c r="M284" s="6" t="n">
        <v>50</v>
      </c>
      <c r="N284" s="6" t="n">
        <v>10</v>
      </c>
      <c r="O284" s="6" t="n">
        <v>1</v>
      </c>
      <c r="P284" s="6" t="n">
        <v>5000</v>
      </c>
      <c r="Q284" s="6" t="n">
        <v>1</v>
      </c>
      <c r="R284">
        <f>M284+IF(N284&gt;1,N(O284)*(N284-1),0)</f>
        <v/>
      </c>
      <c r="S284">
        <f>IFERROR(L284*MAX(N284,1)/R284*IF(ISBLANK(K280),1,K280),0)</f>
        <v/>
      </c>
      <c r="AB284" s="7" t="inlineStr">
        <is>
          <t>^RepairWeapon</t>
        </is>
      </c>
    </row>
    <row r="285">
      <c r="B285" s="7" t="inlineStr">
        <is>
          <t xml:space="preserve">  ↳ LightSniper</t>
        </is>
      </c>
      <c r="C285" s="7" t="inlineStr">
        <is>
          <t>Armament@lightsniper</t>
        </is>
      </c>
      <c r="L285" s="6" t="n">
        <v>30000</v>
      </c>
      <c r="M285" s="6" t="n">
        <v>100</v>
      </c>
      <c r="N285" s="6" t="n">
        <v>1</v>
      </c>
      <c r="O285" s="6" t="n"/>
      <c r="P285" s="6" t="n">
        <v>9153</v>
      </c>
      <c r="Q285" s="6" t="n">
        <v>0.75</v>
      </c>
      <c r="R285">
        <f>M285+IF(N285&gt;1,N(O285)*(N285-1),0)</f>
        <v/>
      </c>
      <c r="S285">
        <f>IFERROR(L285*MAX(N285,1)/R285*IF(ISBLANK(K280),1,K280),0)</f>
        <v/>
      </c>
      <c r="AB285" s="7" t="inlineStr">
        <is>
          <t>^Warhead_Sniper_Light</t>
        </is>
      </c>
    </row>
    <row r="286">
      <c r="B286" s="7" t="inlineStr">
        <is>
          <t xml:space="preserve">  ↳ RA2DoublePistolsIFV</t>
        </is>
      </c>
      <c r="C286" s="7" t="inlineStr">
        <is>
          <t>Armament@hero</t>
        </is>
      </c>
      <c r="L286" s="6" t="n">
        <v>14000</v>
      </c>
      <c r="M286" s="6" t="n">
        <v>12</v>
      </c>
      <c r="N286" s="6" t="n">
        <v>2</v>
      </c>
      <c r="O286" s="6" t="n">
        <v>3</v>
      </c>
      <c r="P286" s="6" t="n">
        <v>8000</v>
      </c>
      <c r="Q286" s="6" t="n">
        <v>0.75</v>
      </c>
      <c r="R286">
        <f>M286+IF(N286&gt;1,N(O286)*(N286-1),0)</f>
        <v/>
      </c>
      <c r="S286">
        <f>IFERROR(L286*MAX(N286,1)/R286*IF(ISBLANK(K280),1,K280),0)</f>
        <v/>
      </c>
      <c r="AB286" s="7" t="inlineStr">
        <is>
          <t>^Warhead_Sniper_Light</t>
        </is>
      </c>
    </row>
    <row r="287">
      <c r="B287" s="7" t="inlineStr">
        <is>
          <t xml:space="preserve">  ↳ TTankZap</t>
        </is>
      </c>
      <c r="C287" s="7" t="inlineStr">
        <is>
          <t>Armament@tesla</t>
        </is>
      </c>
      <c r="L287" s="6" t="n">
        <v>40000</v>
      </c>
      <c r="M287" s="6" t="n">
        <v>80</v>
      </c>
      <c r="N287" s="6" t="n">
        <v>1</v>
      </c>
      <c r="O287" s="6" t="n"/>
      <c r="P287" s="6" t="n">
        <v>7300</v>
      </c>
      <c r="Q287" s="6" t="n">
        <v>1.25</v>
      </c>
      <c r="R287">
        <f>M287+IF(N287&gt;1,N(O287)*(N287-1),0)</f>
        <v/>
      </c>
      <c r="S287">
        <f>IFERROR(L287*MAX(N287,1)/R287*IF(ISBLANK(K280),1,K280),0)</f>
        <v/>
      </c>
      <c r="AB287" s="7" t="inlineStr">
        <is>
          <t>^Warhead_Tesla_Heavy</t>
        </is>
      </c>
    </row>
    <row r="288">
      <c r="B288" s="7" t="inlineStr">
        <is>
          <t xml:space="preserve">  ↳ DragunovSniper</t>
        </is>
      </c>
      <c r="C288" s="7" t="inlineStr">
        <is>
          <t>Armament@flak</t>
        </is>
      </c>
      <c r="L288" s="6" t="n">
        <v>400000</v>
      </c>
      <c r="M288" s="6" t="n">
        <v>85</v>
      </c>
      <c r="N288" s="6" t="n">
        <v>1</v>
      </c>
      <c r="O288" s="6" t="n"/>
      <c r="P288" s="6" t="n">
        <v>5804</v>
      </c>
      <c r="Q288" s="6" t="n">
        <v>1</v>
      </c>
      <c r="R288">
        <f>M288+IF(N288&gt;1,N(O288)*(N288-1),0)</f>
        <v/>
      </c>
      <c r="S288">
        <f>IFERROR(L288*MAX(N288,1)/R288*IF(ISBLANK(K280),1,K280),0)</f>
        <v/>
      </c>
      <c r="AB288" s="7" t="inlineStr">
        <is>
          <t>^TankDestroyerCannon, ^RailgunWeapon, ^LightMissile, ^HeavyCannon, ^FlakWeapon</t>
        </is>
      </c>
    </row>
    <row r="289">
      <c r="B289" s="7" t="inlineStr">
        <is>
          <t xml:space="preserve">  ↳ RA2MirageGun</t>
        </is>
      </c>
      <c r="C289" s="7" t="inlineStr">
        <is>
          <t>Armament@cannon</t>
        </is>
      </c>
      <c r="L289" s="6" t="n">
        <v>24000</v>
      </c>
      <c r="M289" s="6" t="n">
        <v>39</v>
      </c>
      <c r="N289" s="6" t="n">
        <v>1</v>
      </c>
      <c r="O289" s="6" t="n"/>
      <c r="P289" s="6" t="n">
        <v>6031</v>
      </c>
      <c r="Q289" s="6" t="n">
        <v>0.75</v>
      </c>
      <c r="R289">
        <f>M289+IF(N289&gt;1,N(O289)*(N289-1),0)</f>
        <v/>
      </c>
      <c r="S289">
        <f>IFERROR(L289*MAX(N289,1)/R289*IF(ISBLANK(K280),1,K280),0)</f>
        <v/>
      </c>
      <c r="AB289" s="7" t="inlineStr">
        <is>
          <t>^Warhead_CannonAP_Light</t>
        </is>
      </c>
    </row>
    <row r="290">
      <c r="B290" s="7" t="inlineStr">
        <is>
          <t xml:space="preserve">  ↳ Grenade</t>
        </is>
      </c>
      <c r="C290" s="7" t="inlineStr">
        <is>
          <t>Armament@grenade</t>
        </is>
      </c>
      <c r="L290" s="6" t="n">
        <v>16000</v>
      </c>
      <c r="M290" s="6" t="n">
        <v>42</v>
      </c>
      <c r="N290" s="6" t="n">
        <v>1</v>
      </c>
      <c r="O290" s="6" t="n"/>
      <c r="P290" s="6" t="n">
        <v>6097</v>
      </c>
      <c r="Q290" s="6" t="n">
        <v>0.75</v>
      </c>
      <c r="R290">
        <f>M290+IF(N290&gt;1,N(O290)*(N290-1),0)</f>
        <v/>
      </c>
      <c r="S290">
        <f>IFERROR(L290*MAX(N290,1)/R290*IF(ISBLANK(K280),1,K280),0)</f>
        <v/>
      </c>
      <c r="AB290" s="7" t="inlineStr">
        <is>
          <t>^Warhead_Demolition_Light</t>
        </is>
      </c>
    </row>
    <row r="291">
      <c r="B291" s="7" t="inlineStr">
        <is>
          <t xml:space="preserve">  ↳ DRPlasmaTankWeapon</t>
        </is>
      </c>
      <c r="C291" s="7" t="inlineStr">
        <is>
          <t>Armament@plasma</t>
        </is>
      </c>
      <c r="L291" s="6" t="n">
        <v>6250</v>
      </c>
      <c r="M291" s="6" t="n">
        <v>21</v>
      </c>
      <c r="N291" s="6" t="n">
        <v>1</v>
      </c>
      <c r="O291" s="6" t="n"/>
      <c r="P291" s="6" t="n">
        <v>5120</v>
      </c>
      <c r="Q291" s="6" t="n">
        <v>1</v>
      </c>
      <c r="R291">
        <f>M291+IF(N291&gt;1,N(O291)*(N291-1),0)</f>
        <v/>
      </c>
      <c r="S291">
        <f>IFERROR(L291*MAX(N291,1)/R291*IF(ISBLANK(K280),1,K280),0)</f>
        <v/>
      </c>
      <c r="AB291" s="7" t="inlineStr">
        <is>
          <t>^DRPlasmaWeapon</t>
        </is>
      </c>
    </row>
    <row r="292">
      <c r="B292" s="7" t="inlineStr">
        <is>
          <t xml:space="preserve">  ↳ SWLaserG</t>
        </is>
      </c>
      <c r="C292" s="7" t="inlineStr">
        <is>
          <t>Armament@litlaser</t>
        </is>
      </c>
      <c r="L292" s="6" t="n">
        <v>2000</v>
      </c>
      <c r="M292" s="6" t="n">
        <v>30</v>
      </c>
      <c r="N292" s="6" t="n">
        <v>6</v>
      </c>
      <c r="O292" s="6" t="n"/>
      <c r="P292" s="6" t="n">
        <v>6144</v>
      </c>
      <c r="Q292" s="6" t="n">
        <v>1</v>
      </c>
      <c r="R292">
        <f>M292+IF(N292&gt;1,N(O292)*(N292-1),0)</f>
        <v/>
      </c>
      <c r="S292">
        <f>IFERROR(L292*MAX(N292,1)/R292*IF(ISBLANK(K280),1,K280),0)</f>
        <v/>
      </c>
      <c r="AB292" s="7" t="inlineStr">
        <is>
          <t>SWLaser</t>
        </is>
      </c>
    </row>
    <row r="293">
      <c r="B293" s="7" t="inlineStr">
        <is>
          <t xml:space="preserve">  ↳ USALaserCannonAG</t>
        </is>
      </c>
      <c r="C293" s="7" t="inlineStr">
        <is>
          <t>Armament@medlaser</t>
        </is>
      </c>
      <c r="L293" s="6" t="n">
        <v>4000</v>
      </c>
      <c r="M293" s="6" t="n">
        <v>50</v>
      </c>
      <c r="N293" s="6" t="n">
        <v>3</v>
      </c>
      <c r="O293" s="6" t="n">
        <v>6</v>
      </c>
      <c r="P293" s="6" t="n">
        <v>7168</v>
      </c>
      <c r="Q293" s="6" t="n">
        <v>1</v>
      </c>
      <c r="R293">
        <f>M293+IF(N293&gt;1,N(O293)*(N293-1),0)</f>
        <v/>
      </c>
      <c r="S293">
        <f>IFERROR(L293*MAX(N293,1)/R293*IF(ISBLANK(K280),1,K280),0)</f>
        <v/>
      </c>
      <c r="AB293" s="7" t="inlineStr">
        <is>
          <t>^AntiGroundMissile</t>
        </is>
      </c>
    </row>
    <row r="294">
      <c r="B294" s="7" t="inlineStr">
        <is>
          <t xml:space="preserve">  ↳ SWGreenLaserG</t>
        </is>
      </c>
      <c r="C294" s="7" t="inlineStr">
        <is>
          <t>Armament@greenlaser</t>
        </is>
      </c>
      <c r="L294" s="6" t="n">
        <v>5000</v>
      </c>
      <c r="M294" s="6" t="n">
        <v>75</v>
      </c>
      <c r="N294" s="6" t="n">
        <v>1</v>
      </c>
      <c r="O294" s="6" t="n"/>
      <c r="P294" s="6" t="n">
        <v>7168</v>
      </c>
      <c r="Q294" s="6" t="n">
        <v>1</v>
      </c>
      <c r="R294">
        <f>M294+IF(N294&gt;1,N(O294)*(N294-1),0)</f>
        <v/>
      </c>
      <c r="S294">
        <f>IFERROR(L294*MAX(N294,1)/R294*IF(ISBLANK(K280),1,K280),0)</f>
        <v/>
      </c>
      <c r="AB294" s="7" t="inlineStr">
        <is>
          <t>SWGreenLaser</t>
        </is>
      </c>
    </row>
    <row r="295">
      <c r="B295" s="7" t="inlineStr">
        <is>
          <t xml:space="preserve">  ↳ SWGBigRedLaserG</t>
        </is>
      </c>
      <c r="C295" s="7" t="inlineStr">
        <is>
          <t>Armament@misslaser</t>
        </is>
      </c>
      <c r="L295" s="6" t="n">
        <v>4000</v>
      </c>
      <c r="M295" s="6" t="n">
        <v>75</v>
      </c>
      <c r="N295" s="6" t="n">
        <v>1</v>
      </c>
      <c r="O295" s="6" t="n"/>
      <c r="P295" s="6" t="n">
        <v>8192</v>
      </c>
      <c r="Q295" s="6" t="n">
        <v>1</v>
      </c>
      <c r="R295">
        <f>M295+IF(N295&gt;1,N(O295)*(N295-1),0)</f>
        <v/>
      </c>
      <c r="S295">
        <f>IFERROR(L295*MAX(N295,1)/R295*IF(ISBLANK(K280),1,K280),0)</f>
        <v/>
      </c>
      <c r="AB295" s="7" t="inlineStr">
        <is>
          <t>SWrBigRedLaser</t>
        </is>
      </c>
    </row>
    <row r="296">
      <c r="B296" s="7" t="inlineStr">
        <is>
          <t xml:space="preserve">  ↳ BigFlamer</t>
        </is>
      </c>
      <c r="C296" s="7" t="inlineStr">
        <is>
          <t>Armament@fire</t>
        </is>
      </c>
      <c r="L296" s="6" t="n">
        <v>14000</v>
      </c>
      <c r="M296" s="6" t="n">
        <v>50</v>
      </c>
      <c r="N296" s="6" t="n">
        <v>2</v>
      </c>
      <c r="O296" s="6" t="n">
        <v>10</v>
      </c>
      <c r="P296" s="6" t="n">
        <v>2390</v>
      </c>
      <c r="Q296" s="6" t="n">
        <v>1</v>
      </c>
      <c r="R296">
        <f>M296+IF(N296&gt;1,N(O296)*(N296-1),0)</f>
        <v/>
      </c>
      <c r="S296">
        <f>IFERROR(L296*MAX(N296,1)/R296*IF(ISBLANK(K280),1,K280),0)</f>
        <v/>
      </c>
      <c r="AB296" s="7" t="inlineStr">
        <is>
          <t>^Warhead_Flame_Medium</t>
        </is>
      </c>
    </row>
    <row r="297">
      <c r="B297" s="7" t="inlineStr">
        <is>
          <t xml:space="preserve">  ↳ RA2RadBeamWeapon</t>
        </is>
      </c>
      <c r="C297" s="7" t="inlineStr">
        <is>
          <t>Armament@chem</t>
        </is>
      </c>
      <c r="L297" s="6" t="n">
        <v>30000</v>
      </c>
      <c r="M297" s="6" t="n">
        <v>45</v>
      </c>
      <c r="N297" s="6" t="n">
        <v>1</v>
      </c>
      <c r="O297" s="6" t="n"/>
      <c r="P297" s="6" t="n">
        <v>6444</v>
      </c>
      <c r="Q297" s="6" t="n">
        <v>1</v>
      </c>
      <c r="R297">
        <f>M297+IF(N297&gt;1,N(O297)*(N297-1),0)</f>
        <v/>
      </c>
      <c r="S297">
        <f>IFERROR(L297*MAX(N297,1)/R297*IF(ISBLANK(K280),1,K280),0)</f>
        <v/>
      </c>
      <c r="AB297" s="7" t="inlineStr">
        <is>
          <t>^Warhead_Chemical_Medium</t>
        </is>
      </c>
    </row>
    <row r="298">
      <c r="B298" s="7" t="inlineStr">
        <is>
          <t xml:space="preserve">  ↳ RA2RadBeamWeapon</t>
        </is>
      </c>
      <c r="C298" s="7" t="inlineStr">
        <is>
          <t>Armament@thrax</t>
        </is>
      </c>
      <c r="L298" s="6" t="n">
        <v>30000</v>
      </c>
      <c r="M298" s="6" t="n">
        <v>45</v>
      </c>
      <c r="N298" s="6" t="n">
        <v>1</v>
      </c>
      <c r="O298" s="6" t="n"/>
      <c r="P298" s="6" t="n">
        <v>6444</v>
      </c>
      <c r="Q298" s="6" t="n">
        <v>1</v>
      </c>
      <c r="R298">
        <f>M298+IF(N298&gt;1,N(O298)*(N298-1),0)</f>
        <v/>
      </c>
      <c r="S298">
        <f>IFERROR(L298*MAX(N298,1)/R298*IF(ISBLANK(K280),1,K280),0)</f>
        <v/>
      </c>
      <c r="AB298" s="7" t="inlineStr">
        <is>
          <t>^Warhead_Chemical_Medium</t>
        </is>
      </c>
    </row>
    <row r="299">
      <c r="B299" s="7" t="inlineStr">
        <is>
          <t xml:space="preserve">  ↳ RA2MultiHoverMissile</t>
        </is>
      </c>
      <c r="C299" s="7" t="inlineStr">
        <is>
          <t>Armament@missile</t>
        </is>
      </c>
      <c r="L299" s="6" t="n">
        <v>4000</v>
      </c>
      <c r="M299" s="6" t="n">
        <v>20</v>
      </c>
      <c r="N299" s="6" t="n">
        <v>4</v>
      </c>
      <c r="O299" s="6" t="n"/>
      <c r="P299" s="6" t="n">
        <v>6170</v>
      </c>
      <c r="Q299" s="6" t="n">
        <v>0.875</v>
      </c>
      <c r="R299">
        <f>M299+IF(N299&gt;1,N(O299)*(N299-1),0)</f>
        <v/>
      </c>
      <c r="S299">
        <f>IFERROR(L299*MAX(N299,1)/R299*IF(ISBLANK(K280),1,K280),0)</f>
        <v/>
      </c>
      <c r="AB299" s="7" t="inlineStr">
        <is>
          <t>^Warhead_CannonHE_Medium, ^Warhead_MissileHE_Light</t>
        </is>
      </c>
    </row>
    <row r="300">
      <c r="B300" s="7" t="inlineStr">
        <is>
          <t xml:space="preserve">  ↳ IFVChronoBeam</t>
        </is>
      </c>
      <c r="C300" s="7" t="inlineStr">
        <is>
          <t>Armament@chrono</t>
        </is>
      </c>
      <c r="L300" s="6" t="n"/>
      <c r="M300" s="6" t="n">
        <v>1</v>
      </c>
      <c r="N300" s="6" t="n">
        <v>1</v>
      </c>
      <c r="O300" s="6" t="n"/>
      <c r="P300" s="6" t="n">
        <v>7500</v>
      </c>
      <c r="Q300" s="6" t="n">
        <v>1</v>
      </c>
      <c r="R300">
        <f>M300+IF(N300&gt;1,N(O300)*(N300-1),0)</f>
        <v/>
      </c>
      <c r="S300">
        <f>IFERROR(L300*MAX(N300,1)/R300*IF(ISBLANK(K280),1,K280),0)</f>
        <v/>
      </c>
      <c r="AB300" s="7" t="inlineStr">
        <is>
          <t>ChronoBeam</t>
        </is>
      </c>
    </row>
    <row r="301">
      <c r="B301" s="7" t="inlineStr">
        <is>
          <t xml:space="preserve">  ↳ IFVChronoSound</t>
        </is>
      </c>
      <c r="C301" s="7" t="inlineStr">
        <is>
          <t>Armament@chronosound</t>
        </is>
      </c>
      <c r="L301" s="6" t="n"/>
      <c r="M301" s="6" t="n">
        <v>180</v>
      </c>
      <c r="N301" s="6" t="n">
        <v>1</v>
      </c>
      <c r="O301" s="6" t="n"/>
      <c r="P301" s="6" t="n">
        <v>8000</v>
      </c>
      <c r="Q301" s="6" t="n">
        <v>1</v>
      </c>
      <c r="R301">
        <f>M301+IF(N301&gt;1,N(O301)*(N301-1),0)</f>
        <v/>
      </c>
      <c r="S301">
        <f>IFERROR(L301*MAX(N301,1)/R301*IF(ISBLANK(K280),1,K280),0)</f>
        <v/>
      </c>
      <c r="AB301" s="7" t="inlineStr">
        <is>
          <t>RA2ChronoTele</t>
        </is>
      </c>
    </row>
    <row r="302">
      <c r="B302" s="7" t="inlineStr">
        <is>
          <t xml:space="preserve">  ↳ DemoTruckTargeting</t>
        </is>
      </c>
      <c r="C302" s="7" t="inlineStr">
        <is>
          <t>Armament@ivan</t>
        </is>
      </c>
      <c r="L302" s="6" t="n"/>
      <c r="M302" s="6" t="n"/>
      <c r="N302" s="6" t="n">
        <v>1</v>
      </c>
      <c r="O302" s="6" t="n"/>
      <c r="P302" s="6" t="n">
        <v>2000</v>
      </c>
      <c r="Q302" s="6" t="n">
        <v>1</v>
      </c>
      <c r="R302">
        <f>M302+IF(N302&gt;1,N(O302)*(N302-1),0)</f>
        <v/>
      </c>
      <c r="S302">
        <f>IFERROR(L302*MAX(N302,1)/R302*IF(ISBLANK(K280),1,K280),0)</f>
        <v/>
      </c>
      <c r="AB302" s="7" t="inlineStr"/>
    </row>
    <row r="303">
      <c r="B303" s="7" t="inlineStr">
        <is>
          <t xml:space="preserve">  ↳ Fremen_L</t>
        </is>
      </c>
      <c r="C303" s="7" t="inlineStr">
        <is>
          <t>Armament@fremen</t>
        </is>
      </c>
      <c r="L303" s="6" t="n">
        <v>3000</v>
      </c>
      <c r="M303" s="6" t="n">
        <v>25</v>
      </c>
      <c r="N303" s="6" t="n">
        <v>1</v>
      </c>
      <c r="O303" s="6" t="n"/>
      <c r="P303" s="6" t="n">
        <v>2560</v>
      </c>
      <c r="Q303" s="6" t="n">
        <v>1</v>
      </c>
      <c r="R303">
        <f>M303+IF(N303&gt;1,N(O303)*(N303-1),0)</f>
        <v/>
      </c>
      <c r="S303">
        <f>IFERROR(L303*MAX(N303,1)/R303*IF(ISBLANK(K280),1,K280),0)</f>
        <v/>
      </c>
      <c r="AB303" s="7" t="inlineStr">
        <is>
          <t>M_HMG</t>
        </is>
      </c>
    </row>
    <row r="304">
      <c r="B304" s="7" t="inlineStr">
        <is>
          <t xml:space="preserve">  ↳ TSSonicZap</t>
        </is>
      </c>
      <c r="C304" s="7" t="inlineStr">
        <is>
          <t>Armament@sonic</t>
        </is>
      </c>
      <c r="L304" s="6" t="n">
        <v>5000</v>
      </c>
      <c r="M304" s="6" t="n">
        <v>60</v>
      </c>
      <c r="N304" s="6" t="n">
        <v>1</v>
      </c>
      <c r="O304" s="6" t="n"/>
      <c r="P304" s="6" t="n">
        <v>6144</v>
      </c>
      <c r="Q304" s="6" t="n">
        <v>1</v>
      </c>
      <c r="R304">
        <f>M304+IF(N304&gt;1,N(O304)*(N304-1),0)</f>
        <v/>
      </c>
      <c r="S304">
        <f>IFERROR(L304*MAX(N304,1)/R304*IF(ISBLANK(K280),1,K280),0)</f>
        <v/>
      </c>
      <c r="AB304" s="7" t="inlineStr"/>
    </row>
    <row r="305">
      <c r="B305" s="7" t="inlineStr">
        <is>
          <t xml:space="preserve">  ↳ MedicHeal</t>
        </is>
      </c>
      <c r="C305" s="7" t="inlineStr">
        <is>
          <t>Armament@heal</t>
        </is>
      </c>
      <c r="L305" s="6" t="n">
        <v>-3000</v>
      </c>
      <c r="M305" s="6" t="n">
        <v>10</v>
      </c>
      <c r="N305" s="6" t="n">
        <v>1</v>
      </c>
      <c r="O305" s="6" t="n"/>
      <c r="P305" s="6" t="n">
        <v>6000</v>
      </c>
      <c r="Q305" s="6" t="n">
        <v>1</v>
      </c>
      <c r="R305">
        <f>M305+IF(N305&gt;1,N(O305)*(N305-1),0)</f>
        <v/>
      </c>
      <c r="S305">
        <f>IFERROR(L305*MAX(N305,1)/R305*IF(ISBLANK(K280),1,K280),0)</f>
        <v/>
      </c>
      <c r="AB305" s="7" t="inlineStr">
        <is>
          <t>^HealingWeapon</t>
        </is>
      </c>
    </row>
    <row r="306">
      <c r="B306" s="7" t="inlineStr">
        <is>
          <t xml:space="preserve">  ↳ RA2HoverMissile</t>
        </is>
      </c>
      <c r="C306" s="7" t="inlineStr">
        <is>
          <t>Armament@primary</t>
        </is>
      </c>
      <c r="L306" s="6" t="n">
        <v>12000</v>
      </c>
      <c r="M306" s="6" t="n">
        <v>28</v>
      </c>
      <c r="N306" s="6" t="n">
        <v>2</v>
      </c>
      <c r="O306" s="6" t="n">
        <v>4</v>
      </c>
      <c r="P306" s="6" t="n">
        <v>5760</v>
      </c>
      <c r="Q306" s="6" t="n">
        <v>0.75</v>
      </c>
      <c r="R306">
        <f>M306+IF(N306&gt;1,N(O306)*(N306-1),0)</f>
        <v/>
      </c>
      <c r="S306">
        <f>IFERROR(L306*MAX(N306,1)/R306*IF(ISBLANK(K280),1,K280),0)</f>
        <v/>
      </c>
      <c r="AB306" s="7" t="inlineStr">
        <is>
          <t>^Warhead_Arrow_Light, ^Warhead_MissileAP_Light</t>
        </is>
      </c>
    </row>
    <row r="307">
      <c r="B307" s="7" t="inlineStr">
        <is>
          <t xml:space="preserve">  ↳ RA2HoverMissile_elite</t>
        </is>
      </c>
      <c r="C307" s="7" t="inlineStr">
        <is>
          <t>Armament@primaryelite</t>
        </is>
      </c>
      <c r="L307" s="6" t="n">
        <v>12000</v>
      </c>
      <c r="M307" s="6" t="n">
        <v>28</v>
      </c>
      <c r="N307" s="6" t="n">
        <v>4</v>
      </c>
      <c r="O307" s="6" t="n">
        <v>4</v>
      </c>
      <c r="P307" s="6" t="n">
        <v>6760</v>
      </c>
      <c r="Q307" s="6" t="n">
        <v>0.75</v>
      </c>
      <c r="R307">
        <f>M307+IF(N307&gt;1,N(O307)*(N307-1),0)</f>
        <v/>
      </c>
      <c r="S307">
        <f>IFERROR(L307*MAX(N307,1)/R307*IF(ISBLANK(K280),1,K280),0)</f>
        <v/>
      </c>
      <c r="AB307" s="7" t="inlineStr">
        <is>
          <t>^Warhead_Arrow_Light, ^Warhead_MissileAP_Light</t>
        </is>
      </c>
    </row>
    <row r="308">
      <c r="B308" s="7" t="inlineStr">
        <is>
          <t xml:space="preserve">  ↳ RA2HoverMissile_AA</t>
        </is>
      </c>
      <c r="C308" s="7" t="inlineStr">
        <is>
          <t>Armament@primaryAA</t>
        </is>
      </c>
      <c r="L308" s="6" t="n">
        <v>12000</v>
      </c>
      <c r="M308" s="6" t="n">
        <v>28</v>
      </c>
      <c r="N308" s="6" t="n">
        <v>2</v>
      </c>
      <c r="O308" s="6" t="n">
        <v>4</v>
      </c>
      <c r="P308" s="6" t="n">
        <v>8640</v>
      </c>
      <c r="Q308" s="6" t="n">
        <v>0.75</v>
      </c>
      <c r="R308">
        <f>M308+IF(N308&gt;1,N(O308)*(N308-1),0)</f>
        <v/>
      </c>
      <c r="S308">
        <f>IFERROR(L308*MAX(N308,1)/R308*IF(ISBLANK(K280),1,K280),0)</f>
        <v/>
      </c>
      <c r="AB308" s="7" t="inlineStr">
        <is>
          <t>^Warhead_Arrow_Light, ^Warhead_MissileAP_Light</t>
        </is>
      </c>
    </row>
    <row r="309">
      <c r="B309" s="7" t="inlineStr">
        <is>
          <t xml:space="preserve">  ↳ RA2HoverMissile_AA_elite</t>
        </is>
      </c>
      <c r="C309" s="7" t="inlineStr">
        <is>
          <t>Armament@primaryeliteAA</t>
        </is>
      </c>
      <c r="L309" s="6" t="n">
        <v>12000</v>
      </c>
      <c r="M309" s="6" t="n">
        <v>28</v>
      </c>
      <c r="N309" s="6" t="n">
        <v>4</v>
      </c>
      <c r="O309" s="6" t="n">
        <v>4</v>
      </c>
      <c r="P309" s="6" t="n">
        <v>9640</v>
      </c>
      <c r="Q309" s="6" t="n">
        <v>0.75</v>
      </c>
      <c r="R309">
        <f>M309+IF(N309&gt;1,N(O309)*(N309-1),0)</f>
        <v/>
      </c>
      <c r="S309">
        <f>IFERROR(L309*MAX(N309,1)/R309*IF(ISBLANK(K280),1,K280),0)</f>
        <v/>
      </c>
      <c r="AB309" s="7" t="inlineStr">
        <is>
          <t>^Warhead_Arrow_Light, ^Warhead_MissileAP_Light</t>
        </is>
      </c>
    </row>
    <row r="310">
      <c r="B310" s="7" t="inlineStr">
        <is>
          <t xml:space="preserve">  ↳ RA2ThunderboltMissile</t>
        </is>
      </c>
      <c r="C310" s="7" t="inlineStr">
        <is>
          <t>Armament@primaryThunderbolt</t>
        </is>
      </c>
      <c r="L310" s="6" t="n">
        <v>4000</v>
      </c>
      <c r="M310" s="6" t="n">
        <v>25</v>
      </c>
      <c r="N310" s="6" t="n">
        <v>1</v>
      </c>
      <c r="O310" s="6" t="n"/>
      <c r="P310" s="6" t="n">
        <v>5120</v>
      </c>
      <c r="Q310" s="6" t="n">
        <v>1</v>
      </c>
      <c r="R310">
        <f>M310+IF(N310&gt;1,N(O310)*(N310-1),0)</f>
        <v/>
      </c>
      <c r="S310">
        <f>IFERROR(L310*MAX(N310,1)/R310*IF(ISBLANK(K280),1,K280),0)</f>
        <v/>
      </c>
      <c r="AB310" s="7" t="inlineStr">
        <is>
          <t>^Warhead_MissileHE_Heavy, ^Warhead_MissileHE_Light</t>
        </is>
      </c>
    </row>
    <row r="311">
      <c r="B311" s="7" t="inlineStr">
        <is>
          <t xml:space="preserve">  ↳ RA2ThunderboltMissile_elite</t>
        </is>
      </c>
      <c r="C311" s="7" t="inlineStr">
        <is>
          <t>Armament@primaryeliteThunderbolt</t>
        </is>
      </c>
      <c r="L311" s="6" t="n">
        <v>4000</v>
      </c>
      <c r="M311" s="6" t="n">
        <v>25</v>
      </c>
      <c r="N311" s="6" t="n">
        <v>4</v>
      </c>
      <c r="O311" s="6" t="n"/>
      <c r="P311" s="6" t="n">
        <v>6760</v>
      </c>
      <c r="Q311" s="6" t="n">
        <v>1</v>
      </c>
      <c r="R311">
        <f>M311+IF(N311&gt;1,N(O311)*(N311-1),0)</f>
        <v/>
      </c>
      <c r="S311">
        <f>IFERROR(L311*MAX(N311,1)/R311*IF(ISBLANK(K280),1,K280),0)</f>
        <v/>
      </c>
      <c r="AB311" s="7" t="inlineStr">
        <is>
          <t>^Warhead_MissileHE_Heavy, ^Warhead_MissileHE_Light</t>
        </is>
      </c>
    </row>
    <row r="312">
      <c r="B312" s="7" t="inlineStr">
        <is>
          <t xml:space="preserve">  ↳ RA2ThunderboltMissile_AA</t>
        </is>
      </c>
      <c r="C312" s="7" t="inlineStr">
        <is>
          <t>Armament@primaryAAThunderbolt</t>
        </is>
      </c>
      <c r="L312" s="6" t="n">
        <v>4000</v>
      </c>
      <c r="M312" s="6" t="n">
        <v>25</v>
      </c>
      <c r="N312" s="6" t="n">
        <v>1</v>
      </c>
      <c r="O312" s="6" t="n"/>
      <c r="P312" s="6" t="n">
        <v>8640</v>
      </c>
      <c r="Q312" s="6" t="n">
        <v>1</v>
      </c>
      <c r="R312">
        <f>M312+IF(N312&gt;1,N(O312)*(N312-1),0)</f>
        <v/>
      </c>
      <c r="S312">
        <f>IFERROR(L312*MAX(N312,1)/R312*IF(ISBLANK(K280),1,K280),0)</f>
        <v/>
      </c>
      <c r="AB312" s="7" t="inlineStr">
        <is>
          <t>^Warhead_MissileHE_Heavy, ^Warhead_MissileHE_Light</t>
        </is>
      </c>
    </row>
    <row r="313">
      <c r="B313" s="7" t="inlineStr">
        <is>
          <t xml:space="preserve">  ↳ RA2ThunderboltMissile_AA_elite</t>
        </is>
      </c>
      <c r="C313" s="7" t="inlineStr">
        <is>
          <t>Armament@primaryeliteAAThunderbolt</t>
        </is>
      </c>
      <c r="L313" s="6" t="n">
        <v>4000</v>
      </c>
      <c r="M313" s="6" t="n">
        <v>25</v>
      </c>
      <c r="N313" s="6" t="n">
        <v>4</v>
      </c>
      <c r="O313" s="6" t="n"/>
      <c r="P313" s="6" t="n">
        <v>9640</v>
      </c>
      <c r="Q313" s="6" t="n">
        <v>1</v>
      </c>
      <c r="R313">
        <f>M313+IF(N313&gt;1,N(O313)*(N313-1),0)</f>
        <v/>
      </c>
      <c r="S313">
        <f>IFERROR(L313*MAX(N313,1)/R313*IF(ISBLANK(K280),1,K280),0)</f>
        <v/>
      </c>
      <c r="AB313" s="7" t="inlineStr">
        <is>
          <t>^Warhead_MissileHE_Heavy, ^Warhead_MissileHE_Light</t>
        </is>
      </c>
    </row>
    <row r="314">
      <c r="B314" s="7" t="inlineStr">
        <is>
          <t xml:space="preserve">  ↳ RA2MultiHoverMissile_elite</t>
        </is>
      </c>
      <c r="C314" s="7" t="inlineStr">
        <is>
          <t>Armament@missileelite</t>
        </is>
      </c>
      <c r="L314" s="6" t="n">
        <v>4000</v>
      </c>
      <c r="M314" s="6" t="n">
        <v>20</v>
      </c>
      <c r="N314" s="6" t="n">
        <v>4</v>
      </c>
      <c r="O314" s="6" t="n"/>
      <c r="P314" s="6" t="n">
        <v>7170</v>
      </c>
      <c r="Q314" s="6" t="n">
        <v>0.875</v>
      </c>
      <c r="R314">
        <f>M314+IF(N314&gt;1,N(O314)*(N314-1),0)</f>
        <v/>
      </c>
      <c r="S314">
        <f>IFERROR(L314*MAX(N314,1)/R314*IF(ISBLANK(K280),1,K280),0)</f>
        <v/>
      </c>
      <c r="AB314" s="7" t="inlineStr">
        <is>
          <t>^Warhead_CannonHE_Medium, ^Warhead_MissileHE_Light</t>
        </is>
      </c>
    </row>
    <row r="315">
      <c r="B315" s="7" t="inlineStr">
        <is>
          <t xml:space="preserve">  ↳ RA2MultiHoverMissile_AA</t>
        </is>
      </c>
      <c r="C315" s="7" t="inlineStr">
        <is>
          <t>Armament@missileAA</t>
        </is>
      </c>
      <c r="L315" s="6" t="n">
        <v>4000</v>
      </c>
      <c r="M315" s="6" t="n">
        <v>20</v>
      </c>
      <c r="N315" s="6" t="n">
        <v>4</v>
      </c>
      <c r="O315" s="6" t="n"/>
      <c r="P315" s="6" t="n">
        <v>9255</v>
      </c>
      <c r="Q315" s="6" t="n">
        <v>0.875</v>
      </c>
      <c r="R315">
        <f>M315+IF(N315&gt;1,N(O315)*(N315-1),0)</f>
        <v/>
      </c>
      <c r="S315">
        <f>IFERROR(L315*MAX(N315,1)/R315*IF(ISBLANK(K280),1,K280),0)</f>
        <v/>
      </c>
      <c r="AB315" s="7" t="inlineStr">
        <is>
          <t>^Warhead_CannonHE_Medium, ^Warhead_MissileHE_Light</t>
        </is>
      </c>
    </row>
    <row r="316">
      <c r="B316" s="7" t="inlineStr">
        <is>
          <t xml:space="preserve">  ↳ RA2MultiHoverMissile_AA_elite</t>
        </is>
      </c>
      <c r="C316" s="7" t="inlineStr">
        <is>
          <t>Armament@missileeliteAA</t>
        </is>
      </c>
      <c r="L316" s="6" t="n">
        <v>4000</v>
      </c>
      <c r="M316" s="6" t="n">
        <v>20</v>
      </c>
      <c r="N316" s="6" t="n">
        <v>4</v>
      </c>
      <c r="O316" s="6" t="n"/>
      <c r="P316" s="6" t="n">
        <v>10255</v>
      </c>
      <c r="Q316" s="6" t="n">
        <v>0.875</v>
      </c>
      <c r="R316">
        <f>M316+IF(N316&gt;1,N(O316)*(N316-1),0)</f>
        <v/>
      </c>
      <c r="S316">
        <f>IFERROR(L316*MAX(N316,1)/R316*IF(ISBLANK(K280),1,K280),0)</f>
        <v/>
      </c>
      <c r="AB316" s="7" t="inlineStr">
        <is>
          <t>^Warhead_CannonHE_Medium, ^Warhead_MissileHE_Light</t>
        </is>
      </c>
    </row>
    <row r="317">
      <c r="B317" s="7" t="inlineStr">
        <is>
          <t xml:space="preserve">  ↳ RA2MultiThunderboltMissile</t>
        </is>
      </c>
      <c r="C317" s="7" t="inlineStr">
        <is>
          <t>Armament@missileThunderbolt</t>
        </is>
      </c>
      <c r="L317" s="6" t="n">
        <v>4000</v>
      </c>
      <c r="M317" s="6" t="n">
        <v>25</v>
      </c>
      <c r="N317" s="6" t="n">
        <v>1</v>
      </c>
      <c r="O317" s="6" t="n"/>
      <c r="P317" s="6" t="n">
        <v>5120</v>
      </c>
      <c r="Q317" s="6" t="n">
        <v>1</v>
      </c>
      <c r="R317">
        <f>M317+IF(N317&gt;1,N(O317)*(N317-1),0)</f>
        <v/>
      </c>
      <c r="S317">
        <f>IFERROR(L317*MAX(N317,1)/R317*IF(ISBLANK(K280),1,K280),0)</f>
        <v/>
      </c>
      <c r="AB317" s="7" t="inlineStr">
        <is>
          <t>^Warhead_MissileHE_Heavy, ^Warhead_MissileHE_Light</t>
        </is>
      </c>
    </row>
    <row r="318">
      <c r="B318" s="7" t="inlineStr">
        <is>
          <t xml:space="preserve">  ↳ RA2MultiThunderboltMissile_elite</t>
        </is>
      </c>
      <c r="C318" s="7" t="inlineStr">
        <is>
          <t>Armament@missileeliteThunderbolt</t>
        </is>
      </c>
      <c r="L318" s="6" t="n">
        <v>4000</v>
      </c>
      <c r="M318" s="6" t="n">
        <v>25</v>
      </c>
      <c r="N318" s="6" t="n">
        <v>4</v>
      </c>
      <c r="O318" s="6" t="n"/>
      <c r="P318" s="6" t="n">
        <v>7170</v>
      </c>
      <c r="Q318" s="6" t="n">
        <v>1</v>
      </c>
      <c r="R318">
        <f>M318+IF(N318&gt;1,N(O318)*(N318-1),0)</f>
        <v/>
      </c>
      <c r="S318">
        <f>IFERROR(L318*MAX(N318,1)/R318*IF(ISBLANK(K280),1,K280),0)</f>
        <v/>
      </c>
      <c r="AB318" s="7" t="inlineStr">
        <is>
          <t>^Warhead_MissileHE_Heavy, ^Warhead_MissileHE_Light</t>
        </is>
      </c>
    </row>
    <row r="319">
      <c r="B319" s="7" t="inlineStr">
        <is>
          <t xml:space="preserve">  ↳ RA2MultiThunderboltMissile_AA</t>
        </is>
      </c>
      <c r="C319" s="7" t="inlineStr">
        <is>
          <t>Armament@missileAAThunderbolt</t>
        </is>
      </c>
      <c r="L319" s="6" t="n">
        <v>4000</v>
      </c>
      <c r="M319" s="6" t="n">
        <v>25</v>
      </c>
      <c r="N319" s="6" t="n">
        <v>1</v>
      </c>
      <c r="O319" s="6" t="n"/>
      <c r="P319" s="6" t="n">
        <v>9255</v>
      </c>
      <c r="Q319" s="6" t="n">
        <v>1</v>
      </c>
      <c r="R319">
        <f>M319+IF(N319&gt;1,N(O319)*(N319-1),0)</f>
        <v/>
      </c>
      <c r="S319">
        <f>IFERROR(L319*MAX(N319,1)/R319*IF(ISBLANK(K280),1,K280),0)</f>
        <v/>
      </c>
      <c r="AB319" s="7" t="inlineStr">
        <is>
          <t>^Warhead_MissileHE_Heavy, ^Warhead_MissileHE_Light</t>
        </is>
      </c>
    </row>
    <row r="320">
      <c r="B320" s="7" t="inlineStr">
        <is>
          <t xml:space="preserve">  ↳ RA2MultiThunderboltMissile_AA_elite</t>
        </is>
      </c>
      <c r="C320" s="7" t="inlineStr">
        <is>
          <t>Armament@missileeliteAAThunderbolt</t>
        </is>
      </c>
      <c r="L320" s="6" t="n">
        <v>4000</v>
      </c>
      <c r="M320" s="6" t="n">
        <v>25</v>
      </c>
      <c r="N320" s="6" t="n">
        <v>4</v>
      </c>
      <c r="O320" s="6" t="n"/>
      <c r="P320" s="6" t="n">
        <v>10255</v>
      </c>
      <c r="Q320" s="6" t="n">
        <v>1</v>
      </c>
      <c r="R320">
        <f>M320+IF(N320&gt;1,N(O320)*(N320-1),0)</f>
        <v/>
      </c>
      <c r="S320">
        <f>IFERROR(L320*MAX(N320,1)/R320*IF(ISBLANK(K280),1,K280),0)</f>
        <v/>
      </c>
      <c r="AB320" s="7" t="inlineStr">
        <is>
          <t>^Warhead_MissileHE_Heavy, ^Warhead_MissileHE_Light</t>
        </is>
      </c>
    </row>
    <row r="321">
      <c r="B321" s="7" t="inlineStr">
        <is>
          <t xml:space="preserve">  ↳ MedicHeal</t>
        </is>
      </c>
      <c r="C321" s="7" t="inlineStr">
        <is>
          <t>Armament@healer</t>
        </is>
      </c>
      <c r="L321" s="6" t="n">
        <v>-3000</v>
      </c>
      <c r="M321" s="6" t="n">
        <v>10</v>
      </c>
      <c r="N321" s="6" t="n">
        <v>1</v>
      </c>
      <c r="O321" s="6" t="n"/>
      <c r="P321" s="6" t="n">
        <v>6000</v>
      </c>
      <c r="Q321" s="6" t="n">
        <v>1</v>
      </c>
      <c r="R321">
        <f>M321+IF(N321&gt;1,N(O321)*(N321-1),0)</f>
        <v/>
      </c>
      <c r="S321">
        <f>IFERROR(L321*MAX(N321,1)/R321*IF(ISBLANK(K280),1,K280),0)</f>
        <v/>
      </c>
      <c r="AB321" s="7" t="inlineStr">
        <is>
          <t>^HealingWeapon</t>
        </is>
      </c>
    </row>
    <row r="322">
      <c r="B322" s="7" t="inlineStr">
        <is>
          <t xml:space="preserve">  ↳ RA2AWP</t>
        </is>
      </c>
      <c r="C322" s="7" t="inlineStr">
        <is>
          <t>Armament@ra1_allies_alliedsniper</t>
        </is>
      </c>
      <c r="L322" s="6" t="n">
        <v>44000</v>
      </c>
      <c r="M322" s="6" t="n">
        <v>54</v>
      </c>
      <c r="N322" s="6" t="n">
        <v>1</v>
      </c>
      <c r="O322" s="6" t="n"/>
      <c r="P322" s="6" t="n">
        <v>10000</v>
      </c>
      <c r="Q322" s="6" t="n">
        <v>0.75</v>
      </c>
      <c r="R322">
        <f>M322+IF(N322&gt;1,N(O322)*(N322-1),0)</f>
        <v/>
      </c>
      <c r="S322">
        <f>IFERROR(L322*MAX(N322,1)/R322*IF(ISBLANK(K280),1,K280),0)</f>
        <v/>
      </c>
      <c r="AB322" s="7" t="inlineStr">
        <is>
          <t>^Warhead_Sniper_Light</t>
        </is>
      </c>
    </row>
    <row r="323">
      <c r="A323" t="inlineStr">
        <is>
          <t>redalert2</t>
        </is>
      </c>
      <c r="B323" t="inlineStr">
        <is>
          <t>ra2_allies_miragetank</t>
        </is>
      </c>
      <c r="C323" t="inlineStr">
        <is>
          <t>Mirage Tank</t>
        </is>
      </c>
      <c r="D323" s="6" t="inlineStr">
        <is>
          <t>HighTechTank</t>
        </is>
      </c>
      <c r="E323" s="6" t="n">
        <v>120000</v>
      </c>
      <c r="F323" s="6" t="n">
        <v>90</v>
      </c>
      <c r="G323" t="inlineStr">
        <is>
          <t>Superheavy</t>
        </is>
      </c>
      <c r="H323" s="6" t="n">
        <v>0.75</v>
      </c>
      <c r="I323" s="6" t="n">
        <v>1</v>
      </c>
      <c r="J323" s="6" t="n">
        <v>1</v>
      </c>
      <c r="K323" s="6" t="n"/>
      <c r="P323">
        <f>MAX(P324,P325)</f>
        <v/>
      </c>
      <c r="S323">
        <f>S324+S325</f>
        <v/>
      </c>
      <c r="T323">
        <f>(E323/100000+F323/100+(P323/1000)*J323/5+S323/200)*200*I323*H323</f>
        <v/>
      </c>
      <c r="U323">
        <f>((E323*F323/25000)+((P323/1000)*J323*S323/2.5))*I323*H323</f>
        <v/>
      </c>
      <c r="V323">
        <f>(E323*F323*(P323/1000)*J323*S323*I323*H323)/12500000</f>
        <v/>
      </c>
      <c r="W323">
        <f>(((E323/700000)+(F323/65)+(S323/2000)+((P323/6500)*J323))*2000/4+(((E323/700000)*(F323/65))+(((P323/6500)*J323)*(S323/2000)))*2000/2+((E323/700000)*(F323/65)*((P323/6500)*J323)*(S323/2000))*2000)*(H323/0.75)/3</f>
        <v/>
      </c>
      <c r="X323" s="6" t="n">
        <v>1600</v>
      </c>
      <c r="Y323">
        <f>IFERROR(W323-X323,"")</f>
        <v/>
      </c>
      <c r="Z323">
        <f>IFERROR(ABS(Y323)/MAX(X323,1),"")</f>
        <v/>
      </c>
      <c r="AA323">
        <f>IFERROR(ROUND(((3*X323-(((E323/700000)+(F323/65)+(S323/2000))*2000/4+((E323/700000)*(F323/65))*2000/2)*(H323/0.75))/(2000/4+((S323/2000))*2000/2+((E323/700000)*(F323/65)*(S323/2000))*2000)*(H323/0.75)*6500)/J323,-1),"")</f>
        <v/>
      </c>
    </row>
    <row r="324">
      <c r="B324" s="7" t="inlineStr">
        <is>
          <t xml:space="preserve">  ↳ RA2MirageGun</t>
        </is>
      </c>
      <c r="C324" s="7" t="inlineStr">
        <is>
          <t>Armament</t>
        </is>
      </c>
      <c r="L324" s="6" t="n">
        <v>24000</v>
      </c>
      <c r="M324" s="6" t="n">
        <v>39</v>
      </c>
      <c r="N324" s="6" t="n">
        <v>1</v>
      </c>
      <c r="O324" s="6" t="n"/>
      <c r="P324" s="6" t="n">
        <v>6031</v>
      </c>
      <c r="Q324" s="6" t="n">
        <v>0.75</v>
      </c>
      <c r="R324">
        <f>M324+IF(N324&gt;1,N(O324)*(N324-1),0)</f>
        <v/>
      </c>
      <c r="S324">
        <f>IFERROR(L324*MAX(N324,1)/R324*IF(ISBLANK(K323),1,K323),0)</f>
        <v/>
      </c>
      <c r="AB324" s="7" t="inlineStr">
        <is>
          <t>^Warhead_CannonAP_Light</t>
        </is>
      </c>
    </row>
    <row r="325">
      <c r="B325" s="7" t="inlineStr">
        <is>
          <t xml:space="preserve">  ↳ RA2MirageGun_elite</t>
        </is>
      </c>
      <c r="C325" s="7" t="inlineStr">
        <is>
          <t>Armament@elite</t>
        </is>
      </c>
      <c r="L325" s="6" t="n">
        <v>24000</v>
      </c>
      <c r="M325" s="6" t="n">
        <v>39</v>
      </c>
      <c r="N325" s="6" t="n">
        <v>2</v>
      </c>
      <c r="O325" s="6" t="n">
        <v>3</v>
      </c>
      <c r="P325" s="6" t="n">
        <v>7031</v>
      </c>
      <c r="Q325" s="6" t="n">
        <v>0.75</v>
      </c>
      <c r="R325">
        <f>M325+IF(N325&gt;1,N(O325)*(N325-1),0)</f>
        <v/>
      </c>
      <c r="S325">
        <f>IFERROR(L325*MAX(N325,1)/R325*IF(ISBLANK(K323),1,K323),0)</f>
        <v/>
      </c>
      <c r="AB325" s="7" t="inlineStr">
        <is>
          <t>^Warhead_CannonAP_Light</t>
        </is>
      </c>
    </row>
    <row r="326">
      <c r="A326" t="inlineStr">
        <is>
          <t>redalert2</t>
        </is>
      </c>
      <c r="B326" t="inlineStr">
        <is>
          <t>ra2_allies_prismtank</t>
        </is>
      </c>
      <c r="C326" t="inlineStr">
        <is>
          <t>Prism Tank</t>
        </is>
      </c>
      <c r="D326" s="6" t="inlineStr">
        <is>
          <t>FireSupport</t>
        </is>
      </c>
      <c r="E326" s="6" t="n">
        <v>60000</v>
      </c>
      <c r="F326" s="6" t="n">
        <v>60</v>
      </c>
      <c r="G326" t="inlineStr">
        <is>
          <t>Light</t>
        </is>
      </c>
      <c r="H326" s="6" t="n">
        <v>1</v>
      </c>
      <c r="I326" s="6" t="n">
        <v>1</v>
      </c>
      <c r="J326" s="6" t="n">
        <v>1.25</v>
      </c>
      <c r="K326" s="6" t="n"/>
      <c r="P326">
        <f>MAX(P329,P330)</f>
        <v/>
      </c>
      <c r="S326">
        <f>S329+S330</f>
        <v/>
      </c>
      <c r="T326">
        <f>(E326/100000+F326/100+(P326/1000)*J326/5+S326/200)*200*I326*H326</f>
        <v/>
      </c>
      <c r="U326">
        <f>((E326*F326/25000)+((P326/1000)*J326*S326/2.5))*I326*H326</f>
        <v/>
      </c>
      <c r="V326">
        <f>(E326*F326*(P326/1000)*J326*S326*I326*H326)/12500000</f>
        <v/>
      </c>
      <c r="W326">
        <f>(((E326/120000)+(F326/90)+(S326/2100)+((P326/10000)*J326))*1400/4+(((E326/120000)*(F326/90))+(((P326/10000)*J326)*(S326/2100)))*1400/2+((E326/120000)*(F326/90)*((P326/10000)*J326)*(S326/2100))*1400)*(H326/0.6735)/3</f>
        <v/>
      </c>
      <c r="X326" s="6" t="n">
        <v>2000</v>
      </c>
      <c r="Y326">
        <f>IFERROR(W326-X326,"")</f>
        <v/>
      </c>
      <c r="Z326">
        <f>IFERROR(ABS(Y326)/MAX(X326,1),"")</f>
        <v/>
      </c>
      <c r="AA326">
        <f>IFERROR(ROUND(((3*X326-(((E326/120000)+(F326/90)+(S326/2100))*1400/4+((E326/120000)*(F326/90))*1400/2)*(H326/0.6735))/(1400/4+((S326/2100))*1400/2+((E326/120000)*(F326/90)*(S326/2100))*1400)*(H326/0.6735)*10000)/J326,-1),"")</f>
        <v/>
      </c>
    </row>
    <row r="327">
      <c r="B327" s="7" t="inlineStr">
        <is>
          <t xml:space="preserve">  ↳ PrismTankCharge</t>
        </is>
      </c>
      <c r="C327" s="7" t="inlineStr">
        <is>
          <t>Armament@Charge</t>
        </is>
      </c>
      <c r="L327" s="6" t="n"/>
      <c r="M327" s="6" t="n">
        <v>100</v>
      </c>
      <c r="N327" s="6" t="n">
        <v>1</v>
      </c>
      <c r="O327" s="6" t="n"/>
      <c r="P327" s="6" t="n">
        <v>10000</v>
      </c>
      <c r="Q327" s="6" t="n">
        <v>1</v>
      </c>
      <c r="R327">
        <f>M327+IF(N327&gt;1,N(O327)*(N327-1),0)</f>
        <v/>
      </c>
      <c r="S327">
        <f>IFERROR(L327*MAX(N327,1)/R327*IF(ISBLANK(K326),1,K326),0)</f>
        <v/>
      </c>
      <c r="AB327" s="7" t="inlineStr">
        <is>
          <t>PrismCharge</t>
        </is>
      </c>
    </row>
    <row r="328">
      <c r="B328" s="7" t="inlineStr">
        <is>
          <t xml:space="preserve">  ↳ PrismTankCharge_elite</t>
        </is>
      </c>
      <c r="C328" s="7" t="inlineStr">
        <is>
          <t>Armament@EliteCharge</t>
        </is>
      </c>
      <c r="L328" s="6" t="n"/>
      <c r="M328" s="6" t="n">
        <v>100</v>
      </c>
      <c r="N328" s="6" t="n">
        <v>1</v>
      </c>
      <c r="O328" s="6" t="n"/>
      <c r="P328" s="6" t="n">
        <v>11111</v>
      </c>
      <c r="Q328" s="6" t="n">
        <v>1</v>
      </c>
      <c r="R328">
        <f>M328+IF(N328&gt;1,N(O328)*(N328-1),0)</f>
        <v/>
      </c>
      <c r="S328">
        <f>IFERROR(L328*MAX(N328,1)/R328*IF(ISBLANK(K326),1,K326),0)</f>
        <v/>
      </c>
      <c r="AB328" s="7" t="inlineStr">
        <is>
          <t>PrismTankCharge</t>
        </is>
      </c>
    </row>
    <row r="329">
      <c r="B329" s="7" t="inlineStr">
        <is>
          <t xml:space="preserve">  ↳ RA2Comet</t>
        </is>
      </c>
      <c r="C329" s="7" t="inlineStr">
        <is>
          <t>Armament</t>
        </is>
      </c>
      <c r="L329" s="6" t="n">
        <v>60000</v>
      </c>
      <c r="M329" s="6" t="n">
        <v>125</v>
      </c>
      <c r="N329" s="6" t="n">
        <v>1</v>
      </c>
      <c r="O329" s="6" t="n"/>
      <c r="P329" s="6" t="n">
        <v>11111</v>
      </c>
      <c r="Q329" s="6" t="n">
        <v>1</v>
      </c>
      <c r="R329">
        <f>M329+IF(N329&gt;1,N(O329)*(N329-1),0)</f>
        <v/>
      </c>
      <c r="S329">
        <f>IFERROR(L329*MAX(N329,1)/R329*IF(ISBLANK(K326),1,K326),0)</f>
        <v/>
      </c>
      <c r="AB329" s="7" t="inlineStr">
        <is>
          <t>^Warhead_Demolition_Light, ^Warhead_Flame_Medium, ^Warhead_Laser_Heavy</t>
        </is>
      </c>
    </row>
    <row r="330">
      <c r="B330" s="7" t="inlineStr">
        <is>
          <t xml:space="preserve">  ↳ RA2Comet_elite</t>
        </is>
      </c>
      <c r="C330" s="7" t="inlineStr">
        <is>
          <t>Armament@elite</t>
        </is>
      </c>
      <c r="L330" s="6" t="n">
        <v>60000</v>
      </c>
      <c r="M330" s="6" t="n">
        <v>125</v>
      </c>
      <c r="N330" s="6" t="n">
        <v>1</v>
      </c>
      <c r="O330" s="6" t="n"/>
      <c r="P330" s="6" t="n">
        <v>12345</v>
      </c>
      <c r="Q330" s="6" t="n">
        <v>1</v>
      </c>
      <c r="R330">
        <f>M330+IF(N330&gt;1,N(O330)*(N330-1),0)</f>
        <v/>
      </c>
      <c r="S330">
        <f>IFERROR(L330*MAX(N330,1)/R330*IF(ISBLANK(K326),1,K326),0)</f>
        <v/>
      </c>
      <c r="AB330" s="7" t="inlineStr">
        <is>
          <t>^Warhead_Demolition_Light, ^Warhead_Flame_Medium, ^Warhead_Laser_Heavy</t>
        </is>
      </c>
    </row>
    <row r="331">
      <c r="A331" t="inlineStr">
        <is>
          <t>redalert2</t>
        </is>
      </c>
      <c r="B331" t="inlineStr">
        <is>
          <t>ra2_allies_tankdestroyer</t>
        </is>
      </c>
      <c r="C331" t="inlineStr">
        <is>
          <t>Tank Destroyer</t>
        </is>
      </c>
      <c r="D331" s="6" t="inlineStr">
        <is>
          <t>TankDestroyer</t>
        </is>
      </c>
      <c r="E331" s="6" t="n">
        <v>145000</v>
      </c>
      <c r="F331" s="6" t="n">
        <v>65</v>
      </c>
      <c r="G331" t="inlineStr">
        <is>
          <t>Heavy</t>
        </is>
      </c>
      <c r="H331" s="6" t="n">
        <v>0.8639</v>
      </c>
      <c r="I331" s="6" t="n">
        <v>1</v>
      </c>
      <c r="J331" s="6" t="n">
        <v>1</v>
      </c>
      <c r="K331" s="6" t="n"/>
      <c r="P331">
        <f>MAX(P332,P333)</f>
        <v/>
      </c>
      <c r="S331">
        <f>S332+S333</f>
        <v/>
      </c>
      <c r="T331">
        <f>(E331/100000+F331/100+(P331/1000)*J331/5+S331/200)*200*I331*H331</f>
        <v/>
      </c>
      <c r="U331">
        <f>((E331*F331/25000)+((P331/1000)*J331*S331/2.5))*I331*H331</f>
        <v/>
      </c>
      <c r="V331">
        <f>(E331*F331*(P331/1000)*J331*S331*I331*H331)/12500000</f>
        <v/>
      </c>
      <c r="W331">
        <f>(((E331/150000)+(F331/70)+(S331/900)+((P331/7500)*J331))*600/4+(((E331/150000)*(F331/70))+(((P331/7500)*J331)*(S331/900)))*600/2+((E331/150000)*(F331/70)*((P331/7500)*J331)*(S331/900))*600)*(H331/1.0)/3</f>
        <v/>
      </c>
      <c r="X331" s="6" t="n">
        <v>1500</v>
      </c>
      <c r="Y331">
        <f>IFERROR(W331-X331,"")</f>
        <v/>
      </c>
      <c r="Z331">
        <f>IFERROR(ABS(Y331)/MAX(X331,1),"")</f>
        <v/>
      </c>
      <c r="AA331">
        <f>IFERROR(ROUND(((3*X331-(((E331/150000)+(F331/70)+(S331/900))*600/4+((E331/150000)*(F331/70))*600/2)*(H331/1.0))/(600/4+((S331/900))*600/2+((E331/150000)*(F331/70)*(S331/900))*600)*(H331/1.0)*7500)/J331,-1),"")</f>
        <v/>
      </c>
    </row>
    <row r="332">
      <c r="B332" s="7" t="inlineStr">
        <is>
          <t xml:space="preserve">  ↳ RA2sabot</t>
        </is>
      </c>
      <c r="C332" s="7" t="inlineStr">
        <is>
          <t>Armament</t>
        </is>
      </c>
      <c r="L332" s="6" t="n">
        <v>80000</v>
      </c>
      <c r="M332" s="6" t="n">
        <v>160</v>
      </c>
      <c r="N332" s="6" t="n">
        <v>1</v>
      </c>
      <c r="O332" s="6" t="n"/>
      <c r="P332" s="6" t="n">
        <v>7040</v>
      </c>
      <c r="Q332" s="6" t="n">
        <v>0.75</v>
      </c>
      <c r="R332">
        <f>M332+IF(N332&gt;1,N(O332)*(N332-1),0)</f>
        <v/>
      </c>
      <c r="S332">
        <f>IFERROR(L332*MAX(N332,1)/R332*IF(ISBLANK(K331),1,K331),0)</f>
        <v/>
      </c>
      <c r="AB332" s="7" t="inlineStr">
        <is>
          <t>^Warhead_CannonAP_Light</t>
        </is>
      </c>
    </row>
    <row r="333">
      <c r="B333" s="7" t="inlineStr">
        <is>
          <t xml:space="preserve">  ↳ RA2sabot_elite</t>
        </is>
      </c>
      <c r="C333" s="7" t="inlineStr">
        <is>
          <t>Armament@elite</t>
        </is>
      </c>
      <c r="L333" s="6" t="n">
        <v>160000</v>
      </c>
      <c r="M333" s="6" t="n">
        <v>160</v>
      </c>
      <c r="N333" s="6" t="n">
        <v>1</v>
      </c>
      <c r="O333" s="6" t="n"/>
      <c r="P333" s="6" t="n">
        <v>8040</v>
      </c>
      <c r="Q333" s="6" t="n">
        <v>0.75</v>
      </c>
      <c r="R333">
        <f>M333+IF(N333&gt;1,N(O333)*(N333-1),0)</f>
        <v/>
      </c>
      <c r="S333">
        <f>IFERROR(L333*MAX(N333,1)/R333*IF(ISBLANK(K331),1,K331),0)</f>
        <v/>
      </c>
      <c r="AB333" s="7" t="inlineStr">
        <is>
          <t>^Warhead_CannonAP_Light</t>
        </is>
      </c>
    </row>
    <row r="334">
      <c r="A334" s="4" t="inlineStr">
        <is>
          <t>AIRCRAFT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t="inlineStr">
        <is>
          <t>redalert2</t>
        </is>
      </c>
      <c r="B335" t="inlineStr">
        <is>
          <t>ra2_allies_blackeagle</t>
        </is>
      </c>
      <c r="C335" t="inlineStr">
        <is>
          <t>Black Eagle</t>
        </is>
      </c>
      <c r="D335" s="6" t="inlineStr">
        <is>
          <t>Bomber</t>
        </is>
      </c>
      <c r="E335" s="6" t="n">
        <v>85000</v>
      </c>
      <c r="F335" s="6" t="n">
        <v>150</v>
      </c>
      <c r="G335" t="inlineStr">
        <is>
          <t>Bomber</t>
        </is>
      </c>
      <c r="H335" s="6" t="n">
        <v>0.75</v>
      </c>
      <c r="I335" s="6" t="n">
        <v>1</v>
      </c>
      <c r="J335" s="6" t="n">
        <v>1</v>
      </c>
      <c r="K335" s="6" t="n"/>
      <c r="P335">
        <f>MAX(P336,P337,P338,P339)</f>
        <v/>
      </c>
      <c r="S335">
        <f>S336+S337+S338+S339</f>
        <v/>
      </c>
      <c r="T335">
        <f>(E335/100000+F335/100+(P335/1000)*J335/5+S335/200)*200*I335*H335</f>
        <v/>
      </c>
      <c r="U335">
        <f>((E335*F335/25000)+((P335/1000)*J335*S335/2.5))*I335*H335</f>
        <v/>
      </c>
      <c r="V335">
        <f>(E335*F335*(P335/1000)*J335*S335*I335*H335)/12500000</f>
        <v/>
      </c>
      <c r="W335">
        <f>(T335+U335+V335)/3</f>
        <v/>
      </c>
      <c r="X335" s="6" t="n">
        <v>3000</v>
      </c>
      <c r="Y335">
        <f>IFERROR(W335-X335,"")</f>
        <v/>
      </c>
      <c r="Z335">
        <f>IFERROR(ABS(Y335)/MAX(X335,1),"")</f>
        <v/>
      </c>
      <c r="AA335">
        <f>IFERROR((X335-(((E335/100000+F335/100+S335/200)*200*I335*H335)+((E335*F335/25000)*I335*H335))/3)/(((J335/5)*200*I335*H335)+((J335*S335/2.5)*I335*H335)+((E335*F335*J335*S335*I335*H335)/12500000))/3*1000,"")</f>
        <v/>
      </c>
    </row>
    <row r="336">
      <c r="B336" s="7" t="inlineStr">
        <is>
          <t xml:space="preserve">  ↳ BlackEagleMissiles</t>
        </is>
      </c>
      <c r="C336" s="7" t="inlineStr">
        <is>
          <t>Armament@PRIMARY</t>
        </is>
      </c>
      <c r="L336" s="6" t="n">
        <v>48000</v>
      </c>
      <c r="M336" s="6" t="n">
        <v>50</v>
      </c>
      <c r="N336" s="6" t="n">
        <v>4</v>
      </c>
      <c r="O336" s="6" t="n">
        <v>2</v>
      </c>
      <c r="P336" s="6" t="n">
        <v>9000</v>
      </c>
      <c r="Q336" s="6" t="n">
        <v>1</v>
      </c>
      <c r="R336">
        <f>M336+IF(N336&gt;1,N(O336)*(N336-1),0)</f>
        <v/>
      </c>
      <c r="S336">
        <f>IFERROR(L336*MAX(N336,1)/R336*IF(ISBLANK(K335),1,K335),0)</f>
        <v/>
      </c>
      <c r="AB336" s="7" t="inlineStr">
        <is>
          <t>^Warhead_Demolition_Light, ^Warhead_Demolition_Heavy, ^Warhead_MissileAP_Medium</t>
        </is>
      </c>
    </row>
    <row r="337">
      <c r="B337" s="7" t="inlineStr">
        <is>
          <t xml:space="preserve">  ↳ BlackEagleMissiles_elite</t>
        </is>
      </c>
      <c r="C337" s="7" t="inlineStr">
        <is>
          <t>Armament@PRIMARYELITE</t>
        </is>
      </c>
      <c r="L337" s="6" t="n">
        <v>48000</v>
      </c>
      <c r="M337" s="6" t="n">
        <v>50</v>
      </c>
      <c r="N337" s="6" t="n">
        <v>8</v>
      </c>
      <c r="O337" s="6" t="n">
        <v>2</v>
      </c>
      <c r="P337" s="6" t="n">
        <v>10000</v>
      </c>
      <c r="Q337" s="6" t="n">
        <v>1</v>
      </c>
      <c r="R337">
        <f>M337+IF(N337&gt;1,N(O337)*(N337-1),0)</f>
        <v/>
      </c>
      <c r="S337">
        <f>IFERROR(L337*MAX(N337,1)/R337*IF(ISBLANK(K335),1,K335),0)</f>
        <v/>
      </c>
      <c r="AB337" s="7" t="inlineStr">
        <is>
          <t>^Warhead_Demolition_Light, ^Warhead_Demolition_Heavy, ^Warhead_MissileAP_Medium</t>
        </is>
      </c>
    </row>
    <row r="338">
      <c r="B338" s="7" t="inlineStr">
        <is>
          <t xml:space="preserve">  ↳ BlackEagleThunderboltMissiles</t>
        </is>
      </c>
      <c r="C338" s="7" t="inlineStr">
        <is>
          <t>Armament@PRIMARYUPGRADE</t>
        </is>
      </c>
      <c r="L338" s="6" t="n">
        <v>54000</v>
      </c>
      <c r="M338" s="6" t="n">
        <v>50</v>
      </c>
      <c r="N338" s="6" t="n">
        <v>4</v>
      </c>
      <c r="O338" s="6" t="n">
        <v>2</v>
      </c>
      <c r="P338" s="6" t="n">
        <v>9000</v>
      </c>
      <c r="Q338" s="6" t="n">
        <v>0.75</v>
      </c>
      <c r="R338">
        <f>M338+IF(N338&gt;1,N(O338)*(N338-1),0)</f>
        <v/>
      </c>
      <c r="S338">
        <f>IFERROR(L338*MAX(N338,1)/R338*IF(ISBLANK(K335),1,K335),0)</f>
        <v/>
      </c>
      <c r="AB338" s="7" t="inlineStr">
        <is>
          <t>^Warhead_MissileAP_Light</t>
        </is>
      </c>
    </row>
    <row r="339">
      <c r="B339" s="7" t="inlineStr">
        <is>
          <t xml:space="preserve">  ↳ BlackEagleThunderboltMissiles_elite</t>
        </is>
      </c>
      <c r="C339" s="7" t="inlineStr">
        <is>
          <t>Armament@PRIMARYELITEUpgrade</t>
        </is>
      </c>
      <c r="L339" s="6" t="n">
        <v>54000</v>
      </c>
      <c r="M339" s="6" t="n">
        <v>50</v>
      </c>
      <c r="N339" s="6" t="n">
        <v>8</v>
      </c>
      <c r="O339" s="6" t="n">
        <v>2</v>
      </c>
      <c r="P339" s="6" t="n">
        <v>10000</v>
      </c>
      <c r="Q339" s="6" t="n">
        <v>0.75</v>
      </c>
      <c r="R339">
        <f>M339+IF(N339&gt;1,N(O339)*(N339-1),0)</f>
        <v/>
      </c>
      <c r="S339">
        <f>IFERROR(L339*MAX(N339,1)/R339*IF(ISBLANK(K335),1,K335),0)</f>
        <v/>
      </c>
      <c r="AB339" s="7" t="inlineStr">
        <is>
          <t>^Warhead_MissileAP_Light</t>
        </is>
      </c>
    </row>
    <row r="340">
      <c r="A340" t="inlineStr">
        <is>
          <t>redalert2</t>
        </is>
      </c>
      <c r="B340" t="inlineStr">
        <is>
          <t>ra2_allies_harrier</t>
        </is>
      </c>
      <c r="C340" t="inlineStr">
        <is>
          <t>Harrier</t>
        </is>
      </c>
      <c r="D340" s="6" t="inlineStr">
        <is>
          <t>Fighter</t>
        </is>
      </c>
      <c r="E340" s="6" t="n">
        <v>72000</v>
      </c>
      <c r="F340" s="6" t="n">
        <v>180</v>
      </c>
      <c r="G340" t="inlineStr">
        <is>
          <t>Fighter</t>
        </is>
      </c>
      <c r="H340" s="6" t="n">
        <v>1</v>
      </c>
      <c r="I340" s="6" t="n">
        <v>1</v>
      </c>
      <c r="J340" s="6" t="n">
        <v>1</v>
      </c>
      <c r="K340" s="6" t="n">
        <v>0.0075</v>
      </c>
      <c r="P340">
        <f>MAX(P341,P342)</f>
        <v/>
      </c>
      <c r="S340">
        <f>S341+S342</f>
        <v/>
      </c>
      <c r="T340">
        <f>(E340/100000+F340/100+(P340/1000)*J340/5+S340/200)*200*I340*H340</f>
        <v/>
      </c>
      <c r="U340">
        <f>((E340*F340/25000)+((P340/1000)*J340*S340/2.5))*I340*H340</f>
        <v/>
      </c>
      <c r="V340">
        <f>(E340*F340*(P340/1000)*J340*S340*I340*H340)/12500000</f>
        <v/>
      </c>
      <c r="W340">
        <f>(T340+U340+V340)/3</f>
        <v/>
      </c>
      <c r="X340" s="6" t="n">
        <v>2100</v>
      </c>
      <c r="Y340">
        <f>IFERROR(W340-X340,"")</f>
        <v/>
      </c>
      <c r="Z340">
        <f>IFERROR(ABS(Y340)/MAX(X340,1),"")</f>
        <v/>
      </c>
      <c r="AA340">
        <f>IFERROR((X340-(((E340/100000+F340/100+S340/200)*200*I340*H340)+((E340*F340/25000)*I340*H340))/3)/(((J340/5)*200*I340*H340)+((J340*S340/2.5)*I340*H340)+((E340*F340*J340*S340*I340*H340)/12500000))/3*1000,"")</f>
        <v/>
      </c>
    </row>
    <row r="341">
      <c r="B341" s="7" t="inlineStr">
        <is>
          <t xml:space="preserve">  ↳ HarrierMissiles</t>
        </is>
      </c>
      <c r="C341" s="7" t="inlineStr">
        <is>
          <t>Armament@PRIMARY</t>
        </is>
      </c>
      <c r="L341" s="6" t="n">
        <v>24000</v>
      </c>
      <c r="M341" s="6" t="n">
        <v>104</v>
      </c>
      <c r="N341" s="6" t="n">
        <v>4</v>
      </c>
      <c r="O341" s="6" t="n">
        <v>2</v>
      </c>
      <c r="P341" s="6" t="n">
        <v>5555</v>
      </c>
      <c r="Q341" s="6" t="n">
        <v>1</v>
      </c>
      <c r="R341">
        <f>M341+IF(N341&gt;1,N(O341)*(N341-1),0)</f>
        <v/>
      </c>
      <c r="S341">
        <f>IFERROR(L341*MAX(N341,1)/R341*IF(ISBLANK(K340),1,K340),0)</f>
        <v/>
      </c>
      <c r="AB341" s="7" t="inlineStr">
        <is>
          <t>^Warhead_MissileAP_Medium</t>
        </is>
      </c>
    </row>
    <row r="342">
      <c r="B342" s="7" t="inlineStr">
        <is>
          <t xml:space="preserve">  ↳ HarrierMissiles_elite</t>
        </is>
      </c>
      <c r="C342" s="7" t="inlineStr">
        <is>
          <t>Armament@PRIMARYELITE</t>
        </is>
      </c>
      <c r="L342" s="6" t="n">
        <v>24000</v>
      </c>
      <c r="M342" s="6" t="n">
        <v>104</v>
      </c>
      <c r="N342" s="6" t="n">
        <v>8</v>
      </c>
      <c r="O342" s="6" t="n">
        <v>2</v>
      </c>
      <c r="P342" s="6" t="n">
        <v>6666</v>
      </c>
      <c r="Q342" s="6" t="n">
        <v>1</v>
      </c>
      <c r="R342">
        <f>M342+IF(N342&gt;1,N(O342)*(N342-1),0)</f>
        <v/>
      </c>
      <c r="S342">
        <f>IFERROR(L342*MAX(N342,1)/R342*IF(ISBLANK(K340),1,K340),0)</f>
        <v/>
      </c>
      <c r="AB342" s="7" t="inlineStr">
        <is>
          <t>^Warhead_MissileAP_Medium</t>
        </is>
      </c>
    </row>
    <row r="343">
      <c r="A343" t="inlineStr">
        <is>
          <t>redalert2</t>
        </is>
      </c>
      <c r="B343" t="inlineStr">
        <is>
          <t>ra2_allies_nighthawk</t>
        </is>
      </c>
      <c r="C343" t="inlineStr">
        <is>
          <t>Night Hawk</t>
        </is>
      </c>
      <c r="D343" s="6" t="inlineStr">
        <is>
          <t>Helicopter</t>
        </is>
      </c>
      <c r="E343" s="6" t="n">
        <v>87500</v>
      </c>
      <c r="F343" s="6" t="n">
        <v>120</v>
      </c>
      <c r="G343" t="inlineStr">
        <is>
          <t>Helicopter</t>
        </is>
      </c>
      <c r="H343" s="6" t="n">
        <v>1</v>
      </c>
      <c r="I343" s="6" t="n">
        <v>1.25</v>
      </c>
      <c r="J343" s="6" t="n">
        <v>1</v>
      </c>
      <c r="K343" s="6" t="n">
        <v>0.005</v>
      </c>
      <c r="P343">
        <f>MAX(P344)</f>
        <v/>
      </c>
      <c r="S343">
        <f>S344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(T343+U343+V343)/3</f>
        <v/>
      </c>
      <c r="X343" s="6" t="n">
        <v>2100</v>
      </c>
      <c r="Y343">
        <f>IFERROR(W343-X343,"")</f>
        <v/>
      </c>
      <c r="Z343">
        <f>IFERROR(ABS(Y343)/MAX(X343,1),"")</f>
        <v/>
      </c>
      <c r="AA343">
        <f>IFERROR((X343-(((E343/100000+F343/100+S343/200)*200*I343*H343)+((E343*F343/25000)*I343*H343))/3)/(((J343/5)*200*I343*H343)+((J343*S343/2.5)*I343*H343)+((E343*F343*J343*S343*I343*H343)/12500000))/3*1000,"")</f>
        <v/>
      </c>
    </row>
    <row r="344">
      <c r="B344" s="7" t="inlineStr">
        <is>
          <t xml:space="preserve">  ↳ BlackHawkCannon</t>
        </is>
      </c>
      <c r="C344" s="7" t="inlineStr">
        <is>
          <t>Armament@PRIMARY</t>
        </is>
      </c>
      <c r="L344" s="6" t="n">
        <v>4000</v>
      </c>
      <c r="M344" s="6" t="n">
        <v>3</v>
      </c>
      <c r="N344" s="6" t="n">
        <v>1</v>
      </c>
      <c r="O344" s="6" t="n"/>
      <c r="P344" s="6" t="n">
        <v>4750</v>
      </c>
      <c r="Q344" s="6" t="n">
        <v>0.875</v>
      </c>
      <c r="R344">
        <f>M344+IF(N344&gt;1,N(O344)*(N344-1),0)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A345" s="4" t="inlineStr">
        <is>
          <t>NAVAL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t="inlineStr">
        <is>
          <t>redalert2</t>
        </is>
      </c>
      <c r="B346" t="inlineStr">
        <is>
          <t>ra2_allies_aegiscruiser</t>
        </is>
      </c>
      <c r="C346" t="inlineStr">
        <is>
          <t>actor_aegis.name</t>
        </is>
      </c>
      <c r="D346" s="6" t="inlineStr">
        <is>
          <t>BattleShip</t>
        </is>
      </c>
      <c r="E346" s="6" t="n">
        <v>90000</v>
      </c>
      <c r="F346" s="6" t="n">
        <v>90</v>
      </c>
      <c r="G346" t="inlineStr">
        <is>
          <t>Medium</t>
        </is>
      </c>
      <c r="H346" s="6" t="n">
        <v>0.8639</v>
      </c>
      <c r="I346" s="6" t="n">
        <v>1</v>
      </c>
      <c r="J346" s="6" t="n">
        <v>1</v>
      </c>
      <c r="K346" s="6" t="n"/>
      <c r="P346">
        <f>MAX(P347,P348)</f>
        <v/>
      </c>
      <c r="S346">
        <f>S347+S348</f>
        <v/>
      </c>
      <c r="T346">
        <f>(E346/100000+F346/100+(P346/1000)*J346/5+S346/200)*200*I346*H346</f>
        <v/>
      </c>
      <c r="U346">
        <f>((E346*F346/25000)+((P346/1000)*J346*S346/2.5))*I346*H346</f>
        <v/>
      </c>
      <c r="V346">
        <f>(E346*F346*(P346/1000)*J346*S346*I346*H346)/12500000</f>
        <v/>
      </c>
      <c r="W346">
        <f>(T346+U346+V346)/3</f>
        <v/>
      </c>
      <c r="X346" s="6" t="n">
        <v>1500</v>
      </c>
      <c r="Y346">
        <f>IFERROR(W346-X346,"")</f>
        <v/>
      </c>
      <c r="Z346">
        <f>IFERROR(ABS(Y346)/MAX(X346,1),"")</f>
        <v/>
      </c>
      <c r="AA346">
        <f>IFERROR((X346-(((E346/100000+F346/100+S346/200)*200*I346*H346)+((E346*F346/25000)*I346*H346))/3)/(((J346/5)*200*I346*H346)+((J346*S346/2.5)*I346*H346)+((E346*F346*J346*S346*I346*H346)/12500000))/3*1000,"")</f>
        <v/>
      </c>
    </row>
    <row r="347">
      <c r="B347" s="7" t="inlineStr">
        <is>
          <t xml:space="preserve">  ↳ RA2Medusa_AA</t>
        </is>
      </c>
      <c r="C347" s="7" t="inlineStr">
        <is>
          <t>Armament@AA</t>
        </is>
      </c>
      <c r="L347" s="6" t="n">
        <v>30000</v>
      </c>
      <c r="M347" s="6" t="n">
        <v>100</v>
      </c>
      <c r="N347" s="6" t="n">
        <v>3</v>
      </c>
      <c r="O347" s="6" t="n">
        <v>13</v>
      </c>
      <c r="P347" s="6" t="n">
        <v>13500</v>
      </c>
      <c r="Q347" s="6" t="n">
        <v>1</v>
      </c>
      <c r="R347">
        <f>M347+IF(N347&gt;1,N(O347)*(N347-1),0)</f>
        <v/>
      </c>
      <c r="S347">
        <f>IFERROR(L347*MAX(N347,1)/R347*IF(ISBLANK(K346),1,K346),0)</f>
        <v/>
      </c>
      <c r="AB347" s="7" t="inlineStr">
        <is>
          <t>^Warhead_MissileAP_Medium</t>
        </is>
      </c>
    </row>
    <row r="348">
      <c r="B348" s="7" t="inlineStr">
        <is>
          <t xml:space="preserve">  ↳ RA2MedusaAG</t>
        </is>
      </c>
      <c r="C348" s="7" t="inlineStr">
        <is>
          <t>Armament@AG</t>
        </is>
      </c>
      <c r="L348" s="6" t="n">
        <v>30000</v>
      </c>
      <c r="M348" s="6" t="n">
        <v>100</v>
      </c>
      <c r="N348" s="6" t="n">
        <v>3</v>
      </c>
      <c r="O348" s="6" t="n">
        <v>13</v>
      </c>
      <c r="P348" s="6" t="n">
        <v>9000</v>
      </c>
      <c r="Q348" s="6" t="n">
        <v>1</v>
      </c>
      <c r="R348">
        <f>M348+IF(N348&gt;1,N(O348)*(N348-1),0)</f>
        <v/>
      </c>
      <c r="S348">
        <f>IFERROR(L348*MAX(N348,1)/R348*IF(ISBLANK(K346),1,K346),0)</f>
        <v/>
      </c>
      <c r="AB348" s="7" t="inlineStr">
        <is>
          <t>^Warhead_MissileAP_Medium</t>
        </is>
      </c>
    </row>
    <row r="349">
      <c r="A349" s="4" t="inlineStr">
        <is>
          <t>DEFENSES</t>
        </is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t="inlineStr">
        <is>
          <t>redalert2</t>
        </is>
      </c>
      <c r="B350" t="inlineStr">
        <is>
          <t>ra2_allies_chronosphere</t>
        </is>
      </c>
      <c r="C350" t="inlineStr">
        <is>
          <t>Chronosphere</t>
        </is>
      </c>
      <c r="D350" s="6" t="inlineStr">
        <is>
          <t>Defense</t>
        </is>
      </c>
      <c r="E350" s="6" t="n">
        <v>1000000</v>
      </c>
      <c r="F350" s="6" t="n">
        <v>100</v>
      </c>
      <c r="G350" t="inlineStr">
        <is>
          <t>Concrete</t>
        </is>
      </c>
      <c r="H350" s="6" t="n">
        <v>0.5669999999999999</v>
      </c>
      <c r="I350" s="6" t="n">
        <v>1</v>
      </c>
      <c r="J350" s="6" t="n">
        <v>1</v>
      </c>
      <c r="K350" s="6" t="n"/>
      <c r="X350" s="6" t="n">
        <v>5000</v>
      </c>
    </row>
    <row r="351">
      <c r="A351" t="inlineStr">
        <is>
          <t>redalert2</t>
        </is>
      </c>
      <c r="B351" t="inlineStr">
        <is>
          <t>ra2_allies_concretebarrier</t>
        </is>
      </c>
      <c r="C351" t="inlineStr">
        <is>
          <t>Concrete Barrier</t>
        </is>
      </c>
      <c r="D351" s="6" t="inlineStr">
        <is>
          <t>Defense</t>
        </is>
      </c>
      <c r="E351" s="6" t="n">
        <v>100000</v>
      </c>
      <c r="F351" s="6" t="n">
        <v>100</v>
      </c>
      <c r="G351" t="inlineStr">
        <is>
          <t>Concrete</t>
        </is>
      </c>
      <c r="H351" s="6" t="n">
        <v>1</v>
      </c>
      <c r="I351" s="6" t="n">
        <v>1</v>
      </c>
      <c r="J351" s="6" t="n">
        <v>1</v>
      </c>
      <c r="K351" s="6" t="n"/>
      <c r="X351" s="6" t="n">
        <v>200</v>
      </c>
    </row>
    <row r="352">
      <c r="A352" t="inlineStr">
        <is>
          <t>redalert2</t>
        </is>
      </c>
      <c r="B352" t="inlineStr">
        <is>
          <t>ra2_allies_gapgenerator</t>
        </is>
      </c>
      <c r="C352" t="inlineStr">
        <is>
          <t>Gap Generator</t>
        </is>
      </c>
      <c r="D352" s="6" t="inlineStr">
        <is>
          <t>AdvancedDefense</t>
        </is>
      </c>
      <c r="E352" s="6" t="n">
        <v>50000</v>
      </c>
      <c r="F352" s="6" t="n">
        <v>100</v>
      </c>
      <c r="G352" t="inlineStr">
        <is>
          <t>Steel</t>
        </is>
      </c>
      <c r="H352" s="6" t="n">
        <v>0.5669999999999999</v>
      </c>
      <c r="I352" s="6" t="n">
        <v>1</v>
      </c>
      <c r="J352" s="6" t="n">
        <v>1</v>
      </c>
      <c r="K352" s="6" t="n"/>
      <c r="X352" s="6" t="n">
        <v>5000</v>
      </c>
    </row>
    <row r="353">
      <c r="A353" t="inlineStr">
        <is>
          <t>redalert2</t>
        </is>
      </c>
      <c r="B353" t="inlineStr">
        <is>
          <t>ra2_allies_grandcannon</t>
        </is>
      </c>
      <c r="C353" t="inlineStr">
        <is>
          <t>Grand Cannon</t>
        </is>
      </c>
      <c r="D353" s="6" t="inlineStr">
        <is>
          <t>AdvancedDefense</t>
        </is>
      </c>
      <c r="E353" s="6" t="n">
        <v>250000</v>
      </c>
      <c r="F353" s="6" t="n">
        <v>100</v>
      </c>
      <c r="G353" t="inlineStr">
        <is>
          <t>Steel</t>
        </is>
      </c>
      <c r="H353" s="6" t="n">
        <v>1</v>
      </c>
      <c r="I353" s="6" t="n">
        <v>0.325</v>
      </c>
      <c r="J353" s="6" t="n">
        <v>1</v>
      </c>
      <c r="K353" s="6" t="n"/>
      <c r="P353">
        <f>MAX(P354)</f>
        <v/>
      </c>
      <c r="S353">
        <f>S354</f>
        <v/>
      </c>
      <c r="T353">
        <f>(E353/100000+F353/100+(P353/1000)*J353/5+S353/200)*200*I353*H353</f>
        <v/>
      </c>
      <c r="U353">
        <f>((E353*F353/25000)+((P353/1000)*J353*S353/2.5))*I353*H353</f>
        <v/>
      </c>
      <c r="V353">
        <f>(E353*F353*(P353/1000)*J353*S353*I353*H353)/12500000</f>
        <v/>
      </c>
      <c r="W353">
        <f>(T353+U353+V353)/3</f>
        <v/>
      </c>
      <c r="X353" s="6" t="n">
        <v>5000</v>
      </c>
      <c r="Y353">
        <f>IFERROR(W353-X353,"")</f>
        <v/>
      </c>
      <c r="Z353">
        <f>IFERROR(ABS(Y353)/MAX(X353,1),"")</f>
        <v/>
      </c>
      <c r="AA353">
        <f>IFERROR((X353-(((E353/100000+F353/100+S353/200)*200*I353*H353)+((E353*F353/25000)*I353*H353))/3)/(((J353/5)*200*I353*H353)+((J353*S353/2.5)*I353*H353)+((E353*F353*J353*S353*I353*H353)/12500000))/3*1000,"")</f>
        <v/>
      </c>
    </row>
    <row r="354">
      <c r="B354" s="7" t="inlineStr">
        <is>
          <t xml:space="preserve">  ↳ RA2GrandCannonWeapon</t>
        </is>
      </c>
      <c r="C354" s="7" t="inlineStr">
        <is>
          <t>Armament</t>
        </is>
      </c>
      <c r="L354" s="6" t="n">
        <v>300000</v>
      </c>
      <c r="M354" s="6" t="n">
        <v>200</v>
      </c>
      <c r="N354" s="6" t="n">
        <v>1</v>
      </c>
      <c r="O354" s="6" t="n"/>
      <c r="P354" s="6" t="n">
        <v>11800</v>
      </c>
      <c r="Q354" s="6" t="n">
        <v>1</v>
      </c>
      <c r="R354">
        <f>M354+IF(N354&gt;1,N(O354)*(N354-1),0)</f>
        <v/>
      </c>
      <c r="S354">
        <f>IFERROR(L354*MAX(N354,1)/R354*IF(ISBLANK(K353),1,K353),0)</f>
        <v/>
      </c>
      <c r="AB354" s="7" t="inlineStr">
        <is>
          <t>^Warhead_CannonHE_Heavy, ^Warhead_Demolition_Light</t>
        </is>
      </c>
    </row>
    <row r="355">
      <c r="A355" t="inlineStr">
        <is>
          <t>redalert2</t>
        </is>
      </c>
      <c r="B355" t="inlineStr">
        <is>
          <t>ra2_allies_patriotmissilesystem</t>
        </is>
      </c>
      <c r="C355" t="inlineStr">
        <is>
          <t>Patriot Missile System</t>
        </is>
      </c>
      <c r="D355" s="6" t="inlineStr">
        <is>
          <t>AntiAirDefense</t>
        </is>
      </c>
      <c r="E355" s="6" t="n">
        <v>90000</v>
      </c>
      <c r="F355" s="6" t="n">
        <v>100</v>
      </c>
      <c r="G355" t="inlineStr">
        <is>
          <t>Concrete</t>
        </is>
      </c>
      <c r="H355" s="6" t="n">
        <v>1</v>
      </c>
      <c r="I355" s="6" t="n">
        <v>0.225</v>
      </c>
      <c r="J355" s="6" t="n">
        <v>1</v>
      </c>
      <c r="K355" s="6" t="n"/>
      <c r="P355">
        <f>MAX(P356,P357)</f>
        <v/>
      </c>
      <c r="S355">
        <f>S356+S357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(T355+U355+V355)/3</f>
        <v/>
      </c>
      <c r="X355" s="6" t="n">
        <v>800</v>
      </c>
      <c r="Y355">
        <f>IFERROR(W355-X355,"")</f>
        <v/>
      </c>
      <c r="Z355">
        <f>IFERROR(ABS(Y355)/MAX(X355,1),"")</f>
        <v/>
      </c>
      <c r="AA355">
        <f>IFERROR((X355-(((E355/100000+F355/100+S355/200)*200*I355*H355)+((E355*F355/25000)*I355*H355))/3)/(((J355/5)*200*I355*H355)+((J355*S355/2.5)*I355*H355)+((E355*F355*J355*S355*I355*H355)/12500000))/3*1000,"")</f>
        <v/>
      </c>
    </row>
    <row r="356">
      <c r="B356" s="7" t="inlineStr">
        <is>
          <t xml:space="preserve">  ↳ RA2Patriot</t>
        </is>
      </c>
      <c r="C356" s="7" t="inlineStr">
        <is>
          <t>Armament</t>
        </is>
      </c>
      <c r="L356" s="6" t="n">
        <v>10000</v>
      </c>
      <c r="M356" s="6" t="n">
        <v>30</v>
      </c>
      <c r="N356" s="6" t="n">
        <v>2</v>
      </c>
      <c r="O356" s="6" t="n">
        <v>6</v>
      </c>
      <c r="P356" s="6" t="n">
        <v>14150</v>
      </c>
      <c r="Q356" s="6" t="n">
        <v>1</v>
      </c>
      <c r="R356">
        <f>M356+IF(N356&gt;1,N(O356)*(N356-1),0)</f>
        <v/>
      </c>
      <c r="S356">
        <f>IFERROR(L356*MAX(N356,1)/R356*IF(ISBLANK(K355),1,K355),0)</f>
        <v/>
      </c>
      <c r="AB356" s="7" t="inlineStr">
        <is>
          <t>^Warhead_MissileAP_Medium</t>
        </is>
      </c>
    </row>
    <row r="357">
      <c r="B357" s="7" t="inlineStr">
        <is>
          <t xml:space="preserve">  ↳ RA2PatriotThunderboltMissile</t>
        </is>
      </c>
      <c r="C357" s="7" t="inlineStr">
        <is>
          <t>Armament@missileeliteThunderbolt</t>
        </is>
      </c>
      <c r="L357" s="6" t="n">
        <v>2000</v>
      </c>
      <c r="M357" s="6" t="n">
        <v>30</v>
      </c>
      <c r="N357" s="6" t="n">
        <v>2</v>
      </c>
      <c r="O357" s="6" t="n">
        <v>6</v>
      </c>
      <c r="P357" s="6" t="n">
        <v>14150</v>
      </c>
      <c r="Q357" s="6" t="n">
        <v>1.25</v>
      </c>
      <c r="R357">
        <f>M357+IF(N357&gt;1,N(O357)*(N357-1),0)</f>
        <v/>
      </c>
      <c r="S357">
        <f>IFERROR(L357*MAX(N357,1)/R357*IF(ISBLANK(K355),1,K355),0)</f>
        <v/>
      </c>
      <c r="AB357" s="7" t="inlineStr">
        <is>
          <t>^Warhead_MissileAA_Heavy</t>
        </is>
      </c>
    </row>
    <row r="358">
      <c r="A358" t="inlineStr">
        <is>
          <t>redalert2</t>
        </is>
      </c>
      <c r="B358" t="inlineStr">
        <is>
          <t>ra2_allies_pillbox</t>
        </is>
      </c>
      <c r="C358" t="inlineStr">
        <is>
          <t>Pillbox</t>
        </is>
      </c>
      <c r="D358" s="6" t="inlineStr">
        <is>
          <t>BasicDefense</t>
        </is>
      </c>
      <c r="E358" s="6" t="n">
        <v>100000</v>
      </c>
      <c r="F358" s="6" t="n">
        <v>100</v>
      </c>
      <c r="G358" t="inlineStr">
        <is>
          <t>Concrete</t>
        </is>
      </c>
      <c r="H358" s="6" t="n">
        <v>1</v>
      </c>
      <c r="I358" s="6" t="n">
        <v>1</v>
      </c>
      <c r="J358" s="6" t="n">
        <v>1</v>
      </c>
      <c r="K358" s="6" t="n"/>
      <c r="X358" s="6" t="n">
        <v>500</v>
      </c>
    </row>
    <row r="359">
      <c r="A359" t="inlineStr">
        <is>
          <t>redalert2</t>
        </is>
      </c>
      <c r="B359" t="inlineStr">
        <is>
          <t>ra2_allies_prismtower</t>
        </is>
      </c>
      <c r="C359" t="inlineStr">
        <is>
          <t>Prism Tower</t>
        </is>
      </c>
      <c r="D359" s="6" t="inlineStr">
        <is>
          <t>AdvancedDefense</t>
        </is>
      </c>
      <c r="E359" s="6" t="n">
        <v>135000</v>
      </c>
      <c r="F359" s="6" t="n">
        <v>100</v>
      </c>
      <c r="G359" t="inlineStr">
        <is>
          <t>Steel</t>
        </is>
      </c>
      <c r="H359" s="6" t="n">
        <v>1</v>
      </c>
      <c r="I359" s="6" t="n">
        <v>0.325</v>
      </c>
      <c r="J359" s="6" t="n">
        <v>1.25</v>
      </c>
      <c r="K359" s="6" t="n"/>
      <c r="P359">
        <f>MAX(P361)</f>
        <v/>
      </c>
      <c r="S359">
        <f>S361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(T359+U359+V359)/3</f>
        <v/>
      </c>
      <c r="X359" s="6" t="n">
        <v>2200</v>
      </c>
      <c r="Y359">
        <f>IFERROR(W359-X359,"")</f>
        <v/>
      </c>
      <c r="Z359">
        <f>IFERROR(ABS(Y359)/MAX(X359,1),"")</f>
        <v/>
      </c>
      <c r="AA359">
        <f>IFERROR((X359-(((E359/100000+F359/100+S359/200)*200*I359*H359)+((E359*F359/25000)*I359*H359))/3)/(((J359/5)*200*I359*H359)+((J359*S359/2.5)*I359*H359)+((E359*F359*J359*S359*I359*H359)/12500000))/3*1000,"")</f>
        <v/>
      </c>
    </row>
    <row r="360">
      <c r="B360" s="7" t="inlineStr">
        <is>
          <t xml:space="preserve">  ↳ PrismCharge</t>
        </is>
      </c>
      <c r="C360" s="7" t="inlineStr">
        <is>
          <t>Armament@Charge</t>
        </is>
      </c>
      <c r="L360" s="6" t="n"/>
      <c r="M360" s="6" t="n">
        <v>3</v>
      </c>
      <c r="N360" s="6" t="n">
        <v>1</v>
      </c>
      <c r="O360" s="6" t="n"/>
      <c r="P360" s="6" t="n">
        <v>9630</v>
      </c>
      <c r="Q360" s="6" t="n">
        <v>1</v>
      </c>
      <c r="R360">
        <f>M360+IF(N360&gt;1,N(O360)*(N360-1),0)</f>
        <v/>
      </c>
      <c r="S360">
        <f>IFERROR(L360*MAX(N360,1)/R360*IF(ISBLANK(K359),1,K359),0)</f>
        <v/>
      </c>
      <c r="AB360" s="7" t="inlineStr"/>
    </row>
    <row r="361">
      <c r="B361" s="7" t="inlineStr">
        <is>
          <t xml:space="preserve">  ↳ RA2Prism</t>
        </is>
      </c>
      <c r="C361" s="7" t="inlineStr">
        <is>
          <t>Armament</t>
        </is>
      </c>
      <c r="L361" s="6" t="n">
        <v>32000</v>
      </c>
      <c r="M361" s="6" t="n">
        <v>3</v>
      </c>
      <c r="N361" s="6" t="n">
        <v>1</v>
      </c>
      <c r="O361" s="6" t="n"/>
      <c r="P361" s="6" t="n">
        <v>9630</v>
      </c>
      <c r="Q361" s="6" t="n">
        <v>1.25</v>
      </c>
      <c r="R361">
        <f>M361+IF(N361&gt;1,N(O361)*(N361-1),0)</f>
        <v/>
      </c>
      <c r="S361">
        <f>IFERROR(L361*MAX(N361,1)/R361*IF(ISBLANK(K359),1,K359),0)</f>
        <v/>
      </c>
      <c r="AB361" s="7" t="inlineStr">
        <is>
          <t>^Warhead_Laser_Heavy</t>
        </is>
      </c>
    </row>
    <row r="362">
      <c r="A362" t="inlineStr">
        <is>
          <t>redalert2</t>
        </is>
      </c>
      <c r="B362" t="inlineStr">
        <is>
          <t>ra2_allies_weathercontrolcenter</t>
        </is>
      </c>
      <c r="C362" t="inlineStr">
        <is>
          <t>Weather Control Center</t>
        </is>
      </c>
      <c r="D362" s="6" t="inlineStr">
        <is>
          <t>Defense</t>
        </is>
      </c>
      <c r="E362" s="6" t="n">
        <v>1000000</v>
      </c>
      <c r="F362" s="6" t="n">
        <v>100</v>
      </c>
      <c r="G362" t="inlineStr">
        <is>
          <t>Concrete</t>
        </is>
      </c>
      <c r="H362" s="6" t="n">
        <v>0.5669999999999999</v>
      </c>
      <c r="I362" s="6" t="n">
        <v>1</v>
      </c>
      <c r="J362" s="6" t="n">
        <v>1</v>
      </c>
      <c r="K362" s="6" t="n"/>
      <c r="X362" s="6" t="n">
        <v>10000</v>
      </c>
    </row>
    <row r="363">
      <c r="A363" s="4" t="inlineStr">
        <is>
          <t>BUILDINGS</t>
        </is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t="inlineStr">
        <is>
          <t>redalert2</t>
        </is>
      </c>
      <c r="B364" t="inlineStr">
        <is>
          <t>ra2_allies_airforcecommandhq</t>
        </is>
      </c>
      <c r="C364" t="inlineStr">
        <is>
          <t>Airforce Command HQ</t>
        </is>
      </c>
      <c r="D364" s="6" t="inlineStr">
        <is>
          <t>Building</t>
        </is>
      </c>
      <c r="E364" s="6" t="n">
        <v>300000</v>
      </c>
      <c r="F364" s="6" t="n"/>
      <c r="G364" t="inlineStr">
        <is>
          <t>Wood</t>
        </is>
      </c>
      <c r="H364" s="6" t="n">
        <v>1</v>
      </c>
      <c r="I364" s="6" t="n">
        <v>1</v>
      </c>
      <c r="J364" s="6" t="n">
        <v>1</v>
      </c>
      <c r="K364" s="6" t="n"/>
      <c r="X364" s="6" t="n">
        <v>2000</v>
      </c>
    </row>
    <row r="365">
      <c r="A365" t="inlineStr">
        <is>
          <t>redalert2</t>
        </is>
      </c>
      <c r="B365" t="inlineStr">
        <is>
          <t>ra2_allies_alliedbarracks</t>
        </is>
      </c>
      <c r="C365" t="inlineStr">
        <is>
          <t>Allied Barracks</t>
        </is>
      </c>
      <c r="D365" s="6" t="inlineStr">
        <is>
          <t>Building</t>
        </is>
      </c>
      <c r="E365" s="6" t="n">
        <v>200000</v>
      </c>
      <c r="F365" s="6" t="n"/>
      <c r="G365" t="inlineStr">
        <is>
          <t>Wood</t>
        </is>
      </c>
      <c r="H365" s="6" t="n">
        <v>1</v>
      </c>
      <c r="I365" s="6" t="n">
        <v>1</v>
      </c>
      <c r="J365" s="6" t="n">
        <v>1</v>
      </c>
      <c r="K365" s="6" t="n"/>
      <c r="X365" s="6" t="n">
        <v>1000</v>
      </c>
    </row>
    <row r="366">
      <c r="A366" t="inlineStr">
        <is>
          <t>redalert2</t>
        </is>
      </c>
      <c r="B366" t="inlineStr">
        <is>
          <t>ra2_allies_alliedbattlelab</t>
        </is>
      </c>
      <c r="C366" t="inlineStr">
        <is>
          <t>Allied Battle Lab</t>
        </is>
      </c>
      <c r="D366" s="6" t="inlineStr">
        <is>
          <t>Building</t>
        </is>
      </c>
      <c r="E366" s="6" t="n">
        <v>500000</v>
      </c>
      <c r="F366" s="6" t="n"/>
      <c r="G366" t="inlineStr">
        <is>
          <t>Concrete</t>
        </is>
      </c>
      <c r="H366" s="6" t="n">
        <v>0.8639</v>
      </c>
      <c r="I366" s="6" t="n">
        <v>1</v>
      </c>
      <c r="J366" s="6" t="n">
        <v>1</v>
      </c>
      <c r="K366" s="6" t="n"/>
      <c r="X366" s="6" t="n">
        <v>5000</v>
      </c>
    </row>
    <row r="367">
      <c r="A367" t="inlineStr">
        <is>
          <t>redalert2</t>
        </is>
      </c>
      <c r="B367" t="inlineStr">
        <is>
          <t>ra2_allies_alliedconstructionyard</t>
        </is>
      </c>
      <c r="C367" t="inlineStr">
        <is>
          <t>Allied Construction Yard</t>
        </is>
      </c>
      <c r="D367" s="6" t="inlineStr">
        <is>
          <t>Building</t>
        </is>
      </c>
      <c r="E367" s="6" t="n">
        <v>1000000</v>
      </c>
      <c r="F367" s="6" t="n"/>
      <c r="G367" t="inlineStr">
        <is>
          <t>Concrete</t>
        </is>
      </c>
      <c r="H367" s="6" t="n">
        <v>1</v>
      </c>
      <c r="I367" s="6" t="n">
        <v>1</v>
      </c>
      <c r="J367" s="6" t="n">
        <v>1</v>
      </c>
      <c r="K367" s="6" t="n"/>
      <c r="X367" s="6" t="n">
        <v>5000</v>
      </c>
    </row>
    <row r="368">
      <c r="A368" t="inlineStr">
        <is>
          <t>redalert2</t>
        </is>
      </c>
      <c r="B368" t="inlineStr">
        <is>
          <t>ra2_allies_alliedorerefinery</t>
        </is>
      </c>
      <c r="C368" t="inlineStr">
        <is>
          <t>Allied Ore Refinery</t>
        </is>
      </c>
      <c r="D368" s="6" t="inlineStr">
        <is>
          <t>Building</t>
        </is>
      </c>
      <c r="E368" s="6" t="n">
        <v>300000</v>
      </c>
      <c r="F368" s="6" t="n"/>
      <c r="G368" t="inlineStr">
        <is>
          <t>Concrete</t>
        </is>
      </c>
      <c r="H368" s="6" t="n">
        <v>1</v>
      </c>
      <c r="I368" s="6" t="n">
        <v>1</v>
      </c>
      <c r="J368" s="6" t="n">
        <v>1</v>
      </c>
      <c r="K368" s="6" t="n"/>
      <c r="X368" s="6" t="n">
        <v>3000</v>
      </c>
    </row>
    <row r="369">
      <c r="A369" t="inlineStr">
        <is>
          <t>redalert2</t>
        </is>
      </c>
      <c r="B369" t="inlineStr">
        <is>
          <t>ra2_allies_alliedpowerplant</t>
        </is>
      </c>
      <c r="C369" t="inlineStr">
        <is>
          <t>Allied Power Plant</t>
        </is>
      </c>
      <c r="D369" s="6" t="inlineStr">
        <is>
          <t>Building</t>
        </is>
      </c>
      <c r="E369" s="6" t="n">
        <v>200000</v>
      </c>
      <c r="F369" s="6" t="n"/>
      <c r="G369" t="inlineStr">
        <is>
          <t>Wood</t>
        </is>
      </c>
      <c r="H369" s="6" t="n">
        <v>1</v>
      </c>
      <c r="I369" s="6" t="n">
        <v>1</v>
      </c>
      <c r="J369" s="6" t="n">
        <v>1</v>
      </c>
      <c r="K369" s="6" t="n"/>
      <c r="X369" s="6" t="n">
        <v>800</v>
      </c>
    </row>
    <row r="370">
      <c r="A370" t="inlineStr">
        <is>
          <t>redalert2</t>
        </is>
      </c>
      <c r="B370" t="inlineStr">
        <is>
          <t>ra2_allies_alliedservicedepot</t>
        </is>
      </c>
      <c r="C370" t="inlineStr">
        <is>
          <t>Allied Service Depot</t>
        </is>
      </c>
      <c r="D370" s="6" t="inlineStr">
        <is>
          <t>Building</t>
        </is>
      </c>
      <c r="E370" s="6" t="n">
        <v>250000</v>
      </c>
      <c r="F370" s="6" t="n"/>
      <c r="G370" t="inlineStr">
        <is>
          <t>Concrete</t>
        </is>
      </c>
      <c r="H370" s="6" t="n">
        <v>0.8639</v>
      </c>
      <c r="I370" s="6" t="n">
        <v>1</v>
      </c>
      <c r="J370" s="6" t="n">
        <v>1</v>
      </c>
      <c r="K370" s="6" t="n"/>
      <c r="X370" s="6" t="n">
        <v>1000</v>
      </c>
    </row>
    <row r="371">
      <c r="A371" t="inlineStr">
        <is>
          <t>redalert2</t>
        </is>
      </c>
      <c r="B371" t="inlineStr">
        <is>
          <t>ra2_allies_alliedwarfactory</t>
        </is>
      </c>
      <c r="C371" t="inlineStr">
        <is>
          <t>Allied War Factory</t>
        </is>
      </c>
      <c r="D371" s="6" t="inlineStr">
        <is>
          <t>Building</t>
        </is>
      </c>
      <c r="E371" s="6" t="n">
        <v>400000</v>
      </c>
      <c r="F371" s="6" t="n"/>
      <c r="G371" t="inlineStr">
        <is>
          <t>Concrete</t>
        </is>
      </c>
      <c r="H371" s="6" t="n">
        <v>1</v>
      </c>
      <c r="I371" s="6" t="n">
        <v>1</v>
      </c>
      <c r="J371" s="6" t="n">
        <v>1</v>
      </c>
      <c r="K371" s="6" t="n"/>
      <c r="X371" s="6" t="n">
        <v>2000</v>
      </c>
    </row>
    <row r="372">
      <c r="A372" t="inlineStr">
        <is>
          <t>redalert2</t>
        </is>
      </c>
      <c r="B372" t="inlineStr">
        <is>
          <t>ra2_allies_orepurifier</t>
        </is>
      </c>
      <c r="C372" t="inlineStr">
        <is>
          <t>Ore Purifier</t>
        </is>
      </c>
      <c r="D372" s="6" t="inlineStr">
        <is>
          <t>Building</t>
        </is>
      </c>
      <c r="E372" s="6" t="n">
        <v>500000</v>
      </c>
      <c r="F372" s="6" t="n"/>
      <c r="G372" t="inlineStr">
        <is>
          <t>Concrete</t>
        </is>
      </c>
      <c r="H372" s="6" t="n">
        <v>0.5669999999999999</v>
      </c>
      <c r="I372" s="6" t="n">
        <v>1</v>
      </c>
      <c r="J372" s="6" t="n">
        <v>1</v>
      </c>
      <c r="K372" s="6" t="n"/>
      <c r="X372" s="6" t="n">
        <v>5000</v>
      </c>
    </row>
    <row r="373">
      <c r="A373" t="inlineStr">
        <is>
          <t>redalert2</t>
        </is>
      </c>
      <c r="B373" t="inlineStr">
        <is>
          <t>ra2_allies_spysatelliteuplink</t>
        </is>
      </c>
      <c r="C373" t="inlineStr">
        <is>
          <t>Spy Satellite Uplink</t>
        </is>
      </c>
      <c r="D373" s="6" t="inlineStr">
        <is>
          <t>Building</t>
        </is>
      </c>
      <c r="E373" s="6" t="n">
        <v>200000</v>
      </c>
      <c r="F373" s="6" t="n"/>
      <c r="G373" t="inlineStr">
        <is>
          <t>Wood</t>
        </is>
      </c>
      <c r="H373" s="6" t="n">
        <v>0.5669999999999999</v>
      </c>
      <c r="I373" s="6" t="n">
        <v>1</v>
      </c>
      <c r="J373" s="6" t="n">
        <v>1</v>
      </c>
      <c r="K373" s="6" t="n"/>
      <c r="X373" s="6" t="n">
        <v>2000</v>
      </c>
    </row>
    <row r="374">
      <c r="A374" s="4" t="inlineStr">
        <is>
          <t>UPGRADES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t="inlineStr">
        <is>
          <t>redalert2</t>
        </is>
      </c>
      <c r="B375" t="inlineStr">
        <is>
          <t>ra2_allies_upgrade_advancedaeronautics</t>
        </is>
      </c>
      <c r="C375" t="inlineStr">
        <is>
          <t>Advanced Aeronautics</t>
        </is>
      </c>
      <c r="D375" s="6" t="inlineStr">
        <is>
          <t>TechUpgrade</t>
        </is>
      </c>
      <c r="E375" s="6" t="n"/>
      <c r="F375" s="6" t="n"/>
      <c r="H375" s="6" t="n">
        <v>0.5669999999999999</v>
      </c>
      <c r="I375" s="6" t="n">
        <v>1</v>
      </c>
      <c r="J375" s="6" t="n">
        <v>1</v>
      </c>
      <c r="K375" s="6" t="n"/>
      <c r="X375" s="6" t="n">
        <v>7500</v>
      </c>
    </row>
    <row r="376">
      <c r="A376" t="inlineStr">
        <is>
          <t>redalert2</t>
        </is>
      </c>
      <c r="B376" t="inlineStr">
        <is>
          <t>ra2_allies_upgrade_assaultsquadtraining</t>
        </is>
      </c>
      <c r="C376" t="inlineStr">
        <is>
          <t>Assault Squad Training</t>
        </is>
      </c>
      <c r="D376" s="6" t="inlineStr">
        <is>
          <t>Doctrine</t>
        </is>
      </c>
      <c r="E376" s="6" t="n"/>
      <c r="F376" s="6" t="n"/>
      <c r="H376" s="6" t="n">
        <v>0.8639</v>
      </c>
      <c r="I376" s="6" t="n">
        <v>1</v>
      </c>
      <c r="J376" s="6" t="n">
        <v>1</v>
      </c>
      <c r="K376" s="6" t="n"/>
      <c r="X376" s="6" t="n">
        <v>5000</v>
      </c>
    </row>
    <row r="377">
      <c r="A377" t="inlineStr">
        <is>
          <t>redalert2</t>
        </is>
      </c>
      <c r="B377" t="inlineStr">
        <is>
          <t>ra2_allies_upgrade_chronoengine</t>
        </is>
      </c>
      <c r="C377" t="inlineStr">
        <is>
          <t>Chrono Engines</t>
        </is>
      </c>
      <c r="D377" s="6" t="inlineStr">
        <is>
          <t>TechUpgrade</t>
        </is>
      </c>
      <c r="E377" s="6" t="n"/>
      <c r="F377" s="6" t="n"/>
      <c r="H377" s="6" t="n">
        <v>0.422</v>
      </c>
      <c r="I377" s="6" t="n">
        <v>1</v>
      </c>
      <c r="J377" s="6" t="n">
        <v>1</v>
      </c>
      <c r="K377" s="6" t="n"/>
      <c r="X377" s="6" t="n">
        <v>12500</v>
      </c>
    </row>
    <row r="378">
      <c r="A378" t="inlineStr">
        <is>
          <t>redalert2</t>
        </is>
      </c>
      <c r="B378" t="inlineStr">
        <is>
          <t>ra2_allies_upgrade_compositearmorplating</t>
        </is>
      </c>
      <c r="C378" t="inlineStr">
        <is>
          <t>Composite Armor Plating</t>
        </is>
      </c>
      <c r="D378" s="6" t="inlineStr">
        <is>
          <t>Doctrine</t>
        </is>
      </c>
      <c r="E378" s="6" t="n"/>
      <c r="F378" s="6" t="n"/>
      <c r="H378" s="6" t="n">
        <v>0.5669999999999999</v>
      </c>
      <c r="I378" s="6" t="n">
        <v>1</v>
      </c>
      <c r="J378" s="6" t="n">
        <v>1</v>
      </c>
      <c r="K378" s="6" t="n"/>
      <c r="X378" s="6" t="n">
        <v>5000</v>
      </c>
    </row>
    <row r="379">
      <c r="A379" t="inlineStr">
        <is>
          <t>redalert2</t>
        </is>
      </c>
      <c r="B379" t="inlineStr">
        <is>
          <t>ra2_allies_upgrade_elitegi</t>
        </is>
      </c>
      <c r="C379" t="inlineStr">
        <is>
          <t>Elite G.I.</t>
        </is>
      </c>
      <c r="D379" s="6" t="inlineStr">
        <is>
          <t>UnitUpgrade</t>
        </is>
      </c>
      <c r="E379" s="6" t="n"/>
      <c r="F379" s="6" t="n"/>
      <c r="H379" s="6" t="n">
        <v>0.8639</v>
      </c>
      <c r="I379" s="6" t="n">
        <v>1</v>
      </c>
      <c r="J379" s="6" t="n">
        <v>1</v>
      </c>
      <c r="K379" s="6" t="n"/>
      <c r="X379" s="6" t="n">
        <v>2500</v>
      </c>
    </row>
    <row r="380">
      <c r="A380" t="inlineStr">
        <is>
          <t>redalert2</t>
        </is>
      </c>
      <c r="B380" t="inlineStr">
        <is>
          <t>ra2_allies_upgrade_eliterocketeer</t>
        </is>
      </c>
      <c r="C380" t="inlineStr">
        <is>
          <t>Elite Rocketeers</t>
        </is>
      </c>
      <c r="D380" s="6" t="inlineStr">
        <is>
          <t>UnitUpgrade</t>
        </is>
      </c>
      <c r="E380" s="6" t="n"/>
      <c r="F380" s="6" t="n"/>
      <c r="H380" s="6" t="n">
        <v>0.5669999999999999</v>
      </c>
      <c r="I380" s="6" t="n">
        <v>1</v>
      </c>
      <c r="J380" s="6" t="n">
        <v>1</v>
      </c>
      <c r="K380" s="6" t="n"/>
      <c r="X380" s="6" t="n">
        <v>2500</v>
      </c>
    </row>
    <row r="381">
      <c r="A381" t="inlineStr">
        <is>
          <t>redalert2</t>
        </is>
      </c>
      <c r="B381" t="inlineStr">
        <is>
          <t>ra2_allies_upgrade_forceshield</t>
        </is>
      </c>
      <c r="C381" t="inlineStr">
        <is>
          <t>Force Shield</t>
        </is>
      </c>
      <c r="D381" s="6" t="inlineStr">
        <is>
          <t>UnitUpgrade</t>
        </is>
      </c>
      <c r="E381" s="6" t="n"/>
      <c r="F381" s="6" t="n"/>
      <c r="H381" s="6" t="n">
        <v>0.5669999999999999</v>
      </c>
      <c r="I381" s="6" t="n">
        <v>1</v>
      </c>
      <c r="J381" s="6" t="n">
        <v>1</v>
      </c>
      <c r="K381" s="6" t="n"/>
      <c r="X381" s="6" t="n">
        <v>2500</v>
      </c>
    </row>
    <row r="382">
      <c r="A382" t="inlineStr">
        <is>
          <t>redalert2</t>
        </is>
      </c>
      <c r="B382" t="inlineStr">
        <is>
          <t>ra2_allies_upgrade_heavymiragetank</t>
        </is>
      </c>
      <c r="C382" t="inlineStr">
        <is>
          <t>Unlock Heavy Mirage Tanks</t>
        </is>
      </c>
      <c r="D382" s="6" t="inlineStr">
        <is>
          <t>UnitUpgrade</t>
        </is>
      </c>
      <c r="E382" s="6" t="n"/>
      <c r="F382" s="6" t="n"/>
      <c r="H382" s="6" t="n">
        <v>0.5669999999999999</v>
      </c>
      <c r="I382" s="6" t="n">
        <v>1</v>
      </c>
      <c r="J382" s="6" t="n">
        <v>1</v>
      </c>
      <c r="K382" s="6" t="n"/>
      <c r="X382" s="6" t="n">
        <v>2500</v>
      </c>
    </row>
    <row r="383">
      <c r="A383" t="inlineStr">
        <is>
          <t>redalert2</t>
        </is>
      </c>
      <c r="B383" t="inlineStr">
        <is>
          <t>ra2_allies_upgrade_infiltratorstraining</t>
        </is>
      </c>
      <c r="C383" t="inlineStr">
        <is>
          <t>Elite Infiltrators Training</t>
        </is>
      </c>
      <c r="D383" s="6" t="inlineStr">
        <is>
          <t>Doctrine</t>
        </is>
      </c>
      <c r="E383" s="6" t="n"/>
      <c r="F383" s="6" t="n"/>
      <c r="H383" s="6" t="n">
        <v>0.8639</v>
      </c>
      <c r="I383" s="6" t="n">
        <v>1</v>
      </c>
      <c r="J383" s="6" t="n">
        <v>1</v>
      </c>
      <c r="K383" s="6" t="n"/>
      <c r="X383" s="6" t="n">
        <v>5000</v>
      </c>
    </row>
    <row r="384">
      <c r="A384" t="inlineStr">
        <is>
          <t>redalert2</t>
        </is>
      </c>
      <c r="B384" t="inlineStr">
        <is>
          <t>ra2_allies_upgrade_intensifiedprismbeams</t>
        </is>
      </c>
      <c r="C384" t="inlineStr">
        <is>
          <t>Intensified Prism Beams</t>
        </is>
      </c>
      <c r="D384" s="6" t="inlineStr">
        <is>
          <t>TechUpgrade</t>
        </is>
      </c>
      <c r="E384" s="6" t="n"/>
      <c r="F384" s="6" t="n"/>
      <c r="H384" s="6" t="n">
        <v>0.5669999999999999</v>
      </c>
      <c r="I384" s="6" t="n">
        <v>1</v>
      </c>
      <c r="J384" s="6" t="n">
        <v>1</v>
      </c>
      <c r="K384" s="6" t="n"/>
      <c r="X384" s="6" t="n">
        <v>7500</v>
      </c>
    </row>
    <row r="385">
      <c r="A385" t="inlineStr">
        <is>
          <t>redalert2</t>
        </is>
      </c>
      <c r="B385" t="inlineStr">
        <is>
          <t>ra2_allies_upgrade_ionpulseplating</t>
        </is>
      </c>
      <c r="C385" t="inlineStr">
        <is>
          <t>Chromium Ion Pulse Plating</t>
        </is>
      </c>
      <c r="D385" s="6" t="inlineStr">
        <is>
          <t>Doctrine</t>
        </is>
      </c>
      <c r="E385" s="6" t="n"/>
      <c r="F385" s="6" t="n"/>
      <c r="H385" s="6" t="n">
        <v>0.5669999999999999</v>
      </c>
      <c r="I385" s="6" t="n">
        <v>1</v>
      </c>
      <c r="J385" s="6" t="n">
        <v>1</v>
      </c>
      <c r="K385" s="6" t="n"/>
      <c r="X385" s="6" t="n">
        <v>5000</v>
      </c>
    </row>
    <row r="386">
      <c r="A386" t="inlineStr">
        <is>
          <t>redalert2</t>
        </is>
      </c>
      <c r="B386" t="inlineStr">
        <is>
          <t>ra2_allies_upgrade_paratroopers</t>
        </is>
      </c>
      <c r="C386" t="inlineStr">
        <is>
          <t>Paratroopers</t>
        </is>
      </c>
      <c r="D386" s="6" t="inlineStr">
        <is>
          <t>UnitUpgrade</t>
        </is>
      </c>
      <c r="E386" s="6" t="n"/>
      <c r="F386" s="6" t="n"/>
      <c r="H386" s="6" t="n">
        <v>0.8639</v>
      </c>
      <c r="I386" s="6" t="n">
        <v>1</v>
      </c>
      <c r="J386" s="6" t="n">
        <v>1</v>
      </c>
      <c r="K386" s="6" t="n"/>
      <c r="X386" s="6" t="n">
        <v>2500</v>
      </c>
    </row>
    <row r="387">
      <c r="A387" t="inlineStr">
        <is>
          <t>redalert2</t>
        </is>
      </c>
      <c r="B387" t="inlineStr">
        <is>
          <t>ra2_allies_upgrade_prismaticbarrier</t>
        </is>
      </c>
      <c r="C387" t="inlineStr">
        <is>
          <t>Prismatic Barrier</t>
        </is>
      </c>
      <c r="D387" s="6" t="inlineStr">
        <is>
          <t>TechUpgrade</t>
        </is>
      </c>
      <c r="E387" s="6" t="n"/>
      <c r="F387" s="6" t="n"/>
      <c r="H387" s="6" t="n">
        <v>0.5669999999999999</v>
      </c>
      <c r="I387" s="6" t="n">
        <v>1</v>
      </c>
      <c r="J387" s="6" t="n">
        <v>1</v>
      </c>
      <c r="K387" s="6" t="n"/>
      <c r="X387" s="6" t="n">
        <v>10000</v>
      </c>
    </row>
    <row r="388">
      <c r="A388" t="inlineStr">
        <is>
          <t>redalert2</t>
        </is>
      </c>
      <c r="B388" t="inlineStr">
        <is>
          <t>ra2_allies_upgrade_prismlinking</t>
        </is>
      </c>
      <c r="C388" t="inlineStr">
        <is>
          <t>Prism Linking</t>
        </is>
      </c>
      <c r="D388" s="6" t="inlineStr">
        <is>
          <t>UnitUpgrade</t>
        </is>
      </c>
      <c r="E388" s="6" t="n"/>
      <c r="F388" s="6" t="n"/>
      <c r="H388" s="6" t="n">
        <v>0.5669999999999999</v>
      </c>
      <c r="I388" s="6" t="n">
        <v>1</v>
      </c>
      <c r="J388" s="6" t="n">
        <v>1</v>
      </c>
      <c r="K388" s="6" t="n"/>
      <c r="X388" s="6" t="n">
        <v>2500</v>
      </c>
    </row>
    <row r="389">
      <c r="A389" t="inlineStr">
        <is>
          <t>redalert2</t>
        </is>
      </c>
      <c r="B389" t="inlineStr">
        <is>
          <t>ra2_allies_upgrade_reflectivearmorplating</t>
        </is>
      </c>
      <c r="C389" t="inlineStr">
        <is>
          <t>Reflective Armor Plating</t>
        </is>
      </c>
      <c r="D389" s="6" t="inlineStr">
        <is>
          <t>Doctrine</t>
        </is>
      </c>
      <c r="E389" s="6" t="n"/>
      <c r="F389" s="6" t="n"/>
      <c r="H389" s="6" t="n">
        <v>0.5669999999999999</v>
      </c>
      <c r="I389" s="6" t="n">
        <v>1</v>
      </c>
      <c r="J389" s="6" t="n">
        <v>1</v>
      </c>
      <c r="K389" s="6" t="n"/>
      <c r="X389" s="6" t="n">
        <v>5000</v>
      </c>
    </row>
    <row r="390">
      <c r="A390" t="inlineStr">
        <is>
          <t>redalert2</t>
        </is>
      </c>
      <c r="B390" t="inlineStr">
        <is>
          <t>ra2_allies_upgrade_tanklasertargeting</t>
        </is>
      </c>
      <c r="C390" t="inlineStr">
        <is>
          <t>Tank Laser Targeting</t>
        </is>
      </c>
      <c r="D390" s="6" t="inlineStr">
        <is>
          <t>TechUpgrade</t>
        </is>
      </c>
      <c r="E390" s="6" t="n"/>
      <c r="F390" s="6" t="n"/>
      <c r="H390" s="6" t="n">
        <v>0.5669999999999999</v>
      </c>
      <c r="I390" s="6" t="n">
        <v>1</v>
      </c>
      <c r="J390" s="6" t="n">
        <v>1</v>
      </c>
      <c r="K390" s="6" t="n"/>
      <c r="X390" s="6" t="n">
        <v>7500</v>
      </c>
    </row>
    <row r="391">
      <c r="A391" t="inlineStr">
        <is>
          <t>redalert2</t>
        </is>
      </c>
      <c r="B391" t="inlineStr">
        <is>
          <t>ra2_allies_upgrade_thunderboltmissiles</t>
        </is>
      </c>
      <c r="C391" t="inlineStr">
        <is>
          <t>Thunderbolt Missiles</t>
        </is>
      </c>
      <c r="D391" s="6" t="inlineStr">
        <is>
          <t>TechUpgrade</t>
        </is>
      </c>
      <c r="E391" s="6" t="n"/>
      <c r="F391" s="6" t="n"/>
      <c r="H391" s="6" t="n">
        <v>0.5669999999999999</v>
      </c>
      <c r="I391" s="6" t="n">
        <v>1</v>
      </c>
      <c r="J391" s="6" t="n">
        <v>1</v>
      </c>
      <c r="K391" s="6" t="n"/>
      <c r="X391" s="6" t="n">
        <v>7500</v>
      </c>
    </row>
    <row r="392">
      <c r="A392" t="inlineStr">
        <is>
          <t>redalert2</t>
        </is>
      </c>
      <c r="B392" t="inlineStr">
        <is>
          <t>ra2_allies_upgrade_vanguardtraining</t>
        </is>
      </c>
      <c r="C392" t="inlineStr">
        <is>
          <t>Vanguard Training</t>
        </is>
      </c>
      <c r="D392" s="6" t="inlineStr">
        <is>
          <t>Doctrine</t>
        </is>
      </c>
      <c r="E392" s="6" t="n"/>
      <c r="F392" s="6" t="n"/>
      <c r="H392" s="6" t="n">
        <v>0.8639</v>
      </c>
      <c r="I392" s="6" t="n">
        <v>1</v>
      </c>
      <c r="J392" s="6" t="n">
        <v>1</v>
      </c>
      <c r="K392" s="6" t="n"/>
      <c r="X392" s="6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93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ra2_soviets_attackdog</t>
        </is>
      </c>
      <c r="C3" t="inlineStr">
        <is>
          <t>Attack Dog</t>
        </is>
      </c>
      <c r="D3" s="6" t="inlineStr">
        <is>
          <t>Dog</t>
        </is>
      </c>
      <c r="E3" s="6" t="n">
        <v>5000</v>
      </c>
      <c r="F3" s="6" t="n">
        <v>100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(((E3/27000)+(F3/90)+(S3/300)+((P3/1500)*J3))*280/4+(((E3/27000)*(F3/90))+(((P3/1500)*J3)*(S3/300)))*280/2+((E3/27000)*(F3/90)*((P3/1500)*J3)*(S3/300))*280)*(H3/1.0)/3</f>
        <v/>
      </c>
      <c r="X3" s="6" t="n">
        <v>200</v>
      </c>
      <c r="Y3">
        <f>IFERROR(W3-X3,"")</f>
        <v/>
      </c>
      <c r="Z3">
        <f>IFERROR(ABS(Y3)/MAX(X3,1),"")</f>
        <v/>
      </c>
      <c r="AA3">
        <f>IFERROR(ROUND(((3*X3-(((E3/27000)+(F3/90)+(S3/300))*280/4+((E3/27000)*(F3/90))*280/2)*(H3/1.0))/(280/4+((S3/300))*280/2+((E3/27000)*(F3/90)*(S3/300))*280)*(H3/1.0)*1500)/J3,-1),"")</f>
        <v/>
      </c>
    </row>
    <row r="4">
      <c r="B4" s="7" t="inlineStr">
        <is>
          <t xml:space="preserve">  ↳ DogJaw</t>
        </is>
      </c>
      <c r="C4" s="7" t="inlineStr">
        <is>
          <t>Armament</t>
        </is>
      </c>
      <c r="L4" s="6" t="n">
        <v>100000</v>
      </c>
      <c r="M4" s="6" t="n">
        <v>10</v>
      </c>
      <c r="N4" s="6" t="n">
        <v>1</v>
      </c>
      <c r="O4" s="6" t="n"/>
      <c r="P4" s="6" t="n">
        <v>2000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/>
    </row>
    <row r="5">
      <c r="A5" t="inlineStr">
        <is>
          <t>redalert2</t>
        </is>
      </c>
      <c r="B5" t="inlineStr">
        <is>
          <t>ra2_soviets_boris</t>
        </is>
      </c>
      <c r="C5" t="inlineStr">
        <is>
          <t>Boris</t>
        </is>
      </c>
      <c r="D5" s="6" t="inlineStr">
        <is>
          <t>HeroInfantry</t>
        </is>
      </c>
      <c r="E5" s="6" t="n">
        <v>90000</v>
      </c>
      <c r="F5" s="6" t="n">
        <v>60</v>
      </c>
      <c r="G5" t="inlineStr">
        <is>
          <t>Heroic</t>
        </is>
      </c>
      <c r="H5" s="6" t="n">
        <v>0.75</v>
      </c>
      <c r="I5" s="6" t="n">
        <v>1</v>
      </c>
      <c r="J5" s="6" t="n">
        <v>1.25</v>
      </c>
      <c r="K5" s="6" t="n"/>
      <c r="P5">
        <f>MAX(P6,P7,P8)</f>
        <v/>
      </c>
      <c r="S5">
        <f>S6+S7+S8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BorisAKM</t>
        </is>
      </c>
      <c r="C6" s="7" t="inlineStr">
        <is>
          <t>Armament@PRIMARY</t>
        </is>
      </c>
      <c r="L6" s="6" t="n">
        <v>8000</v>
      </c>
      <c r="M6" s="6" t="n">
        <v>18</v>
      </c>
      <c r="N6" s="6" t="n">
        <v>4</v>
      </c>
      <c r="O6" s="6" t="n">
        <v>2</v>
      </c>
      <c r="P6" s="6" t="n">
        <v>8167</v>
      </c>
      <c r="Q6" s="6" t="n">
        <v>0.875</v>
      </c>
      <c r="R6">
        <f>M6+IF(N6&gt;1,N(O6)*(N6-1),0)</f>
        <v/>
      </c>
      <c r="S6">
        <f>IFERROR(L6*MAX(N6,1)/R6*IF(ISBLANK(K5),1,K5),0)</f>
        <v/>
      </c>
      <c r="AB6" s="7" t="inlineStr">
        <is>
          <t>^Warhead_Bullet_Light, ^Warhead_Bullet_Medium</t>
        </is>
      </c>
    </row>
    <row r="7">
      <c r="B7" s="7" t="inlineStr">
        <is>
          <t xml:space="preserve">  ↳ BorisAKM_elite</t>
        </is>
      </c>
      <c r="C7" s="7" t="inlineStr">
        <is>
          <t>Armament@ELITE</t>
        </is>
      </c>
      <c r="L7" s="6" t="n">
        <v>8000</v>
      </c>
      <c r="M7" s="6" t="n">
        <v>18</v>
      </c>
      <c r="N7" s="6" t="n">
        <v>8</v>
      </c>
      <c r="O7" s="6" t="n">
        <v>2</v>
      </c>
      <c r="P7" s="6" t="n">
        <v>9167</v>
      </c>
      <c r="Q7" s="6" t="n">
        <v>0.875</v>
      </c>
      <c r="R7">
        <f>M7+IF(N7&gt;1,N(O7)*(N7-1),0)</f>
        <v/>
      </c>
      <c r="S7">
        <f>IFERROR(L7*MAX(N7,1)/R7*IF(ISBLANK(K5),1,K5),0)</f>
        <v/>
      </c>
      <c r="AB7" s="7" t="inlineStr">
        <is>
          <t>^Warhead_Bullet_Light, ^Warhead_Bullet_Medium</t>
        </is>
      </c>
    </row>
    <row r="8">
      <c r="B8" s="7" t="inlineStr">
        <is>
          <t xml:space="preserve">  ↳ BorisAKM2</t>
        </is>
      </c>
      <c r="C8" s="7" t="inlineStr">
        <is>
          <t>Armament@AntiBuilding</t>
        </is>
      </c>
      <c r="L8" s="6" t="n">
        <v>8000</v>
      </c>
      <c r="M8" s="6" t="n">
        <v>18</v>
      </c>
      <c r="N8" s="6" t="n">
        <v>4</v>
      </c>
      <c r="O8" s="6" t="n">
        <v>2</v>
      </c>
      <c r="P8" s="6" t="n">
        <v>9167</v>
      </c>
      <c r="Q8" s="6" t="n">
        <v>0.875</v>
      </c>
      <c r="R8">
        <f>M8+IF(N8&gt;1,N(O8)*(N8-1),0)</f>
        <v/>
      </c>
      <c r="S8">
        <f>IFERROR(L8*MAX(N8,1)/R8*IF(ISBLANK(K5),1,K5),0)</f>
        <v/>
      </c>
      <c r="AB8" s="7" t="inlineStr">
        <is>
          <t>^Warhead_Bullet_Light, ^Warhead_Bullet_Medium</t>
        </is>
      </c>
    </row>
    <row r="9">
      <c r="B9" s="7" t="inlineStr">
        <is>
          <t xml:space="preserve">  ↳ MigTarget</t>
        </is>
      </c>
      <c r="C9" s="7" t="inlineStr">
        <is>
          <t>Armament@SECONDARY</t>
        </is>
      </c>
      <c r="L9" s="6" t="n"/>
      <c r="M9" s="6" t="n">
        <v>60</v>
      </c>
      <c r="N9" s="6" t="n">
        <v>3</v>
      </c>
      <c r="O9" s="6" t="n">
        <v>15</v>
      </c>
      <c r="P9" s="6" t="n">
        <v>9167</v>
      </c>
      <c r="Q9" s="6" t="n">
        <v>1</v>
      </c>
      <c r="R9">
        <f>M9+IF(N9&gt;1,N(O9)*(N9-1),0)</f>
        <v/>
      </c>
      <c r="S9">
        <f>IFERROR(L9*MAX(N9,1)/R9*IF(ISBLANK(K5),1,K5),0)</f>
        <v/>
      </c>
      <c r="AB9" s="7" t="inlineStr"/>
    </row>
    <row r="10">
      <c r="B10" s="7" t="inlineStr">
        <is>
          <t xml:space="preserve">  ↳ BorisAKM</t>
        </is>
      </c>
      <c r="C10" s="7" t="inlineStr">
        <is>
          <t>Armament@GARRISONED</t>
        </is>
      </c>
      <c r="L10" s="6" t="n">
        <v>8000</v>
      </c>
      <c r="M10" s="6" t="n">
        <v>18</v>
      </c>
      <c r="N10" s="6" t="n">
        <v>4</v>
      </c>
      <c r="O10" s="6" t="n">
        <v>2</v>
      </c>
      <c r="P10" s="6" t="n">
        <v>8167</v>
      </c>
      <c r="Q10" s="6" t="n">
        <v>0.875</v>
      </c>
      <c r="R10">
        <f>M10+IF(N10&gt;1,N(O10)*(N10-1),0)</f>
        <v/>
      </c>
      <c r="S10">
        <f>IFERROR(L10*MAX(N10,1)/R10*IF(ISBLANK(K5),1,K5),0)</f>
        <v/>
      </c>
      <c r="AB10" s="7" t="inlineStr">
        <is>
          <t>^Warhead_Bullet_Light, ^Warhead_Bullet_Medium</t>
        </is>
      </c>
    </row>
    <row r="11">
      <c r="B11" s="7" t="inlineStr">
        <is>
          <t xml:space="preserve">  ↳ BorisAKM_elite</t>
        </is>
      </c>
      <c r="C11" s="7" t="inlineStr">
        <is>
          <t>Armament@GARRISONEDELITE</t>
        </is>
      </c>
      <c r="L11" s="6" t="n">
        <v>8000</v>
      </c>
      <c r="M11" s="6" t="n">
        <v>18</v>
      </c>
      <c r="N11" s="6" t="n">
        <v>8</v>
      </c>
      <c r="O11" s="6" t="n">
        <v>2</v>
      </c>
      <c r="P11" s="6" t="n">
        <v>9167</v>
      </c>
      <c r="Q11" s="6" t="n">
        <v>0.875</v>
      </c>
      <c r="R11">
        <f>M11+IF(N11&gt;1,N(O11)*(N11-1),0)</f>
        <v/>
      </c>
      <c r="S11">
        <f>IFERROR(L11*MAX(N11,1)/R11*IF(ISBLANK(K5),1,K5),0)</f>
        <v/>
      </c>
      <c r="AB11" s="7" t="inlineStr">
        <is>
          <t>^Warhead_Bullet_Light, ^Warhead_Bullet_Medium</t>
        </is>
      </c>
    </row>
    <row r="12">
      <c r="A12" t="inlineStr">
        <is>
          <t>redalert2</t>
        </is>
      </c>
      <c r="B12" t="inlineStr">
        <is>
          <t>ra2_soviets_conscript</t>
        </is>
      </c>
      <c r="C12" t="inlineStr">
        <is>
          <t>Conscript</t>
        </is>
      </c>
      <c r="D12" s="6" t="inlineStr">
        <is>
          <t>ScoutInfantry</t>
        </is>
      </c>
      <c r="E12" s="6" t="n">
        <v>26000</v>
      </c>
      <c r="F12" s="6" t="n">
        <v>58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K12" s="6" t="n">
        <v>0.0019</v>
      </c>
      <c r="P12">
        <f>MAX(P13,P14)</f>
        <v/>
      </c>
      <c r="S12">
        <f>S13+S14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(((E12/20000)+(F12/60)+(S12/60)+((P12/5000)*J12))*100/4+(((E12/20000)*(F12/60))+(((P12/5000)*J12)*(S12/60)))*100/2+((E12/20000)*(F12/60)*((P12/5000)*J12)*(S12/60))*100)*(H12/1.0)/3</f>
        <v/>
      </c>
      <c r="X12" s="6" t="n">
        <v>100</v>
      </c>
      <c r="Y12">
        <f>IFERROR(W12-X12,"")</f>
        <v/>
      </c>
      <c r="Z12">
        <f>IFERROR(ABS(Y12)/MAX(X12,1),"")</f>
        <v/>
      </c>
      <c r="AA12">
        <f>IFERROR(ROUND(((3*X12-(((E12/20000)+(F12/60)+(S12/60))*100/4+((E12/20000)*(F12/60))*100/2)*(H12/1.0))/(100/4+((S12/60))*100/2+((E12/20000)*(F12/60)*(S12/60))*100)*(H12/1.0)*5000)/J12,-1),"")</f>
        <v/>
      </c>
    </row>
    <row r="13">
      <c r="B13" s="7" t="inlineStr">
        <is>
          <t xml:space="preserve">  ↳ ra2_soviets_conscript_carbine</t>
        </is>
      </c>
      <c r="C13" s="7" t="inlineStr">
        <is>
          <t>Armament@PRIMARY</t>
        </is>
      </c>
      <c r="L13" s="6" t="n">
        <v>2000</v>
      </c>
      <c r="M13" s="6" t="n">
        <v>18</v>
      </c>
      <c r="N13" s="6" t="n">
        <v>1</v>
      </c>
      <c r="O13" s="6" t="n"/>
      <c r="P13" s="6" t="n">
        <v>4500</v>
      </c>
      <c r="Q13" s="6" t="n">
        <v>0.75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^Warhead_Bullet_Light</t>
        </is>
      </c>
    </row>
    <row r="14">
      <c r="B14" s="7" t="inlineStr">
        <is>
          <t xml:space="preserve">  ↳ ra2_soviets_conscript_carbine_elite</t>
        </is>
      </c>
      <c r="C14" s="7" t="inlineStr">
        <is>
          <t>Armament@ELITE</t>
        </is>
      </c>
      <c r="L14" s="6" t="n">
        <v>2000</v>
      </c>
      <c r="M14" s="6" t="n">
        <v>18</v>
      </c>
      <c r="N14" s="6" t="n">
        <v>2</v>
      </c>
      <c r="O14" s="6" t="n">
        <v>3</v>
      </c>
      <c r="P14" s="6" t="n">
        <v>5500</v>
      </c>
      <c r="Q14" s="6" t="n">
        <v>0.75</v>
      </c>
      <c r="R14">
        <f>M14+IF(N14&gt;1,N(O14)*(N14-1),0)</f>
        <v/>
      </c>
      <c r="S14">
        <f>IFERROR(L14*MAX(N14,1)/R14*IF(ISBLANK(K12),1,K12),0)</f>
        <v/>
      </c>
      <c r="AB14" s="7" t="inlineStr">
        <is>
          <t>^Warhead_Bullet_Light</t>
        </is>
      </c>
    </row>
    <row r="15">
      <c r="B15" s="7" t="inlineStr">
        <is>
          <t xml:space="preserve">  ↳ RA2vulcan3</t>
        </is>
      </c>
      <c r="C15" s="7" t="inlineStr">
        <is>
          <t>Armament@GARRISONED</t>
        </is>
      </c>
      <c r="L15" s="6" t="n">
        <v>4000</v>
      </c>
      <c r="M15" s="6" t="n">
        <v>50</v>
      </c>
      <c r="N15" s="6" t="n">
        <v>3</v>
      </c>
      <c r="O15" s="6" t="n">
        <v>2</v>
      </c>
      <c r="P15" s="6" t="n">
        <v>5724</v>
      </c>
      <c r="Q15" s="6" t="n">
        <v>0.875</v>
      </c>
      <c r="R15">
        <f>M15+IF(N15&gt;1,N(O15)*(N15-1),0)</f>
        <v/>
      </c>
      <c r="S15">
        <f>IFERROR(L15*MAX(N15,1)/R15*IF(ISBLANK(K12),1,K12),0)</f>
        <v/>
      </c>
      <c r="AB15" s="7" t="inlineStr">
        <is>
          <t>^Warhead_Bullet_Light, ^Warhead_Bullet_Medium</t>
        </is>
      </c>
    </row>
    <row r="16">
      <c r="A16" t="inlineStr">
        <is>
          <t>redalert2</t>
        </is>
      </c>
      <c r="B16" t="inlineStr">
        <is>
          <t>ra2_soviets_crazyivan</t>
        </is>
      </c>
      <c r="C16" t="inlineStr">
        <is>
          <t>Crazy Ivan</t>
        </is>
      </c>
      <c r="D16" s="6" t="inlineStr">
        <is>
          <t>MeleeInfantry</t>
        </is>
      </c>
      <c r="E16" s="6" t="n">
        <v>10000</v>
      </c>
      <c r="F16" s="6" t="n">
        <v>100</v>
      </c>
      <c r="G16" t="inlineStr">
        <is>
          <t>Plate</t>
        </is>
      </c>
      <c r="H16" s="6" t="n">
        <v>0.9322</v>
      </c>
      <c r="I16" s="6" t="n">
        <v>1</v>
      </c>
      <c r="J16" s="6" t="n">
        <v>1</v>
      </c>
      <c r="K16" s="6" t="n"/>
      <c r="X16" s="6" t="n">
        <v>600</v>
      </c>
    </row>
    <row r="17">
      <c r="B17" s="7" t="inlineStr">
        <is>
          <t xml:space="preserve">  ↳ IvanAttach</t>
        </is>
      </c>
      <c r="C17" s="7" t="inlineStr">
        <is>
          <t>Armament</t>
        </is>
      </c>
      <c r="L17" s="6" t="n"/>
      <c r="M17" s="6" t="n">
        <v>20</v>
      </c>
      <c r="N17" s="6" t="n">
        <v>1</v>
      </c>
      <c r="O17" s="6" t="n"/>
      <c r="P17" s="6" t="n">
        <v>2000</v>
      </c>
      <c r="Q17" s="6" t="n">
        <v>1</v>
      </c>
      <c r="R17">
        <f>M17+IF(N17&gt;1,N(O17)*(N17-1),0)</f>
        <v/>
      </c>
      <c r="S17">
        <f>IFERROR(L17*MAX(N17,1)/R17*IF(ISBLANK(K16),1,K16),0)</f>
        <v/>
      </c>
      <c r="AB17" s="7" t="inlineStr"/>
    </row>
    <row r="18">
      <c r="B18" s="7" t="inlineStr">
        <is>
          <t xml:space="preserve">  ↳ IvanAttachAir</t>
        </is>
      </c>
      <c r="C18" s="7" t="inlineStr">
        <is>
          <t>Armament@aa</t>
        </is>
      </c>
      <c r="L18" s="6" t="n"/>
      <c r="M18" s="6" t="n">
        <v>20</v>
      </c>
      <c r="N18" s="6" t="n">
        <v>1</v>
      </c>
      <c r="O18" s="6" t="n"/>
      <c r="P18" s="6" t="n">
        <v>2000</v>
      </c>
      <c r="Q18" s="6" t="n">
        <v>1</v>
      </c>
      <c r="R18">
        <f>M18+IF(N18&gt;1,N(O18)*(N18-1),0)</f>
        <v/>
      </c>
      <c r="S18">
        <f>IFERROR(L18*MAX(N18,1)/R18*IF(ISBLANK(K16),1,K16),0)</f>
        <v/>
      </c>
      <c r="AB18" s="7" t="inlineStr">
        <is>
          <t>IvanAttach</t>
        </is>
      </c>
    </row>
    <row r="19">
      <c r="A19" t="inlineStr">
        <is>
          <t>redalert2</t>
        </is>
      </c>
      <c r="B19" t="inlineStr">
        <is>
          <t>ra2_soviets_desolator</t>
        </is>
      </c>
      <c r="C19" t="inlineStr">
        <is>
          <t>Desolator</t>
        </is>
      </c>
      <c r="D19" s="6" t="inlineStr">
        <is>
          <t>HeavyInfantry</t>
        </is>
      </c>
      <c r="E19" s="6" t="n">
        <v>30000</v>
      </c>
      <c r="F19" s="6" t="n">
        <v>59</v>
      </c>
      <c r="G19" t="inlineStr">
        <is>
          <t>Plate</t>
        </is>
      </c>
      <c r="H19" s="6" t="n">
        <v>0.75</v>
      </c>
      <c r="I19" s="6" t="n">
        <v>0.8</v>
      </c>
      <c r="J19" s="6" t="n">
        <v>1</v>
      </c>
      <c r="K19" s="6" t="n"/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700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RA2RadBeamWeapon</t>
        </is>
      </c>
      <c r="C20" s="7" t="inlineStr">
        <is>
          <t>Armament@PRIMARY</t>
        </is>
      </c>
      <c r="L20" s="6" t="n">
        <v>30000</v>
      </c>
      <c r="M20" s="6" t="n">
        <v>45</v>
      </c>
      <c r="N20" s="6" t="n">
        <v>1</v>
      </c>
      <c r="O20" s="6" t="n"/>
      <c r="P20" s="6" t="n">
        <v>6444</v>
      </c>
      <c r="Q20" s="6" t="n">
        <v>1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^Warhead_Chemical_Medium</t>
        </is>
      </c>
    </row>
    <row r="21">
      <c r="B21" s="7" t="inlineStr">
        <is>
          <t xml:space="preserve">  ↳ RA2RadBeamWeapon_elite</t>
        </is>
      </c>
      <c r="C21" s="7" t="inlineStr">
        <is>
          <t>Armament@ELITE</t>
        </is>
      </c>
      <c r="L21" s="6" t="n">
        <v>30000</v>
      </c>
      <c r="M21" s="6" t="n">
        <v>45</v>
      </c>
      <c r="N21" s="6" t="n">
        <v>2</v>
      </c>
      <c r="O21" s="6" t="n">
        <v>3</v>
      </c>
      <c r="P21" s="6" t="n">
        <v>7444</v>
      </c>
      <c r="Q21" s="6" t="n">
        <v>1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^Warhead_Chemical_Medium</t>
        </is>
      </c>
    </row>
    <row r="22">
      <c r="B22" s="7" t="inlineStr">
        <is>
          <t xml:space="preserve">  ↳ RA2RadBeamWeapon</t>
        </is>
      </c>
      <c r="C22" s="7" t="inlineStr">
        <is>
          <t>Armament@GARRISONED</t>
        </is>
      </c>
      <c r="L22" s="6" t="n">
        <v>30000</v>
      </c>
      <c r="M22" s="6" t="n">
        <v>45</v>
      </c>
      <c r="N22" s="6" t="n">
        <v>1</v>
      </c>
      <c r="O22" s="6" t="n"/>
      <c r="P22" s="6" t="n">
        <v>6444</v>
      </c>
      <c r="Q22" s="6" t="n">
        <v>1</v>
      </c>
      <c r="R22">
        <f>M22+IF(N22&gt;1,N(O22)*(N22-1),0)</f>
        <v/>
      </c>
      <c r="S22">
        <f>IFERROR(L22*MAX(N22,1)/R22*IF(ISBLANK(K19),1,K19),0)</f>
        <v/>
      </c>
      <c r="AB22" s="7" t="inlineStr">
        <is>
          <t>^Warhead_Chemical_Medium</t>
        </is>
      </c>
    </row>
    <row r="23">
      <c r="A23" t="inlineStr">
        <is>
          <t>redalert2</t>
        </is>
      </c>
      <c r="B23" t="inlineStr">
        <is>
          <t>ra2_soviets_engineer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K23" s="6" t="n"/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L24" s="6" t="n"/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L25" s="6" t="n"/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M25+IF(N25&gt;1,N(O25)*(N25-1),0)</f>
        <v/>
      </c>
      <c r="S25">
        <f>IFERROR(L25*MAX(N25,1)/R25*IF(ISBLANK(K23),1,K23),0)</f>
        <v/>
      </c>
      <c r="AB25" s="7" t="inlineStr"/>
    </row>
    <row r="26">
      <c r="A26" t="inlineStr">
        <is>
          <t>redalert2</t>
        </is>
      </c>
      <c r="B26" t="inlineStr">
        <is>
          <t>ra2_soviets_flaktrooper</t>
        </is>
      </c>
      <c r="C26" t="inlineStr">
        <is>
          <t>Flak Trooper</t>
        </is>
      </c>
      <c r="D26" s="6" t="inlineStr">
        <is>
          <t>AntiTankAntiAirInfantry</t>
        </is>
      </c>
      <c r="E26" s="6" t="n">
        <v>10000</v>
      </c>
      <c r="F26" s="6" t="n">
        <v>44</v>
      </c>
      <c r="G26" t="inlineStr">
        <is>
          <t>Flak</t>
        </is>
      </c>
      <c r="H26" s="6" t="n">
        <v>1</v>
      </c>
      <c r="I26" s="6" t="n">
        <v>0.5</v>
      </c>
      <c r="J26" s="6" t="n">
        <v>1</v>
      </c>
      <c r="K26" s="6" t="n">
        <v>0.0107</v>
      </c>
      <c r="P26">
        <f>MAX(P27,P28,P31,P32)</f>
        <v/>
      </c>
      <c r="S26">
        <f>S27+S28+S31+S32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(((E26/15000)+(F26/50)+(S26/240)+((P26/6000)*J26))*200/4+(((E26/15000)*(F26/50))+(((P26/6000)*J26)*(S26/240)))*200/2+((E26/15000)*(F26/50)*((P26/6000)*J26)*(S26/240))*200)*(H26/1.0)/3</f>
        <v/>
      </c>
      <c r="X26" s="6" t="n">
        <v>416</v>
      </c>
      <c r="Y26">
        <f>IFERROR(W26-X26,"")</f>
        <v/>
      </c>
      <c r="Z26">
        <f>IFERROR(ABS(Y26)/MAX(X26,1),"")</f>
        <v/>
      </c>
      <c r="AA26">
        <f>IFERROR(ROUND(((3*X26-(((E26/15000)+(F26/50)+(S26/240))*200/4+((E26/15000)*(F26/50))*200/2)*(H26/1.0))/(200/4+((S26/240))*200/2+((E26/15000)*(F26/50)*(S26/240))*200)*(H26/1.0)*6000)/J26,-1),"")</f>
        <v/>
      </c>
    </row>
    <row r="27">
      <c r="B27" s="7" t="inlineStr">
        <is>
          <t xml:space="preserve">  ↳ RA2CRFlakGuyGun</t>
        </is>
      </c>
      <c r="C27" s="7" t="inlineStr">
        <is>
          <t>Armament@PRIMARY</t>
        </is>
      </c>
      <c r="L27" s="6" t="n">
        <v>16000</v>
      </c>
      <c r="M27" s="6" t="n">
        <v>17</v>
      </c>
      <c r="N27" s="6" t="n">
        <v>1</v>
      </c>
      <c r="O27" s="6" t="n"/>
      <c r="P27" s="6" t="n">
        <v>5627</v>
      </c>
      <c r="Q27" s="6" t="n">
        <v>1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^Warhead_Flak_Medium</t>
        </is>
      </c>
    </row>
    <row r="28">
      <c r="B28" s="7" t="inlineStr">
        <is>
          <t xml:space="preserve">  ↳ RA2FLAKAA</t>
        </is>
      </c>
      <c r="C28" s="7" t="inlineStr">
        <is>
          <t>Armament@PRIMARYAA</t>
        </is>
      </c>
      <c r="L28" s="6" t="n">
        <v>8000</v>
      </c>
      <c r="M28" s="6" t="n">
        <v>26</v>
      </c>
      <c r="N28" s="6" t="n">
        <v>1</v>
      </c>
      <c r="O28" s="6" t="n"/>
      <c r="P28" s="6" t="n">
        <v>7834</v>
      </c>
      <c r="Q28" s="6" t="n">
        <v>1</v>
      </c>
      <c r="R28">
        <f>M28+IF(N28&gt;1,N(O28)*(N28-1),0)</f>
        <v/>
      </c>
      <c r="S28">
        <f>IFERROR(L28*MAX(N28,1)/R28*IF(ISBLANK(K26),1,K26),0)</f>
        <v/>
      </c>
      <c r="AB28" s="7" t="inlineStr">
        <is>
          <t>^Warhead_Flak_Medium</t>
        </is>
      </c>
    </row>
    <row r="29">
      <c r="B29" s="7" t="inlineStr">
        <is>
          <t xml:space="preserve">  ↳ RA2CRFlakGuyGun</t>
        </is>
      </c>
      <c r="C29" s="7" t="inlineStr">
        <is>
          <t>Armament@GARRISONED</t>
        </is>
      </c>
      <c r="L29" s="6" t="n">
        <v>16000</v>
      </c>
      <c r="M29" s="6" t="n">
        <v>17</v>
      </c>
      <c r="N29" s="6" t="n">
        <v>1</v>
      </c>
      <c r="O29" s="6" t="n"/>
      <c r="P29" s="6" t="n">
        <v>5627</v>
      </c>
      <c r="Q29" s="6" t="n">
        <v>1</v>
      </c>
      <c r="R29">
        <f>M29+IF(N29&gt;1,N(O29)*(N29-1),0)</f>
        <v/>
      </c>
      <c r="S29">
        <f>IFERROR(L29*MAX(N29,1)/R29*IF(ISBLANK(K26),1,K26),0)</f>
        <v/>
      </c>
      <c r="AB29" s="7" t="inlineStr">
        <is>
          <t>^Warhead_Flak_Medium</t>
        </is>
      </c>
    </row>
    <row r="30">
      <c r="B30" s="7" t="inlineStr">
        <is>
          <t xml:space="preserve">  ↳ RA2FLAKAA</t>
        </is>
      </c>
      <c r="C30" s="7" t="inlineStr">
        <is>
          <t>Armament@GARRISONEDAA</t>
        </is>
      </c>
      <c r="L30" s="6" t="n">
        <v>8000</v>
      </c>
      <c r="M30" s="6" t="n">
        <v>26</v>
      </c>
      <c r="N30" s="6" t="n">
        <v>1</v>
      </c>
      <c r="O30" s="6" t="n"/>
      <c r="P30" s="6" t="n">
        <v>7834</v>
      </c>
      <c r="Q30" s="6" t="n">
        <v>1</v>
      </c>
      <c r="R30">
        <f>M30+IF(N30&gt;1,N(O30)*(N30-1),0)</f>
        <v/>
      </c>
      <c r="S30">
        <f>IFERROR(L30*MAX(N30,1)/R30*IF(ISBLANK(K26),1,K26),0)</f>
        <v/>
      </c>
      <c r="AB30" s="7" t="inlineStr">
        <is>
          <t>^Warhead_Flak_Medium</t>
        </is>
      </c>
    </row>
    <row r="31">
      <c r="B31" s="7" t="inlineStr">
        <is>
          <t xml:space="preserve">  ↳ RA2CRFlakGuyGun_elite</t>
        </is>
      </c>
      <c r="C31" s="7" t="inlineStr">
        <is>
          <t>Armament@PRIMARYE</t>
        </is>
      </c>
      <c r="L31" s="6" t="n">
        <v>16000</v>
      </c>
      <c r="M31" s="6" t="n">
        <v>17</v>
      </c>
      <c r="N31" s="6" t="n">
        <v>2</v>
      </c>
      <c r="O31" s="6" t="n">
        <v>3</v>
      </c>
      <c r="P31" s="6" t="n">
        <v>5900</v>
      </c>
      <c r="Q31" s="6" t="n">
        <v>1</v>
      </c>
      <c r="R31">
        <f>M31+IF(N31&gt;1,N(O31)*(N31-1),0)</f>
        <v/>
      </c>
      <c r="S31">
        <f>IFERROR(L31*MAX(N31,1)/R31*IF(ISBLANK(K26),1,K26),0)</f>
        <v/>
      </c>
      <c r="AB31" s="7" t="inlineStr">
        <is>
          <t>^Warhead_Flak_Medium</t>
        </is>
      </c>
    </row>
    <row r="32">
      <c r="B32" s="7" t="inlineStr">
        <is>
          <t xml:space="preserve">  ↳ RA2FLAKAA_elite</t>
        </is>
      </c>
      <c r="C32" s="7" t="inlineStr">
        <is>
          <t>Armament@PRIMARYAAE</t>
        </is>
      </c>
      <c r="L32" s="6" t="n">
        <v>8000</v>
      </c>
      <c r="M32" s="6" t="n">
        <v>26</v>
      </c>
      <c r="N32" s="6" t="n">
        <v>2</v>
      </c>
      <c r="O32" s="6" t="n">
        <v>3</v>
      </c>
      <c r="P32" s="6" t="n">
        <v>8834</v>
      </c>
      <c r="Q32" s="6" t="n">
        <v>1</v>
      </c>
      <c r="R32">
        <f>M32+IF(N32&gt;1,N(O32)*(N32-1),0)</f>
        <v/>
      </c>
      <c r="S32">
        <f>IFERROR(L32*MAX(N32,1)/R32*IF(ISBLANK(K26),1,K26),0)</f>
        <v/>
      </c>
      <c r="AB32" s="7" t="inlineStr">
        <is>
          <t>^Warhead_Flak_Medium</t>
        </is>
      </c>
    </row>
    <row r="33">
      <c r="B33" s="7" t="inlineStr">
        <is>
          <t xml:space="preserve">  ↳ RA2CRFlakGuyGun_elite</t>
        </is>
      </c>
      <c r="C33" s="7" t="inlineStr">
        <is>
          <t>Armament@GARRISONEDE</t>
        </is>
      </c>
      <c r="L33" s="6" t="n">
        <v>16000</v>
      </c>
      <c r="M33" s="6" t="n">
        <v>17</v>
      </c>
      <c r="N33" s="6" t="n">
        <v>2</v>
      </c>
      <c r="O33" s="6" t="n">
        <v>3</v>
      </c>
      <c r="P33" s="6" t="n">
        <v>5900</v>
      </c>
      <c r="Q33" s="6" t="n">
        <v>1</v>
      </c>
      <c r="R33">
        <f>M33+IF(N33&gt;1,N(O33)*(N33-1),0)</f>
        <v/>
      </c>
      <c r="S33">
        <f>IFERROR(L33*MAX(N33,1)/R33*IF(ISBLANK(K26),1,K26),0)</f>
        <v/>
      </c>
      <c r="AB33" s="7" t="inlineStr">
        <is>
          <t>^Warhead_Flak_Medium</t>
        </is>
      </c>
    </row>
    <row r="34">
      <c r="B34" s="7" t="inlineStr">
        <is>
          <t xml:space="preserve">  ↳ RA2FLAKAA_elite</t>
        </is>
      </c>
      <c r="C34" s="7" t="inlineStr">
        <is>
          <t>Armament@GARRISONEDAAE</t>
        </is>
      </c>
      <c r="L34" s="6" t="n">
        <v>8000</v>
      </c>
      <c r="M34" s="6" t="n">
        <v>26</v>
      </c>
      <c r="N34" s="6" t="n">
        <v>2</v>
      </c>
      <c r="O34" s="6" t="n">
        <v>3</v>
      </c>
      <c r="P34" s="6" t="n">
        <v>8834</v>
      </c>
      <c r="Q34" s="6" t="n">
        <v>1</v>
      </c>
      <c r="R34">
        <f>M34+IF(N34&gt;1,N(O34)*(N34-1),0)</f>
        <v/>
      </c>
      <c r="S34">
        <f>IFERROR(L34*MAX(N34,1)/R34*IF(ISBLANK(K26),1,K26),0)</f>
        <v/>
      </c>
      <c r="AB34" s="7" t="inlineStr">
        <is>
          <t>^Warhead_Flak_Medium</t>
        </is>
      </c>
    </row>
    <row r="35">
      <c r="A35" t="inlineStr">
        <is>
          <t>redalert2</t>
        </is>
      </c>
      <c r="B35" t="inlineStr">
        <is>
          <t>ra2_soviets_teslatrooper</t>
        </is>
      </c>
      <c r="C35" t="inlineStr">
        <is>
          <t>Tesla Trooper</t>
        </is>
      </c>
      <c r="D35" s="6" t="inlineStr">
        <is>
          <t>HeavyInfantry</t>
        </is>
      </c>
      <c r="E35" s="6" t="n">
        <v>48000</v>
      </c>
      <c r="F35" s="6" t="n">
        <v>38</v>
      </c>
      <c r="G35" t="inlineStr">
        <is>
          <t>Plate</t>
        </is>
      </c>
      <c r="H35" s="6" t="n">
        <v>1</v>
      </c>
      <c r="I35" s="6" t="n">
        <v>0.8</v>
      </c>
      <c r="J35" s="6" t="n">
        <v>1.25</v>
      </c>
      <c r="K35" s="6" t="n"/>
      <c r="P35">
        <f>MAX(P36,P37,P38,P39)</f>
        <v/>
      </c>
      <c r="S35">
        <f>S36+S37+S38+S39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500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RA2PortaTesla</t>
        </is>
      </c>
      <c r="C36" s="7" t="inlineStr">
        <is>
          <t>Armament@PRIMARY</t>
        </is>
      </c>
      <c r="L36" s="6" t="n">
        <v>24000</v>
      </c>
      <c r="M36" s="6" t="n">
        <v>100</v>
      </c>
      <c r="N36" s="6" t="n">
        <v>1</v>
      </c>
      <c r="O36" s="6" t="n"/>
      <c r="P36" s="6" t="n">
        <v>5222</v>
      </c>
      <c r="Q36" s="6" t="n">
        <v>1.25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^Warhead_Tesla_Heavy</t>
        </is>
      </c>
    </row>
    <row r="37">
      <c r="B37" s="7" t="inlineStr">
        <is>
          <t xml:space="preserve">  ↳ RA2PortaTesla2</t>
        </is>
      </c>
      <c r="C37" s="7" t="inlineStr">
        <is>
          <t>Armament@PRIMARY2</t>
        </is>
      </c>
      <c r="L37" s="6" t="n">
        <v>24000</v>
      </c>
      <c r="M37" s="6" t="n">
        <v>100</v>
      </c>
      <c r="N37" s="6" t="n">
        <v>1</v>
      </c>
      <c r="O37" s="6" t="n"/>
      <c r="P37" s="6" t="n">
        <v>5777</v>
      </c>
      <c r="Q37" s="6" t="n">
        <v>1.25</v>
      </c>
      <c r="R37">
        <f>M37+IF(N37&gt;1,N(O37)*(N37-1),0)</f>
        <v/>
      </c>
      <c r="S37">
        <f>IFERROR(L37*MAX(N37,1)/R37*IF(ISBLANK(K35),1,K35),0)</f>
        <v/>
      </c>
      <c r="AB37" s="7" t="inlineStr">
        <is>
          <t>^Warhead_Tesla_Heavy</t>
        </is>
      </c>
    </row>
    <row r="38">
      <c r="B38" s="7" t="inlineStr">
        <is>
          <t xml:space="preserve">  ↳ RA2PortaTesla3</t>
        </is>
      </c>
      <c r="C38" s="7" t="inlineStr">
        <is>
          <t>Armament@PRIMARY3</t>
        </is>
      </c>
      <c r="L38" s="6" t="n">
        <v>24000</v>
      </c>
      <c r="M38" s="6" t="n">
        <v>100</v>
      </c>
      <c r="N38" s="6" t="n">
        <v>1</v>
      </c>
      <c r="O38" s="6" t="n"/>
      <c r="P38" s="6" t="n">
        <v>6222</v>
      </c>
      <c r="Q38" s="6" t="n">
        <v>1.25</v>
      </c>
      <c r="R38">
        <f>M38+IF(N38&gt;1,N(O38)*(N38-1),0)</f>
        <v/>
      </c>
      <c r="S38">
        <f>IFERROR(L38*MAX(N38,1)/R38*IF(ISBLANK(K35),1,K35),0)</f>
        <v/>
      </c>
      <c r="AB38" s="7" t="inlineStr">
        <is>
          <t>^Warhead_Tesla_Heavy</t>
        </is>
      </c>
    </row>
    <row r="39">
      <c r="B39" s="7" t="inlineStr">
        <is>
          <t xml:space="preserve">  ↳ RA2TeslaCoilCharge</t>
        </is>
      </c>
      <c r="C39" s="7" t="inlineStr">
        <is>
          <t>Armament@TeslaCoilCharge</t>
        </is>
      </c>
      <c r="L39" s="6" t="n">
        <v>-1</v>
      </c>
      <c r="M39" s="6" t="n">
        <v>25</v>
      </c>
      <c r="N39" s="6" t="n">
        <v>1</v>
      </c>
      <c r="O39" s="6" t="n"/>
      <c r="P39" s="6" t="n">
        <v>3333</v>
      </c>
      <c r="Q39" s="6" t="n">
        <v>1</v>
      </c>
      <c r="R39">
        <f>M39+IF(N39&gt;1,N(O39)*(N39-1),0)</f>
        <v/>
      </c>
      <c r="S39">
        <f>IFERROR(L39*MAX(N39,1)/R39*IF(ISBLANK(K35),1,K35),0)</f>
        <v/>
      </c>
      <c r="AB39" s="7" t="inlineStr"/>
    </row>
    <row r="40">
      <c r="B40" s="7" t="inlineStr">
        <is>
          <t xml:space="preserve">  ↳ RA2PortaTesla</t>
        </is>
      </c>
      <c r="C40" s="7" t="inlineStr">
        <is>
          <t>Armament@GARRISONED</t>
        </is>
      </c>
      <c r="L40" s="6" t="n">
        <v>24000</v>
      </c>
      <c r="M40" s="6" t="n">
        <v>100</v>
      </c>
      <c r="N40" s="6" t="n">
        <v>1</v>
      </c>
      <c r="O40" s="6" t="n"/>
      <c r="P40" s="6" t="n">
        <v>5222</v>
      </c>
      <c r="Q40" s="6" t="n">
        <v>1.25</v>
      </c>
      <c r="R40">
        <f>M40+IF(N40&gt;1,N(O40)*(N40-1),0)</f>
        <v/>
      </c>
      <c r="S40">
        <f>IFERROR(L40*MAX(N40,1)/R40*IF(ISBLANK(K35),1,K35),0)</f>
        <v/>
      </c>
      <c r="AB40" s="7" t="inlineStr">
        <is>
          <t>^Warhead_Tesla_Heavy</t>
        </is>
      </c>
    </row>
    <row r="41">
      <c r="B41" s="7" t="inlineStr">
        <is>
          <t xml:space="preserve">  ↳ RA2PortaTesla2</t>
        </is>
      </c>
      <c r="C41" s="7" t="inlineStr">
        <is>
          <t>Armament@GARRISONED2</t>
        </is>
      </c>
      <c r="L41" s="6" t="n">
        <v>24000</v>
      </c>
      <c r="M41" s="6" t="n">
        <v>100</v>
      </c>
      <c r="N41" s="6" t="n">
        <v>1</v>
      </c>
      <c r="O41" s="6" t="n"/>
      <c r="P41" s="6" t="n">
        <v>5777</v>
      </c>
      <c r="Q41" s="6" t="n">
        <v>1.25</v>
      </c>
      <c r="R41">
        <f>M41+IF(N41&gt;1,N(O41)*(N41-1),0)</f>
        <v/>
      </c>
      <c r="S41">
        <f>IFERROR(L41*MAX(N41,1)/R41*IF(ISBLANK(K35),1,K35),0)</f>
        <v/>
      </c>
      <c r="AB41" s="7" t="inlineStr">
        <is>
          <t>^Warhead_Tesla_Heavy</t>
        </is>
      </c>
    </row>
    <row r="42">
      <c r="B42" s="7" t="inlineStr">
        <is>
          <t xml:space="preserve">  ↳ RA2PortaTesla3</t>
        </is>
      </c>
      <c r="C42" s="7" t="inlineStr">
        <is>
          <t>Armament@GARRISONED3</t>
        </is>
      </c>
      <c r="L42" s="6" t="n">
        <v>24000</v>
      </c>
      <c r="M42" s="6" t="n">
        <v>100</v>
      </c>
      <c r="N42" s="6" t="n">
        <v>1</v>
      </c>
      <c r="O42" s="6" t="n"/>
      <c r="P42" s="6" t="n">
        <v>6222</v>
      </c>
      <c r="Q42" s="6" t="n">
        <v>1.25</v>
      </c>
      <c r="R42">
        <f>M42+IF(N42&gt;1,N(O42)*(N42-1),0)</f>
        <v/>
      </c>
      <c r="S42">
        <f>IFERROR(L42*MAX(N42,1)/R42*IF(ISBLANK(K35),1,K35),0)</f>
        <v/>
      </c>
      <c r="AB42" s="7" t="inlineStr">
        <is>
          <t>^Warhead_Tesla_Heavy</t>
        </is>
      </c>
    </row>
    <row r="43">
      <c r="A43" s="4" t="inlineStr">
        <is>
          <t>VEHICLES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>
      <c r="A44" t="inlineStr">
        <is>
          <t>redalert2</t>
        </is>
      </c>
      <c r="B44" t="inlineStr">
        <is>
          <t>ra2_soviets_apocalypsetank</t>
        </is>
      </c>
      <c r="C44" t="inlineStr">
        <is>
          <t>Apocalypse Tank</t>
        </is>
      </c>
      <c r="D44" s="6" t="inlineStr">
        <is>
          <t>HighTechTank</t>
        </is>
      </c>
      <c r="E44" s="6" t="n">
        <v>350000</v>
      </c>
      <c r="F44" s="6" t="n">
        <v>55</v>
      </c>
      <c r="G44" t="inlineStr">
        <is>
          <t>Superheavy</t>
        </is>
      </c>
      <c r="H44" s="6" t="n">
        <v>0.75</v>
      </c>
      <c r="I44" s="6" t="n">
        <v>1</v>
      </c>
      <c r="J44" s="6" t="n">
        <v>1</v>
      </c>
      <c r="K44" s="6" t="n">
        <v>0.0125</v>
      </c>
      <c r="P44">
        <f>MAX(P45,P46,P47,P48,P49,P50,P51,P52,P53,P54)</f>
        <v/>
      </c>
      <c r="S44">
        <f>S45+S46+S47+S48+S49+S50+S51+S52+S53+S54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(((E44/700000)+(F44/65)+(S44/2000)+((P44/6500)*J44))*2000/4+(((E44/700000)*(F44/65))+(((P44/6500)*J44)*(S44/2000)))*2000/2+((E44/700000)*(F44/65)*((P44/6500)*J44)*(S44/2000))*2000)*(H44/0.75)/3</f>
        <v/>
      </c>
      <c r="X44" s="6" t="n">
        <v>1750</v>
      </c>
      <c r="Y44">
        <f>IFERROR(W44-X44,"")</f>
        <v/>
      </c>
      <c r="Z44">
        <f>IFERROR(ABS(Y44)/MAX(X44,1),"")</f>
        <v/>
      </c>
      <c r="AA44">
        <f>IFERROR(ROUND(((3*X44-(((E44/700000)+(F44/65)+(S44/2000))*2000/4+((E44/700000)*(F44/65))*2000/2)*(H44/0.75))/(2000/4+((S44/2000))*2000/2+((E44/700000)*(F44/65)*(S44/2000))*2000)*(H44/0.75)*6500)/J44,-1),"")</f>
        <v/>
      </c>
    </row>
    <row r="45">
      <c r="B45" s="7" t="inlineStr">
        <is>
          <t xml:space="preserve">  ↳ RA2120xmm</t>
        </is>
      </c>
      <c r="C45" s="7" t="inlineStr">
        <is>
          <t>Armament@PRIMARY</t>
        </is>
      </c>
      <c r="L45" s="6" t="n">
        <v>12000</v>
      </c>
      <c r="M45" s="6" t="n">
        <v>63</v>
      </c>
      <c r="N45" s="6" t="n">
        <v>2</v>
      </c>
      <c r="O45" s="6" t="n">
        <v>5</v>
      </c>
      <c r="P45" s="6" t="n">
        <v>6992</v>
      </c>
      <c r="Q45" s="6" t="n">
        <v>1.25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^Warhead_CannonHE_Heavy</t>
        </is>
      </c>
    </row>
    <row r="46">
      <c r="B46" s="7" t="inlineStr">
        <is>
          <t xml:space="preserve">  ↳ RA2120xmm_rad</t>
        </is>
      </c>
      <c r="C46" s="7" t="inlineStr">
        <is>
          <t>Armament@PRIMARYRad</t>
        </is>
      </c>
      <c r="L46" s="6" t="n">
        <v>16000</v>
      </c>
      <c r="M46" s="6" t="n">
        <v>63</v>
      </c>
      <c r="N46" s="6" t="n">
        <v>2</v>
      </c>
      <c r="O46" s="6" t="n">
        <v>5</v>
      </c>
      <c r="P46" s="6" t="n">
        <v>6992</v>
      </c>
      <c r="Q46" s="6" t="n">
        <v>1.25</v>
      </c>
      <c r="R46">
        <f>M46+IF(N46&gt;1,N(O46)*(N46-1),0)</f>
        <v/>
      </c>
      <c r="S46">
        <f>IFERROR(L46*MAX(N46,1)/R46*IF(ISBLANK(K44),1,K44),0)</f>
        <v/>
      </c>
      <c r="AB46" s="7" t="inlineStr">
        <is>
          <t>^Warhead_CannonHE_Heavy</t>
        </is>
      </c>
    </row>
    <row r="47">
      <c r="B47" s="7" t="inlineStr">
        <is>
          <t xml:space="preserve">  ↳ RA2120xmm_fire</t>
        </is>
      </c>
      <c r="C47" s="7" t="inlineStr">
        <is>
          <t>Armament@PRIMARYFire</t>
        </is>
      </c>
      <c r="L47" s="6" t="n">
        <v>12000</v>
      </c>
      <c r="M47" s="6" t="n">
        <v>63</v>
      </c>
      <c r="N47" s="6" t="n">
        <v>2</v>
      </c>
      <c r="O47" s="6" t="n">
        <v>5</v>
      </c>
      <c r="P47" s="6" t="n">
        <v>6992</v>
      </c>
      <c r="Q47" s="6" t="n">
        <v>1.25</v>
      </c>
      <c r="R47">
        <f>M47+IF(N47&gt;1,N(O47)*(N47-1),0)</f>
        <v/>
      </c>
      <c r="S47">
        <f>IFERROR(L47*MAX(N47,1)/R47*IF(ISBLANK(K44),1,K44),0)</f>
        <v/>
      </c>
      <c r="AB47" s="7" t="inlineStr">
        <is>
          <t>^Warhead_CannonHE_Heavy</t>
        </is>
      </c>
    </row>
    <row r="48">
      <c r="B48" s="7" t="inlineStr">
        <is>
          <t xml:space="preserve">  ↳ RA2120xmm_tesla</t>
        </is>
      </c>
      <c r="C48" s="7" t="inlineStr">
        <is>
          <t>Armament@PRIMARYTesla</t>
        </is>
      </c>
      <c r="L48" s="6" t="n">
        <v>12000</v>
      </c>
      <c r="M48" s="6" t="n">
        <v>63</v>
      </c>
      <c r="N48" s="6" t="n">
        <v>2</v>
      </c>
      <c r="O48" s="6" t="n">
        <v>5</v>
      </c>
      <c r="P48" s="6" t="n">
        <v>6992</v>
      </c>
      <c r="Q48" s="6" t="n">
        <v>1.25</v>
      </c>
      <c r="R48">
        <f>M48+IF(N48&gt;1,N(O48)*(N48-1),0)</f>
        <v/>
      </c>
      <c r="S48">
        <f>IFERROR(L48*MAX(N48,1)/R48*IF(ISBLANK(K44),1,K44),0)</f>
        <v/>
      </c>
      <c r="AB48" s="7" t="inlineStr">
        <is>
          <t>^Warhead_CannonHE_Heavy</t>
        </is>
      </c>
    </row>
    <row r="49">
      <c r="B49" s="7" t="inlineStr">
        <is>
          <t xml:space="preserve">  ↳ RA2MammothTusk_AA</t>
        </is>
      </c>
      <c r="C49" s="7" t="inlineStr">
        <is>
          <t>Armament@SECONDARY</t>
        </is>
      </c>
      <c r="L49" s="6" t="n">
        <v>16000</v>
      </c>
      <c r="M49" s="6" t="n">
        <v>68</v>
      </c>
      <c r="N49" s="6" t="n">
        <v>2</v>
      </c>
      <c r="O49" s="6" t="n"/>
      <c r="P49" s="6" t="n">
        <v>6100</v>
      </c>
      <c r="Q49" s="6" t="n">
        <v>1</v>
      </c>
      <c r="R49">
        <f>M49+IF(N49&gt;1,N(O49)*(N49-1),0)</f>
        <v/>
      </c>
      <c r="S49">
        <f>IFERROR(L49*MAX(N49,1)/R49*IF(ISBLANK(K44),1,K44),0)</f>
        <v/>
      </c>
      <c r="AB49" s="7" t="inlineStr">
        <is>
          <t>^Warhead_MissileAP_Medium</t>
        </is>
      </c>
    </row>
    <row r="50">
      <c r="B50" s="7" t="inlineStr">
        <is>
          <t xml:space="preserve">  ↳ RA2120xmm_elite</t>
        </is>
      </c>
      <c r="C50" s="7" t="inlineStr">
        <is>
          <t>Armament@PRIMARYELITE</t>
        </is>
      </c>
      <c r="L50" s="6" t="n">
        <v>12000</v>
      </c>
      <c r="M50" s="6" t="n">
        <v>63</v>
      </c>
      <c r="N50" s="6" t="n">
        <v>4</v>
      </c>
      <c r="O50" s="6" t="n">
        <v>3</v>
      </c>
      <c r="P50" s="6" t="n">
        <v>7992</v>
      </c>
      <c r="Q50" s="6" t="n">
        <v>1.25</v>
      </c>
      <c r="R50">
        <f>M50+IF(N50&gt;1,N(O50)*(N50-1),0)</f>
        <v/>
      </c>
      <c r="S50">
        <f>IFERROR(L50*MAX(N50,1)/R50*IF(ISBLANK(K44),1,K44),0)</f>
        <v/>
      </c>
      <c r="AB50" s="7" t="inlineStr">
        <is>
          <t>^Warhead_CannonHE_Heavy</t>
        </is>
      </c>
    </row>
    <row r="51">
      <c r="B51" s="7" t="inlineStr">
        <is>
          <t xml:space="preserve">  ↳ RA2120xmm_rad_elite</t>
        </is>
      </c>
      <c r="C51" s="7" t="inlineStr">
        <is>
          <t>Armament@PRIMARYELITERad</t>
        </is>
      </c>
      <c r="L51" s="6" t="n">
        <v>16000</v>
      </c>
      <c r="M51" s="6" t="n">
        <v>63</v>
      </c>
      <c r="N51" s="6" t="n">
        <v>4</v>
      </c>
      <c r="O51" s="6" t="n">
        <v>3</v>
      </c>
      <c r="P51" s="6" t="n">
        <v>7992</v>
      </c>
      <c r="Q51" s="6" t="n">
        <v>1.25</v>
      </c>
      <c r="R51">
        <f>M51+IF(N51&gt;1,N(O51)*(N51-1),0)</f>
        <v/>
      </c>
      <c r="S51">
        <f>IFERROR(L51*MAX(N51,1)/R51*IF(ISBLANK(K44),1,K44),0)</f>
        <v/>
      </c>
      <c r="AB51" s="7" t="inlineStr">
        <is>
          <t>^Warhead_CannonHE_Heavy</t>
        </is>
      </c>
    </row>
    <row r="52">
      <c r="B52" s="7" t="inlineStr">
        <is>
          <t xml:space="preserve">  ↳ RA2120xmm_fire_elite</t>
        </is>
      </c>
      <c r="C52" s="7" t="inlineStr">
        <is>
          <t>Armament@PRIMARYELITEFire</t>
        </is>
      </c>
      <c r="L52" s="6" t="n">
        <v>12000</v>
      </c>
      <c r="M52" s="6" t="n">
        <v>63</v>
      </c>
      <c r="N52" s="6" t="n">
        <v>4</v>
      </c>
      <c r="O52" s="6" t="n">
        <v>3</v>
      </c>
      <c r="P52" s="6" t="n">
        <v>7992</v>
      </c>
      <c r="Q52" s="6" t="n">
        <v>1.25</v>
      </c>
      <c r="R52">
        <f>M52+IF(N52&gt;1,N(O52)*(N52-1),0)</f>
        <v/>
      </c>
      <c r="S52">
        <f>IFERROR(L52*MAX(N52,1)/R52*IF(ISBLANK(K44),1,K44),0)</f>
        <v/>
      </c>
      <c r="AB52" s="7" t="inlineStr">
        <is>
          <t>^Warhead_CannonHE_Heavy</t>
        </is>
      </c>
    </row>
    <row r="53">
      <c r="B53" s="7" t="inlineStr">
        <is>
          <t xml:space="preserve">  ↳ RA2120xmm_tesla_elite</t>
        </is>
      </c>
      <c r="C53" s="7" t="inlineStr">
        <is>
          <t>Armament@PRIMARYELITETesla</t>
        </is>
      </c>
      <c r="L53" s="6" t="n">
        <v>12000</v>
      </c>
      <c r="M53" s="6" t="n">
        <v>63</v>
      </c>
      <c r="N53" s="6" t="n">
        <v>4</v>
      </c>
      <c r="O53" s="6" t="n">
        <v>3</v>
      </c>
      <c r="P53" s="6" t="n">
        <v>7992</v>
      </c>
      <c r="Q53" s="6" t="n">
        <v>1.25</v>
      </c>
      <c r="R53">
        <f>M53+IF(N53&gt;1,N(O53)*(N53-1),0)</f>
        <v/>
      </c>
      <c r="S53">
        <f>IFERROR(L53*MAX(N53,1)/R53*IF(ISBLANK(K44),1,K44),0)</f>
        <v/>
      </c>
      <c r="AB53" s="7" t="inlineStr">
        <is>
          <t>^Warhead_CannonHE_Heavy</t>
        </is>
      </c>
    </row>
    <row r="54">
      <c r="B54" s="7" t="inlineStr">
        <is>
          <t xml:space="preserve">  ↳ RA2MammothTusk_AA_elite</t>
        </is>
      </c>
      <c r="C54" s="7" t="inlineStr">
        <is>
          <t>Armament@SECONDARYELITE</t>
        </is>
      </c>
      <c r="L54" s="6" t="n">
        <v>16000</v>
      </c>
      <c r="M54" s="6" t="n">
        <v>68</v>
      </c>
      <c r="N54" s="6" t="n">
        <v>4</v>
      </c>
      <c r="O54" s="6" t="n"/>
      <c r="P54" s="6" t="n">
        <v>7100</v>
      </c>
      <c r="Q54" s="6" t="n">
        <v>1</v>
      </c>
      <c r="R54">
        <f>M54+IF(N54&gt;1,N(O54)*(N54-1),0)</f>
        <v/>
      </c>
      <c r="S54">
        <f>IFERROR(L54*MAX(N54,1)/R54*IF(ISBLANK(K44),1,K44),0)</f>
        <v/>
      </c>
      <c r="AB54" s="7" t="inlineStr">
        <is>
          <t>^Warhead_MissileAP_Medium</t>
        </is>
      </c>
    </row>
    <row r="55">
      <c r="A55" t="inlineStr">
        <is>
          <t>redalert2</t>
        </is>
      </c>
      <c r="B55" t="inlineStr">
        <is>
          <t>ra2_soviets_flaktrack</t>
        </is>
      </c>
      <c r="C55" t="inlineStr">
        <is>
          <t>Flak Track</t>
        </is>
      </c>
      <c r="D55" s="6" t="inlineStr">
        <is>
          <t>AntiAirVehicle</t>
        </is>
      </c>
      <c r="E55" s="6" t="n">
        <v>45000</v>
      </c>
      <c r="F55" s="6" t="n">
        <v>95</v>
      </c>
      <c r="G55" t="inlineStr">
        <is>
          <t>Medium</t>
        </is>
      </c>
      <c r="H55" s="6" t="n">
        <v>1</v>
      </c>
      <c r="I55" s="6" t="n">
        <v>1.25</v>
      </c>
      <c r="J55" s="6" t="n">
        <v>1</v>
      </c>
      <c r="K55" s="6" t="n">
        <v>0.0075</v>
      </c>
      <c r="P55">
        <f>MAX(P56,P57,P58,P59)</f>
        <v/>
      </c>
      <c r="S55">
        <f>S56+S57+S58+S59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(((E55/170000)+(F55/110)+(S55/1250)+((P55/6000)*J55))*1000/4+(((E55/170000)*(F55/110))+(((P55/6000)*J55)*(S55/1250)))*1000/2+((E55/170000)*(F55/110)*((P55/6000)*J55)*(S55/1250))*1000)*(H55/1.0)/3</f>
        <v/>
      </c>
      <c r="X55" s="6" t="n">
        <v>900</v>
      </c>
      <c r="Y55">
        <f>IFERROR(W55-X55,"")</f>
        <v/>
      </c>
      <c r="Z55">
        <f>IFERROR(ABS(Y55)/MAX(X55,1),"")</f>
        <v/>
      </c>
      <c r="AA55">
        <f>IFERROR(ROUND(((3*X55-(((E55/170000)+(F55/110)+(S55/1250))*1000/4+((E55/170000)*(F55/110))*1000/2)*(H55/1.0))/(1000/4+((S55/1250))*1000/2+((E55/170000)*(F55/110)*(S55/1250))*1000)*(H55/1.0)*6000)/J55,-1),"")</f>
        <v/>
      </c>
    </row>
    <row r="56">
      <c r="B56" s="7" t="inlineStr">
        <is>
          <t xml:space="preserve">  ↳ RA2FlakTrackAAGun</t>
        </is>
      </c>
      <c r="C56" s="7" t="inlineStr">
        <is>
          <t>Armament@AA</t>
        </is>
      </c>
      <c r="L56" s="6" t="n">
        <v>8000</v>
      </c>
      <c r="M56" s="6" t="n">
        <v>25</v>
      </c>
      <c r="N56" s="6" t="n">
        <v>1</v>
      </c>
      <c r="O56" s="6" t="n"/>
      <c r="P56" s="6" t="n">
        <v>8292</v>
      </c>
      <c r="Q56" s="6" t="n">
        <v>1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^Warhead_Flak_Medium</t>
        </is>
      </c>
    </row>
    <row r="57">
      <c r="B57" s="7" t="inlineStr">
        <is>
          <t xml:space="preserve">  ↳ RA2FlakTrackGun</t>
        </is>
      </c>
      <c r="C57" s="7" t="inlineStr">
        <is>
          <t>Armament@AG</t>
        </is>
      </c>
      <c r="L57" s="6" t="n">
        <v>8000</v>
      </c>
      <c r="M57" s="6" t="n">
        <v>18</v>
      </c>
      <c r="N57" s="6" t="n">
        <v>1</v>
      </c>
      <c r="O57" s="6" t="n"/>
      <c r="P57" s="6" t="n">
        <v>5528</v>
      </c>
      <c r="Q57" s="6" t="n">
        <v>1</v>
      </c>
      <c r="R57">
        <f>M57+IF(N57&gt;1,N(O57)*(N57-1),0)</f>
        <v/>
      </c>
      <c r="S57">
        <f>IFERROR(L57*MAX(N57,1)/R57*IF(ISBLANK(K55),1,K55),0)</f>
        <v/>
      </c>
      <c r="AB57" s="7" t="inlineStr">
        <is>
          <t>^Warhead_Flak_Medium</t>
        </is>
      </c>
    </row>
    <row r="58">
      <c r="B58" s="7" t="inlineStr">
        <is>
          <t xml:space="preserve">  ↳ RA2FlakTrackAAGun_elite</t>
        </is>
      </c>
      <c r="C58" s="7" t="inlineStr">
        <is>
          <t>Armament@AAE</t>
        </is>
      </c>
      <c r="L58" s="6" t="n">
        <v>8000</v>
      </c>
      <c r="M58" s="6" t="n">
        <v>25</v>
      </c>
      <c r="N58" s="6" t="n">
        <v>2</v>
      </c>
      <c r="O58" s="6" t="n">
        <v>3</v>
      </c>
      <c r="P58" s="6" t="n">
        <v>9292</v>
      </c>
      <c r="Q58" s="6" t="n">
        <v>1</v>
      </c>
      <c r="R58">
        <f>M58+IF(N58&gt;1,N(O58)*(N58-1),0)</f>
        <v/>
      </c>
      <c r="S58">
        <f>IFERROR(L58*MAX(N58,1)/R58*IF(ISBLANK(K55),1,K55),0)</f>
        <v/>
      </c>
      <c r="AB58" s="7" t="inlineStr">
        <is>
          <t>^Warhead_Flak_Medium</t>
        </is>
      </c>
    </row>
    <row r="59">
      <c r="B59" s="7" t="inlineStr">
        <is>
          <t xml:space="preserve">  ↳ RA2FlakTrackGun_elite</t>
        </is>
      </c>
      <c r="C59" s="7" t="inlineStr">
        <is>
          <t>Armament@AGE</t>
        </is>
      </c>
      <c r="L59" s="6" t="n">
        <v>8000</v>
      </c>
      <c r="M59" s="6" t="n">
        <v>18</v>
      </c>
      <c r="N59" s="6" t="n">
        <v>2</v>
      </c>
      <c r="O59" s="6" t="n">
        <v>3</v>
      </c>
      <c r="P59" s="6" t="n">
        <v>6528</v>
      </c>
      <c r="Q59" s="6" t="n">
        <v>1</v>
      </c>
      <c r="R59">
        <f>M59+IF(N59&gt;1,N(O59)*(N59-1),0)</f>
        <v/>
      </c>
      <c r="S59">
        <f>IFERROR(L59*MAX(N59,1)/R59*IF(ISBLANK(K55),1,K55),0)</f>
        <v/>
      </c>
      <c r="AB59" s="7" t="inlineStr">
        <is>
          <t>^Warhead_Flak_Medium</t>
        </is>
      </c>
    </row>
    <row r="60">
      <c r="A60" t="inlineStr">
        <is>
          <t>redalert2</t>
        </is>
      </c>
      <c r="B60" t="inlineStr">
        <is>
          <t>ra2_soviets_mobileconstructionvehicle</t>
        </is>
      </c>
      <c r="C60" t="inlineStr">
        <is>
          <t>Soviet Mobile Construction Vehicle</t>
        </is>
      </c>
      <c r="D60" s="6" t="inlineStr">
        <is>
          <t>SupportVehicle</t>
        </is>
      </c>
      <c r="E60" s="6" t="n">
        <v>300000</v>
      </c>
      <c r="F60" s="6" t="n">
        <v>75</v>
      </c>
      <c r="G60" t="inlineStr">
        <is>
          <t>Medium</t>
        </is>
      </c>
      <c r="H60" s="6" t="n">
        <v>0.8824</v>
      </c>
      <c r="I60" s="6" t="n">
        <v>1</v>
      </c>
      <c r="J60" s="6" t="n">
        <v>1</v>
      </c>
      <c r="K60" s="6" t="n"/>
      <c r="X60" s="6" t="n">
        <v>5000</v>
      </c>
    </row>
    <row r="61">
      <c r="A61" t="inlineStr">
        <is>
          <t>redalert2</t>
        </is>
      </c>
      <c r="B61" t="inlineStr">
        <is>
          <t>ra2_soviets_rhinoheavytank</t>
        </is>
      </c>
      <c r="C61" t="inlineStr">
        <is>
          <t>Rhino Heavy Tank</t>
        </is>
      </c>
      <c r="D61" s="6" t="inlineStr">
        <is>
          <t>MainBattleTank</t>
        </is>
      </c>
      <c r="E61" s="6" t="n">
        <v>130000</v>
      </c>
      <c r="F61" s="6" t="n">
        <v>85</v>
      </c>
      <c r="G61" t="inlineStr">
        <is>
          <t>Heavy</t>
        </is>
      </c>
      <c r="H61" s="6" t="n">
        <v>1</v>
      </c>
      <c r="I61" s="6" t="n">
        <v>1</v>
      </c>
      <c r="J61" s="6" t="n">
        <v>1</v>
      </c>
      <c r="K61" s="6" t="n"/>
      <c r="P61">
        <f>MAX(P62,P63,P64,P65,P66,P67,P68,P69)</f>
        <v/>
      </c>
      <c r="S61">
        <f>S62+S63+S64+S65+S66+S67+S68+S69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(((E61/240000)+(F61/95)+(S61/600)+((P61/5500)*J61))*800/4+(((E61/240000)*(F61/95))+(((P61/5500)*J61)*(S61/600)))*800/2+((E61/240000)*(F61/95)*((P61/5500)*J61)*(S61/600))*800)*(H61/1.0)/3</f>
        <v/>
      </c>
      <c r="X61" s="6" t="n">
        <v>850</v>
      </c>
      <c r="Y61">
        <f>IFERROR(W61-X61,"")</f>
        <v/>
      </c>
      <c r="Z61">
        <f>IFERROR(ABS(Y61)/MAX(X61,1),"")</f>
        <v/>
      </c>
      <c r="AA61">
        <f>IFERROR(ROUND(((3*X61-(((E61/240000)+(F61/95)+(S61/600))*800/4+((E61/240000)*(F61/95))*800/2)*(H61/1.0))/(800/4+((S61/600))*800/2+((E61/240000)*(F61/95)*(S61/600))*800)*(H61/1.0)*5500)/J61,-1),"")</f>
        <v/>
      </c>
    </row>
    <row r="62">
      <c r="B62" s="7" t="inlineStr">
        <is>
          <t xml:space="preserve">  ↳ RA2120mm</t>
        </is>
      </c>
      <c r="C62" s="7" t="inlineStr">
        <is>
          <t>Armament@PRIMARY</t>
        </is>
      </c>
      <c r="L62" s="6" t="n">
        <v>10000</v>
      </c>
      <c r="M62" s="6" t="n">
        <v>54</v>
      </c>
      <c r="N62" s="6" t="n">
        <v>1</v>
      </c>
      <c r="O62" s="6" t="n"/>
      <c r="P62" s="6" t="n">
        <v>5374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^Warhead_CannonHE_Medium</t>
        </is>
      </c>
    </row>
    <row r="63">
      <c r="B63" s="7" t="inlineStr">
        <is>
          <t xml:space="preserve">  ↳ RA2120mm_rad</t>
        </is>
      </c>
      <c r="C63" s="7" t="inlineStr">
        <is>
          <t>Armament@PRIMARYRad</t>
        </is>
      </c>
      <c r="L63" s="6" t="n">
        <v>12000</v>
      </c>
      <c r="M63" s="6" t="n">
        <v>54</v>
      </c>
      <c r="N63" s="6" t="n">
        <v>1</v>
      </c>
      <c r="O63" s="6" t="n"/>
      <c r="P63" s="6" t="n">
        <v>5374</v>
      </c>
      <c r="Q63" s="6" t="n">
        <v>1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^Warhead_Chemical_Medium, ^Warhead_CannonHE_Medium</t>
        </is>
      </c>
    </row>
    <row r="64">
      <c r="B64" s="7" t="inlineStr">
        <is>
          <t xml:space="preserve">  ↳ RA2120mm_fire</t>
        </is>
      </c>
      <c r="C64" s="7" t="inlineStr">
        <is>
          <t>Armament@PRIMARYFire</t>
        </is>
      </c>
      <c r="L64" s="6" t="n">
        <v>10000</v>
      </c>
      <c r="M64" s="6" t="n">
        <v>54</v>
      </c>
      <c r="N64" s="6" t="n">
        <v>1</v>
      </c>
      <c r="O64" s="6" t="n"/>
      <c r="P64" s="6" t="n">
        <v>5374</v>
      </c>
      <c r="Q64" s="6" t="n">
        <v>1</v>
      </c>
      <c r="R64">
        <f>M64+IF(N64&gt;1,N(O64)*(N64-1),0)</f>
        <v/>
      </c>
      <c r="S64">
        <f>IFERROR(L64*MAX(N64,1)/R64*IF(ISBLANK(K61),1,K61),0)</f>
        <v/>
      </c>
      <c r="AB64" s="7" t="inlineStr">
        <is>
          <t>^Warhead_CannonHE_Medium</t>
        </is>
      </c>
    </row>
    <row r="65">
      <c r="B65" s="7" t="inlineStr">
        <is>
          <t xml:space="preserve">  ↳ RA2120mm_tesla</t>
        </is>
      </c>
      <c r="C65" s="7" t="inlineStr">
        <is>
          <t>Armament@PRIMARYTesla</t>
        </is>
      </c>
      <c r="L65" s="6" t="n">
        <v>10000</v>
      </c>
      <c r="M65" s="6" t="n">
        <v>54</v>
      </c>
      <c r="N65" s="6" t="n">
        <v>1</v>
      </c>
      <c r="O65" s="6" t="n"/>
      <c r="P65" s="6" t="n">
        <v>5374</v>
      </c>
      <c r="Q65" s="6" t="n">
        <v>1</v>
      </c>
      <c r="R65">
        <f>M65+IF(N65&gt;1,N(O65)*(N65-1),0)</f>
        <v/>
      </c>
      <c r="S65">
        <f>IFERROR(L65*MAX(N65,1)/R65*IF(ISBLANK(K61),1,K61),0)</f>
        <v/>
      </c>
      <c r="AB65" s="7" t="inlineStr">
        <is>
          <t>^Warhead_CannonHE_Medium</t>
        </is>
      </c>
    </row>
    <row r="66">
      <c r="B66" s="7" t="inlineStr">
        <is>
          <t xml:space="preserve">  ↳ RA2120mm_elite</t>
        </is>
      </c>
      <c r="C66" s="7" t="inlineStr">
        <is>
          <t>Armament@PRIMARYELITE</t>
        </is>
      </c>
      <c r="L66" s="6" t="n">
        <v>10000</v>
      </c>
      <c r="M66" s="6" t="n">
        <v>54</v>
      </c>
      <c r="N66" s="6" t="n">
        <v>2</v>
      </c>
      <c r="O66" s="6" t="n">
        <v>3</v>
      </c>
      <c r="P66" s="6" t="n">
        <v>6374</v>
      </c>
      <c r="Q66" s="6" t="n">
        <v>1</v>
      </c>
      <c r="R66">
        <f>M66+IF(N66&gt;1,N(O66)*(N66-1),0)</f>
        <v/>
      </c>
      <c r="S66">
        <f>IFERROR(L66*MAX(N66,1)/R66*IF(ISBLANK(K61),1,K61),0)</f>
        <v/>
      </c>
      <c r="AB66" s="7" t="inlineStr">
        <is>
          <t>^Warhead_CannonHE_Medium</t>
        </is>
      </c>
    </row>
    <row r="67">
      <c r="B67" s="7" t="inlineStr">
        <is>
          <t xml:space="preserve">  ↳ RA2120mm_rad_elite</t>
        </is>
      </c>
      <c r="C67" s="7" t="inlineStr">
        <is>
          <t>Armament@PRIMARYELITERad</t>
        </is>
      </c>
      <c r="L67" s="6" t="n">
        <v>12000</v>
      </c>
      <c r="M67" s="6" t="n">
        <v>54</v>
      </c>
      <c r="N67" s="6" t="n">
        <v>2</v>
      </c>
      <c r="O67" s="6" t="n">
        <v>3</v>
      </c>
      <c r="P67" s="6" t="n">
        <v>6374</v>
      </c>
      <c r="Q67" s="6" t="n">
        <v>1</v>
      </c>
      <c r="R67">
        <f>M67+IF(N67&gt;1,N(O67)*(N67-1),0)</f>
        <v/>
      </c>
      <c r="S67">
        <f>IFERROR(L67*MAX(N67,1)/R67*IF(ISBLANK(K61),1,K61),0)</f>
        <v/>
      </c>
      <c r="AB67" s="7" t="inlineStr">
        <is>
          <t>^Warhead_Chemical_Medium, ^Warhead_CannonHE_Medium</t>
        </is>
      </c>
    </row>
    <row r="68">
      <c r="B68" s="7" t="inlineStr">
        <is>
          <t xml:space="preserve">  ↳ RA2120mm_fire_elite</t>
        </is>
      </c>
      <c r="C68" s="7" t="inlineStr">
        <is>
          <t>Armament@PRIMARYELITEFire</t>
        </is>
      </c>
      <c r="L68" s="6" t="n">
        <v>10000</v>
      </c>
      <c r="M68" s="6" t="n">
        <v>54</v>
      </c>
      <c r="N68" s="6" t="n">
        <v>2</v>
      </c>
      <c r="O68" s="6" t="n">
        <v>3</v>
      </c>
      <c r="P68" s="6" t="n">
        <v>6374</v>
      </c>
      <c r="Q68" s="6" t="n">
        <v>1</v>
      </c>
      <c r="R68">
        <f>M68+IF(N68&gt;1,N(O68)*(N68-1),0)</f>
        <v/>
      </c>
      <c r="S68">
        <f>IFERROR(L68*MAX(N68,1)/R68*IF(ISBLANK(K61),1,K61),0)</f>
        <v/>
      </c>
      <c r="AB68" s="7" t="inlineStr">
        <is>
          <t>^Warhead_CannonHE_Medium</t>
        </is>
      </c>
    </row>
    <row r="69">
      <c r="B69" s="7" t="inlineStr">
        <is>
          <t xml:space="preserve">  ↳ RA2120mm_tesla_elite</t>
        </is>
      </c>
      <c r="C69" s="7" t="inlineStr">
        <is>
          <t>Armament@PRIMARYELITETesla</t>
        </is>
      </c>
      <c r="L69" s="6" t="n">
        <v>10000</v>
      </c>
      <c r="M69" s="6" t="n">
        <v>54</v>
      </c>
      <c r="N69" s="6" t="n">
        <v>2</v>
      </c>
      <c r="O69" s="6" t="n">
        <v>3</v>
      </c>
      <c r="P69" s="6" t="n">
        <v>6374</v>
      </c>
      <c r="Q69" s="6" t="n">
        <v>1</v>
      </c>
      <c r="R69">
        <f>M69+IF(N69&gt;1,N(O69)*(N69-1),0)</f>
        <v/>
      </c>
      <c r="S69">
        <f>IFERROR(L69*MAX(N69,1)/R69*IF(ISBLANK(K61),1,K61),0)</f>
        <v/>
      </c>
      <c r="AB69" s="7" t="inlineStr">
        <is>
          <t>^Warhead_CannonHE_Medium</t>
        </is>
      </c>
    </row>
    <row r="70">
      <c r="A70" t="inlineStr">
        <is>
          <t>redalert2</t>
        </is>
      </c>
      <c r="B70" t="inlineStr">
        <is>
          <t>ra2_soviets_terrordrone</t>
        </is>
      </c>
      <c r="C70" t="inlineStr">
        <is>
          <t>Terror Drone</t>
        </is>
      </c>
      <c r="D70" s="6" t="inlineStr">
        <is>
          <t>ScoutVehicle</t>
        </is>
      </c>
      <c r="E70" s="6" t="n">
        <v>10000</v>
      </c>
      <c r="F70" s="6" t="n">
        <v>200</v>
      </c>
      <c r="G70" t="inlineStr">
        <is>
          <t>Scout</t>
        </is>
      </c>
      <c r="H70" s="6" t="n">
        <v>0.9322</v>
      </c>
      <c r="I70" s="6" t="n">
        <v>1</v>
      </c>
      <c r="J70" s="6" t="n">
        <v>1</v>
      </c>
      <c r="K70" s="6" t="n"/>
      <c r="P70">
        <f>MAX(P71,P72)</f>
        <v/>
      </c>
      <c r="S70">
        <f>S71+S72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(((E70/30000)+(F70/200)+(S70/450)+((P70/4500)*J70))*300/4+(((E70/30000)*(F70/200))+(((P70/4500)*J70)*(S70/450)))*300/2+((E70/30000)*(F70/200)*((P70/4500)*J70)*(S70/450))*300)*(H70/1.0)/3</f>
        <v/>
      </c>
      <c r="X70" s="6" t="n">
        <v>600</v>
      </c>
      <c r="Y70">
        <f>IFERROR(W70-X70,"")</f>
        <v/>
      </c>
      <c r="Z70">
        <f>IFERROR(ABS(Y70)/MAX(X70,1),"")</f>
        <v/>
      </c>
      <c r="AA70">
        <f>IFERROR(ROUND(((3*X70-(((E70/30000)+(F70/200)+(S70/450))*300/4+((E70/30000)*(F70/200))*300/2)*(H70/1.0))/(300/4+((S70/450))*300/2+((E70/30000)*(F70/200)*(S70/450))*300)*(H70/1.0)*4500)/J70,-1),"")</f>
        <v/>
      </c>
    </row>
    <row r="71">
      <c r="B71" s="7" t="inlineStr">
        <is>
          <t xml:space="preserve">  ↳ RA2DroneJump</t>
        </is>
      </c>
      <c r="C71" s="7" t="inlineStr">
        <is>
          <t>Armament</t>
        </is>
      </c>
      <c r="L71" s="6" t="n">
        <v>100000</v>
      </c>
      <c r="M71" s="6" t="n">
        <v>40</v>
      </c>
      <c r="N71" s="6" t="n">
        <v>1</v>
      </c>
      <c r="O71" s="6" t="n"/>
      <c r="P71" s="6" t="n">
        <v>4000</v>
      </c>
      <c r="Q71" s="6" t="n">
        <v>1</v>
      </c>
      <c r="R71">
        <f>M71+IF(N71&gt;1,N(O71)*(N71-1),0)</f>
        <v/>
      </c>
      <c r="S71">
        <f>IFERROR(L71*MAX(N71,1)/R71*IF(ISBLANK(K70),1,K70),0)</f>
        <v/>
      </c>
      <c r="AB71" s="7" t="inlineStr"/>
    </row>
    <row r="72">
      <c r="B72" s="7" t="inlineStr">
        <is>
          <t xml:space="preserve">  ↳ RA2DroneJump_elite</t>
        </is>
      </c>
      <c r="C72" s="7" t="inlineStr">
        <is>
          <t>Armament@Elite</t>
        </is>
      </c>
      <c r="L72" s="6" t="n">
        <v>100000</v>
      </c>
      <c r="M72" s="6" t="n">
        <v>10</v>
      </c>
      <c r="N72" s="6" t="n">
        <v>1</v>
      </c>
      <c r="O72" s="6" t="n"/>
      <c r="P72" s="6" t="n">
        <v>4000</v>
      </c>
      <c r="Q72" s="6" t="n">
        <v>1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RA2DroneJump</t>
        </is>
      </c>
    </row>
    <row r="73">
      <c r="A73" t="inlineStr">
        <is>
          <t>redalert2</t>
        </is>
      </c>
      <c r="B73" t="inlineStr">
        <is>
          <t>ra2_soviets_teslatank</t>
        </is>
      </c>
      <c r="C73" t="inlineStr">
        <is>
          <t>Tesla Tank</t>
        </is>
      </c>
      <c r="D73" s="6" t="inlineStr">
        <is>
          <t>FireSupport</t>
        </is>
      </c>
      <c r="E73" s="6" t="n">
        <v>75000</v>
      </c>
      <c r="F73" s="6" t="n">
        <v>75</v>
      </c>
      <c r="G73" t="inlineStr">
        <is>
          <t>Light</t>
        </is>
      </c>
      <c r="H73" s="6" t="n">
        <v>0.9322</v>
      </c>
      <c r="I73" s="6" t="n">
        <v>1</v>
      </c>
      <c r="J73" s="6" t="n">
        <v>1</v>
      </c>
      <c r="K73" s="6" t="n"/>
      <c r="P73">
        <f>MAX(P74,P75,P76)</f>
        <v/>
      </c>
      <c r="S73">
        <f>S74+S75+S76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(((E73/120000)+(F73/90)+(S73/2100)+((P73/10000)*J73))*1400/4+(((E73/120000)*(F73/90))+(((P73/10000)*J73)*(S73/2100)))*1400/2+((E73/120000)*(F73/90)*((P73/10000)*J73)*(S73/2100))*1400)*(H73/0.6735)/3</f>
        <v/>
      </c>
      <c r="X73" s="6" t="n">
        <v>1800</v>
      </c>
      <c r="Y73">
        <f>IFERROR(W73-X73,"")</f>
        <v/>
      </c>
      <c r="Z73">
        <f>IFERROR(ABS(Y73)/MAX(X73,1),"")</f>
        <v/>
      </c>
      <c r="AA73">
        <f>IFERROR(ROUND(((3*X73-(((E73/120000)+(F73/90)+(S73/2100))*1400/4+((E73/120000)*(F73/90))*1400/2)*(H73/0.6735))/(1400/4+((S73/2100))*1400/2+((E73/120000)*(F73/90)*(S73/2100))*1400)*(H73/0.6735)*10000)/J73,-1),"")</f>
        <v/>
      </c>
    </row>
    <row r="74">
      <c r="B74" s="7" t="inlineStr">
        <is>
          <t xml:space="preserve">  ↳ RA2TankBolt</t>
        </is>
      </c>
      <c r="C74" s="7" t="inlineStr">
        <is>
          <t>Armament@PRIMARY</t>
        </is>
      </c>
      <c r="L74" s="6" t="n">
        <v>12000</v>
      </c>
      <c r="M74" s="6" t="n">
        <v>55</v>
      </c>
      <c r="N74" s="6" t="n">
        <v>2</v>
      </c>
      <c r="O74" s="6" t="n">
        <v>5</v>
      </c>
      <c r="P74" s="6" t="n">
        <v>7500</v>
      </c>
      <c r="Q74" s="6" t="n">
        <v>1.25</v>
      </c>
      <c r="R74">
        <f>M74+IF(N74&gt;1,N(O74)*(N74-1),0)</f>
        <v/>
      </c>
      <c r="S74">
        <f>IFERROR(L74*MAX(N74,1)/R74*IF(ISBLANK(K73),1,K73),0)</f>
        <v/>
      </c>
      <c r="AB74" s="7" t="inlineStr">
        <is>
          <t>^Warhead_Tesla_Heavy</t>
        </is>
      </c>
    </row>
    <row r="75">
      <c r="B75" s="7" t="inlineStr">
        <is>
          <t xml:space="preserve">  ↳ RA2TankBolt2</t>
        </is>
      </c>
      <c r="C75" s="7" t="inlineStr">
        <is>
          <t>Armament@PRIMARY2</t>
        </is>
      </c>
      <c r="L75" s="6" t="n">
        <v>12000</v>
      </c>
      <c r="M75" s="6" t="n">
        <v>55</v>
      </c>
      <c r="N75" s="6" t="n">
        <v>2</v>
      </c>
      <c r="O75" s="6" t="n">
        <v>5</v>
      </c>
      <c r="P75" s="6" t="n">
        <v>8000</v>
      </c>
      <c r="Q75" s="6" t="n">
        <v>1.25</v>
      </c>
      <c r="R75">
        <f>M75+IF(N75&gt;1,N(O75)*(N75-1),0)</f>
        <v/>
      </c>
      <c r="S75">
        <f>IFERROR(L75*MAX(N75,1)/R75*IF(ISBLANK(K73),1,K73),0)</f>
        <v/>
      </c>
      <c r="AB75" s="7" t="inlineStr">
        <is>
          <t>^Warhead_Tesla_Heavy</t>
        </is>
      </c>
    </row>
    <row r="76">
      <c r="B76" s="7" t="inlineStr">
        <is>
          <t xml:space="preserve">  ↳ RA2TankBolt3</t>
        </is>
      </c>
      <c r="C76" s="7" t="inlineStr">
        <is>
          <t>Armament@PRIMARY3</t>
        </is>
      </c>
      <c r="L76" s="6" t="n">
        <v>12000</v>
      </c>
      <c r="M76" s="6" t="n">
        <v>55</v>
      </c>
      <c r="N76" s="6" t="n">
        <v>2</v>
      </c>
      <c r="O76" s="6" t="n">
        <v>5</v>
      </c>
      <c r="P76" s="6" t="n">
        <v>8500</v>
      </c>
      <c r="Q76" s="6" t="n">
        <v>1.25</v>
      </c>
      <c r="R76">
        <f>M76+IF(N76&gt;1,N(O76)*(N76-1),0)</f>
        <v/>
      </c>
      <c r="S76">
        <f>IFERROR(L76*MAX(N76,1)/R76*IF(ISBLANK(K73),1,K73),0)</f>
        <v/>
      </c>
      <c r="AB76" s="7" t="inlineStr">
        <is>
          <t>^Warhead_Tesla_Heavy</t>
        </is>
      </c>
    </row>
    <row r="77">
      <c r="A77" t="inlineStr">
        <is>
          <t>redalert2</t>
        </is>
      </c>
      <c r="B77" t="inlineStr">
        <is>
          <t>ra2_soviets_v3rocketlauncher</t>
        </is>
      </c>
      <c r="C77" t="inlineStr">
        <is>
          <t>V3 Rocket Launcher</t>
        </is>
      </c>
      <c r="D77" s="6" t="inlineStr">
        <is>
          <t>Artillery</t>
        </is>
      </c>
      <c r="E77" s="6" t="n">
        <v>37500</v>
      </c>
      <c r="F77" s="6" t="n">
        <v>75</v>
      </c>
      <c r="G77" t="inlineStr">
        <is>
          <t>Light</t>
        </is>
      </c>
      <c r="H77" s="6" t="n">
        <v>1</v>
      </c>
      <c r="I77" s="6" t="n">
        <v>0.25</v>
      </c>
      <c r="J77" s="6" t="n">
        <v>1</v>
      </c>
      <c r="K77" s="6" t="n">
        <v>0.0125</v>
      </c>
      <c r="X77" s="6" t="n">
        <v>900</v>
      </c>
    </row>
    <row r="78">
      <c r="B78" s="7" t="inlineStr">
        <is>
          <t xml:space="preserve">  ↳ V3Launch</t>
        </is>
      </c>
      <c r="C78" s="7" t="inlineStr">
        <is>
          <t>Armament</t>
        </is>
      </c>
      <c r="L78" s="6" t="n"/>
      <c r="M78" s="6" t="n">
        <v>50</v>
      </c>
      <c r="N78" s="6" t="n">
        <v>1</v>
      </c>
      <c r="O78" s="6" t="n"/>
      <c r="P78" s="6" t="n">
        <v>15000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/>
    </row>
    <row r="79">
      <c r="B79" s="7" t="inlineStr">
        <is>
          <t xml:space="preserve">  ↳ V3Launch_elite</t>
        </is>
      </c>
      <c r="C79" s="7" t="inlineStr">
        <is>
          <t>Armament@PRIMARYELITE</t>
        </is>
      </c>
      <c r="L79" s="6" t="n"/>
      <c r="M79" s="6" t="n">
        <v>50</v>
      </c>
      <c r="N79" s="6" t="n">
        <v>1</v>
      </c>
      <c r="O79" s="6" t="n"/>
      <c r="P79" s="6" t="n">
        <v>20000</v>
      </c>
      <c r="Q79" s="6" t="n">
        <v>1</v>
      </c>
      <c r="R79">
        <f>M79+IF(N79&gt;1,N(O79)*(N79-1),0)</f>
        <v/>
      </c>
      <c r="S79">
        <f>IFERROR(L79*MAX(N79,1)/R79*IF(ISBLANK(K77),1,K77),0)</f>
        <v/>
      </c>
      <c r="AB79" s="7" t="inlineStr"/>
    </row>
    <row r="80">
      <c r="A80" t="inlineStr">
        <is>
          <t>redalert2</t>
        </is>
      </c>
      <c r="B80" t="inlineStr">
        <is>
          <t>ra2_soviets_warminer</t>
        </is>
      </c>
      <c r="C80" t="inlineStr">
        <is>
          <t>War Miner</t>
        </is>
      </c>
      <c r="D80" s="6" t="inlineStr">
        <is>
          <t>Harvester</t>
        </is>
      </c>
      <c r="E80" s="6" t="n">
        <v>125000</v>
      </c>
      <c r="F80" s="6" t="n">
        <v>75</v>
      </c>
      <c r="G80" t="inlineStr">
        <is>
          <t>Medium</t>
        </is>
      </c>
      <c r="H80" s="6" t="n">
        <v>0.988</v>
      </c>
      <c r="I80" s="6" t="n">
        <v>1</v>
      </c>
      <c r="J80" s="6" t="n">
        <v>1</v>
      </c>
      <c r="K80" s="6" t="n"/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1200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RA220mmrapid</t>
        </is>
      </c>
      <c r="C81" s="7" t="inlineStr">
        <is>
          <t>Armament@PRIMARY</t>
        </is>
      </c>
      <c r="L81" s="6" t="n">
        <v>8000</v>
      </c>
      <c r="M81" s="6" t="n">
        <v>15</v>
      </c>
      <c r="N81" s="6" t="n">
        <v>1</v>
      </c>
      <c r="O81" s="6" t="n"/>
      <c r="P81" s="6" t="n">
        <v>5000</v>
      </c>
      <c r="Q81" s="6" t="n">
        <v>0.875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A82" s="4" t="inlineStr">
        <is>
          <t>AIRCRAFT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redalert2</t>
        </is>
      </c>
      <c r="B83" t="inlineStr">
        <is>
          <t>ra2_soviets_kirovairship</t>
        </is>
      </c>
      <c r="C83" t="inlineStr">
        <is>
          <t>Kirov Airship</t>
        </is>
      </c>
      <c r="D83" s="6" t="inlineStr">
        <is>
          <t>Spaceship</t>
        </is>
      </c>
      <c r="E83" s="6" t="n">
        <v>800000</v>
      </c>
      <c r="F83" s="6" t="n">
        <v>30</v>
      </c>
      <c r="G83" t="inlineStr">
        <is>
          <t>Spaceship</t>
        </is>
      </c>
      <c r="H83" s="6" t="n">
        <v>0.5205</v>
      </c>
      <c r="I83" s="6" t="n">
        <v>1</v>
      </c>
      <c r="J83" s="6" t="n">
        <v>1</v>
      </c>
      <c r="K83" s="6" t="n"/>
      <c r="P83">
        <f>MAX(P84,P85,P86,P87,P88,P89)</f>
        <v/>
      </c>
      <c r="S83">
        <f>S84+S85+S86+S87+S88+S89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4000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RA2KirovBomb</t>
        </is>
      </c>
      <c r="C84" s="7" t="inlineStr">
        <is>
          <t>Armament@PRIMARY</t>
        </is>
      </c>
      <c r="L84" s="6" t="n">
        <v>80000</v>
      </c>
      <c r="M84" s="6" t="n">
        <v>50</v>
      </c>
      <c r="N84" s="6" t="n">
        <v>1</v>
      </c>
      <c r="O84" s="6" t="n"/>
      <c r="P84" s="6" t="n">
        <v>2500</v>
      </c>
      <c r="Q84" s="6" t="n">
        <v>1.25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^Warhead_Demolition_Heavy</t>
        </is>
      </c>
    </row>
    <row r="85">
      <c r="B85" s="7" t="inlineStr">
        <is>
          <t xml:space="preserve">  ↳ RA2KirovBomb_rad</t>
        </is>
      </c>
      <c r="C85" s="7" t="inlineStr">
        <is>
          <t>Armament@PRIMARYRad</t>
        </is>
      </c>
      <c r="L85" s="6" t="n">
        <v>96000</v>
      </c>
      <c r="M85" s="6" t="n">
        <v>50</v>
      </c>
      <c r="N85" s="6" t="n">
        <v>1</v>
      </c>
      <c r="O85" s="6" t="n"/>
      <c r="P85" s="6" t="n">
        <v>2500</v>
      </c>
      <c r="Q85" s="6" t="n">
        <v>1.25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^Warhead_Chemical_Heavy, ^Warhead_Demolition_Heavy</t>
        </is>
      </c>
    </row>
    <row r="86">
      <c r="B86" s="7" t="inlineStr">
        <is>
          <t xml:space="preserve">  ↳ RA2KirovBomb_fire</t>
        </is>
      </c>
      <c r="C86" s="7" t="inlineStr">
        <is>
          <t>Armament@PRIMARYFire</t>
        </is>
      </c>
      <c r="L86" s="6" t="n">
        <v>80000</v>
      </c>
      <c r="M86" s="6" t="n">
        <v>50</v>
      </c>
      <c r="N86" s="6" t="n">
        <v>1</v>
      </c>
      <c r="O86" s="6" t="n"/>
      <c r="P86" s="6" t="n">
        <v>2500</v>
      </c>
      <c r="Q86" s="6" t="n">
        <v>1.25</v>
      </c>
      <c r="R86">
        <f>M86+IF(N86&gt;1,N(O86)*(N86-1),0)</f>
        <v/>
      </c>
      <c r="S86">
        <f>IFERROR(L86*MAX(N86,1)/R86*IF(ISBLANK(K83),1,K83),0)</f>
        <v/>
      </c>
      <c r="AB86" s="7" t="inlineStr">
        <is>
          <t>^Warhead_Demolition_Heavy</t>
        </is>
      </c>
    </row>
    <row r="87">
      <c r="B87" s="7" t="inlineStr">
        <is>
          <t xml:space="preserve">  ↳ RA2KirovBomb_tesla</t>
        </is>
      </c>
      <c r="C87" s="7" t="inlineStr">
        <is>
          <t>Armament@PRIMARYTesla</t>
        </is>
      </c>
      <c r="L87" s="6" t="n">
        <v>160000</v>
      </c>
      <c r="M87" s="6" t="n">
        <v>50</v>
      </c>
      <c r="N87" s="6" t="n">
        <v>1</v>
      </c>
      <c r="O87" s="6" t="n"/>
      <c r="P87" s="6" t="n">
        <v>2500</v>
      </c>
      <c r="Q87" s="6" t="n">
        <v>1.25</v>
      </c>
      <c r="R87">
        <f>M87+IF(N87&gt;1,N(O87)*(N87-1),0)</f>
        <v/>
      </c>
      <c r="S87">
        <f>IFERROR(L87*MAX(N87,1)/R87*IF(ISBLANK(K83),1,K83),0)</f>
        <v/>
      </c>
      <c r="AB87" s="7" t="inlineStr">
        <is>
          <t>^Warhead_Tesla_Super, ^Warhead_Demolition_Heavy</t>
        </is>
      </c>
    </row>
    <row r="88">
      <c r="B88" s="7" t="inlineStr">
        <is>
          <t xml:space="preserve">  ↳ RA2KirovBomb_nuclear</t>
        </is>
      </c>
      <c r="C88" s="7" t="inlineStr">
        <is>
          <t>Armament@PRIMARYNuclear</t>
        </is>
      </c>
      <c r="L88" s="6" t="n">
        <v>160000</v>
      </c>
      <c r="M88" s="6" t="n">
        <v>50</v>
      </c>
      <c r="N88" s="6" t="n">
        <v>1</v>
      </c>
      <c r="O88" s="6" t="n"/>
      <c r="P88" s="6" t="n">
        <v>2500</v>
      </c>
      <c r="Q88" s="6" t="n">
        <v>1.375</v>
      </c>
      <c r="R88">
        <f>M88+IF(N88&gt;1,N(O88)*(N88-1),0)</f>
        <v/>
      </c>
      <c r="S88">
        <f>IFERROR(L88*MAX(N88,1)/R88*IF(ISBLANK(K83),1,K83),0)</f>
        <v/>
      </c>
      <c r="AB88" s="7" t="inlineStr">
        <is>
          <t>^Warhead_Nuclear_Super, ^Warhead_Demolition_Heavy</t>
        </is>
      </c>
    </row>
    <row r="89">
      <c r="B89" s="7" t="inlineStr">
        <is>
          <t xml:space="preserve">  ↳ RA2KirovBomb_nuclear_elite</t>
        </is>
      </c>
      <c r="C89" s="7" t="inlineStr">
        <is>
          <t>Armament@PRIMARYNuclearELITE</t>
        </is>
      </c>
      <c r="L89" s="6" t="n">
        <v>200000</v>
      </c>
      <c r="M89" s="6" t="n">
        <v>50</v>
      </c>
      <c r="N89" s="6" t="n">
        <v>1</v>
      </c>
      <c r="O89" s="6" t="n"/>
      <c r="P89" s="6" t="n">
        <v>2500</v>
      </c>
      <c r="Q89" s="6" t="n">
        <v>1.375</v>
      </c>
      <c r="R89">
        <f>M89+IF(N89&gt;1,N(O89)*(N89-1),0)</f>
        <v/>
      </c>
      <c r="S89">
        <f>IFERROR(L89*MAX(N89,1)/R89*IF(ISBLANK(K83),1,K83),0)</f>
        <v/>
      </c>
      <c r="AB89" s="7" t="inlineStr">
        <is>
          <t>^Warhead_Nuclear_Super, ^Warhead_Demolition_Heavy</t>
        </is>
      </c>
    </row>
    <row r="90">
      <c r="A90" t="inlineStr">
        <is>
          <t>redalert2</t>
        </is>
      </c>
      <c r="B90" t="inlineStr">
        <is>
          <t>ra2_soviets_migbomber</t>
        </is>
      </c>
      <c r="C90" t="inlineStr">
        <is>
          <t>MiG Bomber</t>
        </is>
      </c>
      <c r="D90" s="6" t="inlineStr">
        <is>
          <t>Bomber</t>
        </is>
      </c>
      <c r="E90" s="6" t="n">
        <v>57500</v>
      </c>
      <c r="F90" s="6" t="n">
        <v>215</v>
      </c>
      <c r="G90" t="inlineStr">
        <is>
          <t>Bomber</t>
        </is>
      </c>
      <c r="H90" s="6" t="n">
        <v>0.5556</v>
      </c>
      <c r="I90" s="6" t="n">
        <v>1</v>
      </c>
      <c r="J90" s="6" t="n">
        <v>1</v>
      </c>
      <c r="K90" s="6" t="n"/>
      <c r="P90">
        <f>MAX(P91,P92,P93,P94,P95,P96,P97,P98)</f>
        <v/>
      </c>
      <c r="S90">
        <f>S91+S92+S93+S94+S95+S96+S97+S98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MigMissiles</t>
        </is>
      </c>
      <c r="C91" s="7" t="inlineStr">
        <is>
          <t>Armament</t>
        </is>
      </c>
      <c r="L91" s="6" t="n">
        <v>32000</v>
      </c>
      <c r="M91" s="6" t="n">
        <v>50</v>
      </c>
      <c r="N91" s="6" t="n">
        <v>4</v>
      </c>
      <c r="O91" s="6" t="n">
        <v>2</v>
      </c>
      <c r="P91" s="6" t="n">
        <v>7600</v>
      </c>
      <c r="Q91" s="6" t="n">
        <v>1</v>
      </c>
      <c r="R91">
        <f>M91+IF(N91&gt;1,N(O91)*(N91-1),0)</f>
        <v/>
      </c>
      <c r="S91">
        <f>IFERROR(L91*MAX(N91,1)/R91*IF(ISBLANK(K90),1,K90),0)</f>
        <v/>
      </c>
      <c r="AB91" s="7" t="inlineStr">
        <is>
          <t>^Warhead_MissileAP_Medium</t>
        </is>
      </c>
    </row>
    <row r="92">
      <c r="B92" s="7" t="inlineStr">
        <is>
          <t xml:space="preserve">  ↳ MigMissiles_rad</t>
        </is>
      </c>
      <c r="C92" s="7" t="inlineStr">
        <is>
          <t>Armament@rad</t>
        </is>
      </c>
      <c r="L92" s="6" t="n">
        <v>36000</v>
      </c>
      <c r="M92" s="6" t="n">
        <v>50</v>
      </c>
      <c r="N92" s="6" t="n">
        <v>4</v>
      </c>
      <c r="O92" s="6" t="n">
        <v>2</v>
      </c>
      <c r="P92" s="6" t="n">
        <v>7600</v>
      </c>
      <c r="Q92" s="6" t="n">
        <v>1</v>
      </c>
      <c r="R92">
        <f>M92+IF(N92&gt;1,N(O92)*(N92-1),0)</f>
        <v/>
      </c>
      <c r="S92">
        <f>IFERROR(L92*MAX(N92,1)/R92*IF(ISBLANK(K90),1,K90),0)</f>
        <v/>
      </c>
      <c r="AB92" s="7" t="inlineStr">
        <is>
          <t>^Warhead_Chemical_Medium, ^Warhead_MissileAP_Medium</t>
        </is>
      </c>
    </row>
    <row r="93">
      <c r="B93" s="7" t="inlineStr">
        <is>
          <t xml:space="preserve">  ↳ MigMissiles_fire</t>
        </is>
      </c>
      <c r="C93" s="7" t="inlineStr">
        <is>
          <t>Armament@fire</t>
        </is>
      </c>
      <c r="L93" s="6" t="n">
        <v>32000</v>
      </c>
      <c r="M93" s="6" t="n">
        <v>50</v>
      </c>
      <c r="N93" s="6" t="n">
        <v>4</v>
      </c>
      <c r="O93" s="6" t="n">
        <v>2</v>
      </c>
      <c r="P93" s="6" t="n">
        <v>7600</v>
      </c>
      <c r="Q93" s="6" t="n">
        <v>1</v>
      </c>
      <c r="R93">
        <f>M93+IF(N93&gt;1,N(O93)*(N93-1),0)</f>
        <v/>
      </c>
      <c r="S93">
        <f>IFERROR(L93*MAX(N93,1)/R93*IF(ISBLANK(K90),1,K90),0)</f>
        <v/>
      </c>
      <c r="AB93" s="7" t="inlineStr">
        <is>
          <t>^Warhead_MissileAP_Medium</t>
        </is>
      </c>
    </row>
    <row r="94">
      <c r="B94" s="7" t="inlineStr">
        <is>
          <t xml:space="preserve">  ↳ MigMissiles_tesla</t>
        </is>
      </c>
      <c r="C94" s="7" t="inlineStr">
        <is>
          <t>Armament@tesla</t>
        </is>
      </c>
      <c r="L94" s="6" t="n">
        <v>32000</v>
      </c>
      <c r="M94" s="6" t="n">
        <v>50</v>
      </c>
      <c r="N94" s="6" t="n">
        <v>4</v>
      </c>
      <c r="O94" s="6" t="n">
        <v>2</v>
      </c>
      <c r="P94" s="6" t="n">
        <v>7600</v>
      </c>
      <c r="Q94" s="6" t="n">
        <v>1</v>
      </c>
      <c r="R94">
        <f>M94+IF(N94&gt;1,N(O94)*(N94-1),0)</f>
        <v/>
      </c>
      <c r="S94">
        <f>IFERROR(L94*MAX(N94,1)/R94*IF(ISBLANK(K90),1,K90),0)</f>
        <v/>
      </c>
      <c r="AB94" s="7" t="inlineStr">
        <is>
          <t>^Warhead_MissileAP_Medium</t>
        </is>
      </c>
    </row>
    <row r="95">
      <c r="B95" s="7" t="inlineStr">
        <is>
          <t xml:space="preserve">  ↳ MigMissiles_elite</t>
        </is>
      </c>
      <c r="C95" s="7" t="inlineStr">
        <is>
          <t>Armament@PRIMARYELITE</t>
        </is>
      </c>
      <c r="L95" s="6" t="n">
        <v>32000</v>
      </c>
      <c r="M95" s="6" t="n">
        <v>50</v>
      </c>
      <c r="N95" s="6" t="n">
        <v>8</v>
      </c>
      <c r="O95" s="6" t="n">
        <v>2</v>
      </c>
      <c r="P95" s="6" t="n">
        <v>8600</v>
      </c>
      <c r="Q95" s="6" t="n">
        <v>1</v>
      </c>
      <c r="R95">
        <f>M95+IF(N95&gt;1,N(O95)*(N95-1),0)</f>
        <v/>
      </c>
      <c r="S95">
        <f>IFERROR(L95*MAX(N95,1)/R95*IF(ISBLANK(K90),1,K90),0)</f>
        <v/>
      </c>
      <c r="AB95" s="7" t="inlineStr">
        <is>
          <t>^Warhead_MissileAP_Medium</t>
        </is>
      </c>
    </row>
    <row r="96">
      <c r="B96" s="7" t="inlineStr">
        <is>
          <t xml:space="preserve">  ↳ MigMissiles_tesla_elite</t>
        </is>
      </c>
      <c r="C96" s="7" t="inlineStr">
        <is>
          <t>Armament@PRIMARYELITERad</t>
        </is>
      </c>
      <c r="L96" s="6" t="n">
        <v>32000</v>
      </c>
      <c r="M96" s="6" t="n">
        <v>50</v>
      </c>
      <c r="N96" s="6" t="n">
        <v>8</v>
      </c>
      <c r="O96" s="6" t="n">
        <v>2</v>
      </c>
      <c r="P96" s="6" t="n">
        <v>8600</v>
      </c>
      <c r="Q96" s="6" t="n">
        <v>1</v>
      </c>
      <c r="R96">
        <f>M96+IF(N96&gt;1,N(O96)*(N96-1),0)</f>
        <v/>
      </c>
      <c r="S96">
        <f>IFERROR(L96*MAX(N96,1)/R96*IF(ISBLANK(K90),1,K90),0)</f>
        <v/>
      </c>
      <c r="AB96" s="7" t="inlineStr">
        <is>
          <t>^Warhead_MissileAP_Medium</t>
        </is>
      </c>
    </row>
    <row r="97">
      <c r="B97" s="7" t="inlineStr">
        <is>
          <t xml:space="preserve">  ↳ MigMissiles_AA</t>
        </is>
      </c>
      <c r="C97" s="7" t="inlineStr">
        <is>
          <t>Armament@AA</t>
        </is>
      </c>
      <c r="L97" s="6" t="n">
        <v>32000</v>
      </c>
      <c r="M97" s="6" t="n">
        <v>50</v>
      </c>
      <c r="N97" s="6" t="n">
        <v>4</v>
      </c>
      <c r="O97" s="6" t="n">
        <v>2</v>
      </c>
      <c r="P97" s="6" t="n">
        <v>7600</v>
      </c>
      <c r="Q97" s="6" t="n">
        <v>1</v>
      </c>
      <c r="R97">
        <f>M97+IF(N97&gt;1,N(O97)*(N97-1),0)</f>
        <v/>
      </c>
      <c r="S97">
        <f>IFERROR(L97*MAX(N97,1)/R97*IF(ISBLANK(K90),1,K90),0)</f>
        <v/>
      </c>
      <c r="AB97" s="7" t="inlineStr">
        <is>
          <t>^Warhead_MissileAP_Medium</t>
        </is>
      </c>
    </row>
    <row r="98">
      <c r="B98" s="7" t="inlineStr">
        <is>
          <t xml:space="preserve">  ↳ MigMissiles_AA_elite</t>
        </is>
      </c>
      <c r="C98" s="7" t="inlineStr">
        <is>
          <t>Armament@AAELITE</t>
        </is>
      </c>
      <c r="L98" s="6" t="n">
        <v>32000</v>
      </c>
      <c r="M98" s="6" t="n">
        <v>50</v>
      </c>
      <c r="N98" s="6" t="n">
        <v>8</v>
      </c>
      <c r="O98" s="6" t="n">
        <v>2</v>
      </c>
      <c r="P98" s="6" t="n">
        <v>8600</v>
      </c>
      <c r="Q98" s="6" t="n">
        <v>1</v>
      </c>
      <c r="R98">
        <f>M98+IF(N98&gt;1,N(O98)*(N98-1),0)</f>
        <v/>
      </c>
      <c r="S98">
        <f>IFERROR(L98*MAX(N98,1)/R98*IF(ISBLANK(K90),1,K90),0)</f>
        <v/>
      </c>
      <c r="AB98" s="7" t="inlineStr">
        <is>
          <t>^Warhead_MissileAP_Medium</t>
        </is>
      </c>
    </row>
    <row r="99">
      <c r="A99" t="inlineStr">
        <is>
          <t>redalert2</t>
        </is>
      </c>
      <c r="B99" t="inlineStr">
        <is>
          <t>ra2_soviets_siegechopper</t>
        </is>
      </c>
      <c r="C99" t="inlineStr">
        <is>
          <t>Siege Chopper</t>
        </is>
      </c>
      <c r="D99" s="6" t="inlineStr">
        <is>
          <t>Helicopter</t>
        </is>
      </c>
      <c r="E99" s="6" t="n">
        <v>55000</v>
      </c>
      <c r="F99" s="6" t="n">
        <v>150</v>
      </c>
      <c r="G99" t="inlineStr">
        <is>
          <t>Helicopter</t>
        </is>
      </c>
      <c r="H99" s="6" t="n">
        <v>1</v>
      </c>
      <c r="I99" s="6" t="n">
        <v>1</v>
      </c>
      <c r="J99" s="6" t="n">
        <v>1</v>
      </c>
      <c r="K99" s="6" t="n">
        <v>0.005</v>
      </c>
      <c r="P99">
        <f>MAX(P100,P102,P103,P104,P105,P106,P107,P108,P109)</f>
        <v/>
      </c>
      <c r="S99">
        <f>S100+S102+S103+S104+S105+S106+S107+S108+S109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(T99+U99+V99)/3</f>
        <v/>
      </c>
      <c r="X99" s="6" t="n">
        <v>1500</v>
      </c>
      <c r="Y99">
        <f>IFERROR(W99-X99,"")</f>
        <v/>
      </c>
      <c r="Z99">
        <f>IFERROR(ABS(Y99)/MAX(X99,1),"")</f>
        <v/>
      </c>
      <c r="AA99">
        <f>IFERROR((X99-(((E99/100000+F99/100+S99/200)*200*I99*H99)+((E99*F99/25000)*I99*H99))/3)/(((J99/5)*200*I99*H99)+((J99*S99/2.5)*I99*H99)+((E99*F99*J99*S99*I99*H99)/12500000))/3*1000,"")</f>
        <v/>
      </c>
    </row>
    <row r="100">
      <c r="B100" s="7" t="inlineStr">
        <is>
          <t xml:space="preserve">  ↳ BlackHawkCannon</t>
        </is>
      </c>
      <c r="C100" s="7" t="inlineStr">
        <is>
          <t>Armament@PRIMARY</t>
        </is>
      </c>
      <c r="L100" s="6" t="n">
        <v>4000</v>
      </c>
      <c r="M100" s="6" t="n">
        <v>3</v>
      </c>
      <c r="N100" s="6" t="n">
        <v>1</v>
      </c>
      <c r="O100" s="6" t="n"/>
      <c r="P100" s="6" t="n">
        <v>4750</v>
      </c>
      <c r="Q100" s="6" t="n">
        <v>0.875</v>
      </c>
      <c r="R100">
        <f>M100+IF(N100&gt;1,N(O100)*(N100-1),0)</f>
        <v/>
      </c>
      <c r="S100">
        <f>IFERROR(L100*MAX(N100,1)/R100*IF(ISBLANK(K99),1,K99),0)</f>
        <v/>
      </c>
      <c r="AB100" s="7" t="inlineStr">
        <is>
          <t>^Warhead_Bullet_Light, ^Warhead_Bullet_Medium</t>
        </is>
      </c>
    </row>
    <row r="101">
      <c r="B101" s="7" t="inlineStr">
        <is>
          <t xml:space="preserve">  ↳ deploytargeting_5c0</t>
        </is>
      </c>
      <c r="C101" s="7" t="inlineStr">
        <is>
          <t>Armament@DeployTargeter</t>
        </is>
      </c>
      <c r="L101" s="6" t="n"/>
      <c r="M101" s="6" t="n">
        <v>50</v>
      </c>
      <c r="N101" s="6" t="n">
        <v>1</v>
      </c>
      <c r="O101" s="6" t="n"/>
      <c r="P101" s="6" t="n">
        <v>5000</v>
      </c>
      <c r="Q101" s="6" t="n">
        <v>1</v>
      </c>
      <c r="R101">
        <f>M101+IF(N101&gt;1,N(O101)*(N101-1),0)</f>
        <v/>
      </c>
      <c r="S101">
        <f>IFERROR(L101*MAX(N101,1)/R101*IF(ISBLANK(K99),1,K99),0)</f>
        <v/>
      </c>
      <c r="AB101" s="7" t="inlineStr">
        <is>
          <t>^DeployTargeting</t>
        </is>
      </c>
    </row>
    <row r="102">
      <c r="B102" s="7" t="inlineStr">
        <is>
          <t xml:space="preserve">  ↳ RA160mm</t>
        </is>
      </c>
      <c r="C102" s="7" t="inlineStr">
        <is>
          <t>Armament@Deployed</t>
        </is>
      </c>
      <c r="L102" s="6" t="n">
        <v>120000</v>
      </c>
      <c r="M102" s="6" t="n">
        <v>88</v>
      </c>
      <c r="N102" s="6" t="n">
        <v>1</v>
      </c>
      <c r="O102" s="6" t="n"/>
      <c r="P102" s="6" t="n">
        <v>11111</v>
      </c>
      <c r="Q102" s="6" t="n">
        <v>0.875</v>
      </c>
      <c r="R102">
        <f>M102+IF(N102&gt;1,N(O102)*(N102-1),0)</f>
        <v/>
      </c>
      <c r="S102">
        <f>IFERROR(L102*MAX(N102,1)/R102*IF(ISBLANK(K99),1,K99),0)</f>
        <v/>
      </c>
      <c r="AB102" s="7" t="inlineStr">
        <is>
          <t>^Warhead_Concussion_Medium, ^Warhead_Demolition_Light</t>
        </is>
      </c>
    </row>
    <row r="103">
      <c r="B103" s="7" t="inlineStr">
        <is>
          <t xml:space="preserve">  ↳ RA160mm_rad</t>
        </is>
      </c>
      <c r="C103" s="7" t="inlineStr">
        <is>
          <t>Armament@DeployedRad</t>
        </is>
      </c>
      <c r="L103" s="6" t="n">
        <v>108000</v>
      </c>
      <c r="M103" s="6" t="n">
        <v>88</v>
      </c>
      <c r="N103" s="6" t="n">
        <v>1</v>
      </c>
      <c r="O103" s="6" t="n"/>
      <c r="P103" s="6" t="n">
        <v>11111</v>
      </c>
      <c r="Q103" s="6" t="n">
        <v>1</v>
      </c>
      <c r="R103">
        <f>M103+IF(N103&gt;1,N(O103)*(N103-1),0)</f>
        <v/>
      </c>
      <c r="S103">
        <f>IFERROR(L103*MAX(N103,1)/R103*IF(ISBLANK(K99),1,K99),0)</f>
        <v/>
      </c>
      <c r="AB103" s="7" t="inlineStr">
        <is>
          <t>^Warhead_Chemical_Light, ^Warhead_Concussion_Medium, ^Warhead_Demolition_Light</t>
        </is>
      </c>
    </row>
    <row r="104">
      <c r="B104" s="7" t="inlineStr">
        <is>
          <t xml:space="preserve">  ↳ RA160mm_fire</t>
        </is>
      </c>
      <c r="C104" s="7" t="inlineStr">
        <is>
          <t>Armament@DeployedFire</t>
        </is>
      </c>
      <c r="L104" s="6" t="n">
        <v>120000</v>
      </c>
      <c r="M104" s="6" t="n">
        <v>88</v>
      </c>
      <c r="N104" s="6" t="n">
        <v>1</v>
      </c>
      <c r="O104" s="6" t="n"/>
      <c r="P104" s="6" t="n">
        <v>11111</v>
      </c>
      <c r="Q104" s="6" t="n">
        <v>0.875</v>
      </c>
      <c r="R104">
        <f>M104+IF(N104&gt;1,N(O104)*(N104-1),0)</f>
        <v/>
      </c>
      <c r="S104">
        <f>IFERROR(L104*MAX(N104,1)/R104*IF(ISBLANK(K99),1,K99),0)</f>
        <v/>
      </c>
      <c r="AB104" s="7" t="inlineStr">
        <is>
          <t>^Warhead_Concussion_Medium, ^Warhead_Demolition_Light</t>
        </is>
      </c>
    </row>
    <row r="105">
      <c r="B105" s="7" t="inlineStr">
        <is>
          <t xml:space="preserve">  ↳ RA160mm_tesla</t>
        </is>
      </c>
      <c r="C105" s="7" t="inlineStr">
        <is>
          <t>Armament@DeployedTesla</t>
        </is>
      </c>
      <c r="L105" s="6" t="n">
        <v>120000</v>
      </c>
      <c r="M105" s="6" t="n">
        <v>88</v>
      </c>
      <c r="N105" s="6" t="n">
        <v>1</v>
      </c>
      <c r="O105" s="6" t="n"/>
      <c r="P105" s="6" t="n">
        <v>11111</v>
      </c>
      <c r="Q105" s="6" t="n">
        <v>0.875</v>
      </c>
      <c r="R105">
        <f>M105+IF(N105&gt;1,N(O105)*(N105-1),0)</f>
        <v/>
      </c>
      <c r="S105">
        <f>IFERROR(L105*MAX(N105,1)/R105*IF(ISBLANK(K99),1,K99),0)</f>
        <v/>
      </c>
      <c r="AB105" s="7" t="inlineStr">
        <is>
          <t>^Warhead_Concussion_Medium, ^Warhead_Demolition_Light</t>
        </is>
      </c>
    </row>
    <row r="106">
      <c r="B106" s="7" t="inlineStr">
        <is>
          <t xml:space="preserve">  ↳ RA160mmE_elite</t>
        </is>
      </c>
      <c r="C106" s="7" t="inlineStr">
        <is>
          <t>Armament@DeployedElite</t>
        </is>
      </c>
      <c r="L106" s="6" t="n">
        <v>120000</v>
      </c>
      <c r="M106" s="6" t="n">
        <v>88</v>
      </c>
      <c r="N106" s="6" t="n">
        <v>2</v>
      </c>
      <c r="O106" s="6" t="n">
        <v>3</v>
      </c>
      <c r="P106" s="6" t="n">
        <v>12345</v>
      </c>
      <c r="Q106" s="6" t="n">
        <v>0.875</v>
      </c>
      <c r="R106">
        <f>M106+IF(N106&gt;1,N(O106)*(N106-1),0)</f>
        <v/>
      </c>
      <c r="S106">
        <f>IFERROR(L106*MAX(N106,1)/R106*IF(ISBLANK(K99),1,K99),0)</f>
        <v/>
      </c>
      <c r="AB106" s="7" t="inlineStr">
        <is>
          <t>^Warhead_Concussion_Medium, ^Warhead_Demolition_Light</t>
        </is>
      </c>
    </row>
    <row r="107">
      <c r="B107" s="7" t="inlineStr">
        <is>
          <t xml:space="preserve">  ↳ RA160mmE_rad_elite</t>
        </is>
      </c>
      <c r="C107" s="7" t="inlineStr">
        <is>
          <t>Armament@DeployedEliteRad</t>
        </is>
      </c>
      <c r="L107" s="6" t="n">
        <v>144000</v>
      </c>
      <c r="M107" s="6" t="n">
        <v>88</v>
      </c>
      <c r="N107" s="6" t="n">
        <v>1</v>
      </c>
      <c r="O107" s="6" t="n"/>
      <c r="P107" s="6" t="n">
        <v>12345</v>
      </c>
      <c r="Q107" s="6" t="n">
        <v>1</v>
      </c>
      <c r="R107">
        <f>M107+IF(N107&gt;1,N(O107)*(N107-1),0)</f>
        <v/>
      </c>
      <c r="S107">
        <f>IFERROR(L107*MAX(N107,1)/R107*IF(ISBLANK(K99),1,K99),0)</f>
        <v/>
      </c>
      <c r="AB107" s="7" t="inlineStr">
        <is>
          <t>^Warhead_Nuclear_Super, ^Warhead_Chemical_Light, ^Warhead_Concussion_Medium, ^Warhead_Demolition_Light</t>
        </is>
      </c>
    </row>
    <row r="108">
      <c r="B108" s="7" t="inlineStr">
        <is>
          <t xml:space="preserve">  ↳ RA160mmE_fire_elite</t>
        </is>
      </c>
      <c r="C108" s="7" t="inlineStr">
        <is>
          <t>Armament@DeployedEliteFire</t>
        </is>
      </c>
      <c r="L108" s="6" t="n">
        <v>120000</v>
      </c>
      <c r="M108" s="6" t="n">
        <v>88</v>
      </c>
      <c r="N108" s="6" t="n">
        <v>1</v>
      </c>
      <c r="O108" s="6" t="n"/>
      <c r="P108" s="6" t="n">
        <v>12345</v>
      </c>
      <c r="Q108" s="6" t="n">
        <v>0.875</v>
      </c>
      <c r="R108">
        <f>M108+IF(N108&gt;1,N(O108)*(N108-1),0)</f>
        <v/>
      </c>
      <c r="S108">
        <f>IFERROR(L108*MAX(N108,1)/R108*IF(ISBLANK(K99),1,K99),0)</f>
        <v/>
      </c>
      <c r="AB108" s="7" t="inlineStr">
        <is>
          <t>^Warhead_Concussion_Medium, ^Warhead_Demolition_Light</t>
        </is>
      </c>
    </row>
    <row r="109">
      <c r="B109" s="7" t="inlineStr">
        <is>
          <t xml:space="preserve">  ↳ RA160mmE_tesla_elite</t>
        </is>
      </c>
      <c r="C109" s="7" t="inlineStr">
        <is>
          <t>Armament@DeployedEliteTesla</t>
        </is>
      </c>
      <c r="L109" s="6" t="n">
        <v>120000</v>
      </c>
      <c r="M109" s="6" t="n">
        <v>88</v>
      </c>
      <c r="N109" s="6" t="n">
        <v>1</v>
      </c>
      <c r="O109" s="6" t="n"/>
      <c r="P109" s="6" t="n">
        <v>12345</v>
      </c>
      <c r="Q109" s="6" t="n">
        <v>0.875</v>
      </c>
      <c r="R109">
        <f>M109+IF(N109&gt;1,N(O109)*(N109-1),0)</f>
        <v/>
      </c>
      <c r="S109">
        <f>IFERROR(L109*MAX(N109,1)/R109*IF(ISBLANK(K99),1,K99),0)</f>
        <v/>
      </c>
      <c r="AB109" s="7" t="inlineStr">
        <is>
          <t>^Warhead_Concussion_Medium, ^Warhead_Demolition_Light</t>
        </is>
      </c>
    </row>
    <row r="110">
      <c r="A110" t="inlineStr">
        <is>
          <t>redalert2</t>
        </is>
      </c>
      <c r="B110" t="inlineStr">
        <is>
          <t>ra2_soviets_transportkirov</t>
        </is>
      </c>
      <c r="C110" t="inlineStr">
        <is>
          <t>Transport Kirov</t>
        </is>
      </c>
      <c r="D110" s="6" t="inlineStr">
        <is>
          <t>Helicopter</t>
        </is>
      </c>
      <c r="E110" s="6" t="n">
        <v>265000</v>
      </c>
      <c r="F110" s="6" t="n">
        <v>35</v>
      </c>
      <c r="G110" t="inlineStr">
        <is>
          <t>Helicopter</t>
        </is>
      </c>
      <c r="H110" s="6" t="n">
        <v>1</v>
      </c>
      <c r="I110" s="6" t="n">
        <v>1.25</v>
      </c>
      <c r="J110" s="6" t="n">
        <v>1</v>
      </c>
      <c r="K110" s="6" t="n"/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3600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BlackHawkCannon</t>
        </is>
      </c>
      <c r="C111" s="7" t="inlineStr">
        <is>
          <t>Armament@PRIMARY</t>
        </is>
      </c>
      <c r="L111" s="6" t="n">
        <v>4000</v>
      </c>
      <c r="M111" s="6" t="n">
        <v>3</v>
      </c>
      <c r="N111" s="6" t="n">
        <v>1</v>
      </c>
      <c r="O111" s="6" t="n"/>
      <c r="P111" s="6" t="n">
        <v>4750</v>
      </c>
      <c r="Q111" s="6" t="n">
        <v>0.875</v>
      </c>
      <c r="R111">
        <f>M111+IF(N111&gt;1,N(O111)*(N111-1),0)</f>
        <v/>
      </c>
      <c r="S111">
        <f>IFERROR(L111*MAX(N111,1)/R111*IF(ISBLANK(K110),1,K110),0)</f>
        <v/>
      </c>
      <c r="AB111" s="7" t="inlineStr">
        <is>
          <t>^Warhead_Bullet_Light, ^Warhead_Bullet_Medium</t>
        </is>
      </c>
    </row>
    <row r="112">
      <c r="A112" s="4" t="inlineStr">
        <is>
          <t>NAVAL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t="inlineStr">
        <is>
          <t>redalert2</t>
        </is>
      </c>
      <c r="B113" t="inlineStr">
        <is>
          <t>ra2_soviets_seascorpion</t>
        </is>
      </c>
      <c r="C113" t="inlineStr">
        <is>
          <t>actor_hyd.name</t>
        </is>
      </c>
      <c r="D113" s="6" t="inlineStr">
        <is>
          <t>BattleShip</t>
        </is>
      </c>
      <c r="E113" s="6" t="n">
        <v>25000</v>
      </c>
      <c r="F113" s="6" t="n">
        <v>120</v>
      </c>
      <c r="G113" t="inlineStr">
        <is>
          <t>Light</t>
        </is>
      </c>
      <c r="H113" s="6" t="n">
        <v>0.9322</v>
      </c>
      <c r="I113" s="6" t="n">
        <v>1</v>
      </c>
      <c r="J113" s="6" t="n">
        <v>1</v>
      </c>
      <c r="K113" s="6" t="n"/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(T113+U113+V113)/3</f>
        <v/>
      </c>
      <c r="X113" s="6" t="n">
        <v>600</v>
      </c>
      <c r="Y113">
        <f>IFERROR(W113-X113,"")</f>
        <v/>
      </c>
      <c r="Z113">
        <f>IFERROR(ABS(Y113)/MAX(X113,1),"")</f>
        <v/>
      </c>
      <c r="AA113">
        <f>IFERROR((X113-(((E113/100000+F113/100+S113/200)*200*I113*H113)+((E113*F113/25000)*I113*H113))/3)/(((J113/5)*200*I113*H113)+((J113*S113/2.5)*I113*H113)+((E113*F113*J113*S113*I113*H113)/12500000))/3*1000,"")</f>
        <v/>
      </c>
    </row>
    <row r="114">
      <c r="B114" s="7" t="inlineStr">
        <is>
          <t xml:space="preserve">  ↳ SeaScorpion_AA</t>
        </is>
      </c>
      <c r="C114" s="7" t="inlineStr">
        <is>
          <t>Armament@AA</t>
        </is>
      </c>
      <c r="L114" s="6" t="n">
        <v>8000</v>
      </c>
      <c r="M114" s="6" t="n">
        <v>17</v>
      </c>
      <c r="N114" s="6" t="n">
        <v>1</v>
      </c>
      <c r="O114" s="6" t="n"/>
      <c r="P114" s="6" t="n">
        <v>13500</v>
      </c>
      <c r="Q114" s="6" t="n">
        <v>1</v>
      </c>
      <c r="R114">
        <f>M114+IF(N114&gt;1,N(O114)*(N114-1),0)</f>
        <v/>
      </c>
      <c r="S114">
        <f>IFERROR(L114*MAX(N114,1)/R114*IF(ISBLANK(K113),1,K113),0)</f>
        <v/>
      </c>
      <c r="AB114" s="7" t="inlineStr">
        <is>
          <t>^Warhead_Flak_Medium</t>
        </is>
      </c>
    </row>
    <row r="115">
      <c r="B115" s="7" t="inlineStr">
        <is>
          <t xml:space="preserve">  ↳ RA2FlakTrackGun</t>
        </is>
      </c>
      <c r="C115" s="7" t="inlineStr">
        <is>
          <t>Armament@AG</t>
        </is>
      </c>
      <c r="L115" s="6" t="n">
        <v>8000</v>
      </c>
      <c r="M115" s="6" t="n">
        <v>18</v>
      </c>
      <c r="N115" s="6" t="n">
        <v>1</v>
      </c>
      <c r="O115" s="6" t="n"/>
      <c r="P115" s="6" t="n">
        <v>5528</v>
      </c>
      <c r="Q115" s="6" t="n">
        <v>1</v>
      </c>
      <c r="R115">
        <f>M115+IF(N115&gt;1,N(O115)*(N115-1),0)</f>
        <v/>
      </c>
      <c r="S115">
        <f>IFERROR(L115*MAX(N115,1)/R115*IF(ISBLANK(K113),1,K113),0)</f>
        <v/>
      </c>
      <c r="AB115" s="7" t="inlineStr">
        <is>
          <t>^Warhead_Flak_Medium</t>
        </is>
      </c>
    </row>
    <row r="116">
      <c r="A116" s="4" t="inlineStr">
        <is>
          <t>DEFENSES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t="inlineStr">
        <is>
          <t>redalert2</t>
        </is>
      </c>
      <c r="B117" t="inlineStr">
        <is>
          <t>ra2_soviets_battlebunker</t>
        </is>
      </c>
      <c r="C117" t="inlineStr">
        <is>
          <t>Battle Bunker</t>
        </is>
      </c>
      <c r="D117" s="6" t="inlineStr">
        <is>
          <t>Bunker</t>
        </is>
      </c>
      <c r="E117" s="6" t="n">
        <v>80000</v>
      </c>
      <c r="F117" s="6" t="n">
        <v>100</v>
      </c>
      <c r="G117" t="inlineStr">
        <is>
          <t>Steel</t>
        </is>
      </c>
      <c r="H117" s="6" t="n">
        <v>1</v>
      </c>
      <c r="I117" s="6" t="n">
        <v>1</v>
      </c>
      <c r="J117" s="6" t="n">
        <v>1</v>
      </c>
      <c r="K117" s="6" t="n"/>
      <c r="X117" s="6" t="n">
        <v>800</v>
      </c>
    </row>
    <row r="118">
      <c r="A118" t="inlineStr">
        <is>
          <t>redalert2</t>
        </is>
      </c>
      <c r="B118" t="inlineStr">
        <is>
          <t>ra2_soviets_concretebarrier</t>
        </is>
      </c>
      <c r="C118" t="inlineStr">
        <is>
          <t>Concrete Barrier</t>
        </is>
      </c>
      <c r="D118" s="6" t="inlineStr">
        <is>
          <t>Defense</t>
        </is>
      </c>
      <c r="E118" s="6" t="n">
        <v>100000</v>
      </c>
      <c r="F118" s="6" t="n">
        <v>100</v>
      </c>
      <c r="G118" t="inlineStr">
        <is>
          <t>Concrete</t>
        </is>
      </c>
      <c r="H118" s="6" t="n">
        <v>1</v>
      </c>
      <c r="I118" s="6" t="n">
        <v>1</v>
      </c>
      <c r="J118" s="6" t="n">
        <v>1</v>
      </c>
      <c r="K118" s="6" t="n"/>
      <c r="X118" s="6" t="n">
        <v>200</v>
      </c>
    </row>
    <row r="119">
      <c r="A119" t="inlineStr">
        <is>
          <t>redalert2</t>
        </is>
      </c>
      <c r="B119" t="inlineStr">
        <is>
          <t>ra2_soviets_flakcannon</t>
        </is>
      </c>
      <c r="C119" t="inlineStr">
        <is>
          <t>Flak Cannon</t>
        </is>
      </c>
      <c r="D119" s="6" t="inlineStr">
        <is>
          <t>AntiAirDefense</t>
        </is>
      </c>
      <c r="E119" s="6" t="n">
        <v>60000</v>
      </c>
      <c r="F119" s="6" t="n">
        <v>100</v>
      </c>
      <c r="G119" t="inlineStr">
        <is>
          <t>Concrete</t>
        </is>
      </c>
      <c r="H119" s="6" t="n">
        <v>1</v>
      </c>
      <c r="I119" s="6" t="n">
        <v>0.225</v>
      </c>
      <c r="J119" s="6" t="n">
        <v>1</v>
      </c>
      <c r="K119" s="6" t="n"/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700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RA2TURRETFLAKAA</t>
        </is>
      </c>
      <c r="C120" s="7" t="inlineStr">
        <is>
          <t>Armament</t>
        </is>
      </c>
      <c r="L120" s="6" t="n">
        <v>10000</v>
      </c>
      <c r="M120" s="6" t="n">
        <v>15</v>
      </c>
      <c r="N120" s="6" t="n">
        <v>1</v>
      </c>
      <c r="O120" s="6" t="n"/>
      <c r="P120" s="6" t="n">
        <v>12936</v>
      </c>
      <c r="Q120" s="6" t="n">
        <v>1</v>
      </c>
      <c r="R120">
        <f>M120+IF(N120&gt;1,N(O120)*(N120-1),0)</f>
        <v/>
      </c>
      <c r="S120">
        <f>IFERROR(L120*MAX(N120,1)/R120*IF(ISBLANK(K119),1,K119),0)</f>
        <v/>
      </c>
      <c r="AB120" s="7" t="inlineStr">
        <is>
          <t>^Warhead_Flak_Medium</t>
        </is>
      </c>
    </row>
    <row r="121">
      <c r="A121" t="inlineStr">
        <is>
          <t>redalert2</t>
        </is>
      </c>
      <c r="B121" t="inlineStr">
        <is>
          <t>ra2_soviets_ironcurtain</t>
        </is>
      </c>
      <c r="C121" t="inlineStr">
        <is>
          <t>Iron Curtain</t>
        </is>
      </c>
      <c r="D121" s="6" t="inlineStr">
        <is>
          <t>Defense</t>
        </is>
      </c>
      <c r="E121" s="6" t="n">
        <v>1000000</v>
      </c>
      <c r="F121" s="6" t="n">
        <v>100</v>
      </c>
      <c r="G121" t="inlineStr">
        <is>
          <t>Concrete</t>
        </is>
      </c>
      <c r="H121" s="6" t="n">
        <v>0.5957</v>
      </c>
      <c r="I121" s="6" t="n">
        <v>1</v>
      </c>
      <c r="J121" s="6" t="n">
        <v>1</v>
      </c>
      <c r="K121" s="6" t="n"/>
      <c r="X121" s="6" t="n">
        <v>5000</v>
      </c>
    </row>
    <row r="122">
      <c r="A122" t="inlineStr">
        <is>
          <t>redalert2</t>
        </is>
      </c>
      <c r="B122" t="inlineStr">
        <is>
          <t>ra2_soviets_nuclearmissilesilo</t>
        </is>
      </c>
      <c r="C122" t="inlineStr">
        <is>
          <t>Nuclear Missile Silo</t>
        </is>
      </c>
      <c r="D122" s="6" t="inlineStr">
        <is>
          <t>Defense</t>
        </is>
      </c>
      <c r="E122" s="6" t="n">
        <v>1000000</v>
      </c>
      <c r="F122" s="6" t="n">
        <v>100</v>
      </c>
      <c r="G122" t="inlineStr">
        <is>
          <t>Concrete</t>
        </is>
      </c>
      <c r="H122" s="6" t="n">
        <v>0.5957</v>
      </c>
      <c r="I122" s="6" t="n">
        <v>1</v>
      </c>
      <c r="J122" s="6" t="n">
        <v>1</v>
      </c>
      <c r="K122" s="6" t="n"/>
      <c r="X122" s="6" t="n">
        <v>10000</v>
      </c>
    </row>
    <row r="123">
      <c r="A123" t="inlineStr">
        <is>
          <t>redalert2</t>
        </is>
      </c>
      <c r="B123" t="inlineStr">
        <is>
          <t>ra2_soviets_sentrygun</t>
        </is>
      </c>
      <c r="C123" t="inlineStr">
        <is>
          <t>Sentry Gun</t>
        </is>
      </c>
      <c r="D123" s="6" t="inlineStr">
        <is>
          <t>BasicDefense</t>
        </is>
      </c>
      <c r="E123" s="6" t="n">
        <v>57000</v>
      </c>
      <c r="F123" s="6" t="n">
        <v>100</v>
      </c>
      <c r="G123" t="inlineStr">
        <is>
          <t>Concrete</t>
        </is>
      </c>
      <c r="H123" s="6" t="n">
        <v>1</v>
      </c>
      <c r="I123" s="6" t="n">
        <v>0.35</v>
      </c>
      <c r="J123" s="6" t="n">
        <v>1</v>
      </c>
      <c r="K123" s="6" t="n"/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(T123+U123+V123)/3</f>
        <v/>
      </c>
      <c r="X123" s="6" t="n">
        <v>500</v>
      </c>
      <c r="Y123">
        <f>IFERROR(W123-X123,"")</f>
        <v/>
      </c>
      <c r="Z123">
        <f>IFERROR(ABS(Y123)/MAX(X123,1),"")</f>
        <v/>
      </c>
      <c r="AA123">
        <f>IFERROR((X123-(((E123/100000+F123/100+S123/200)*200*I123*H123)+((E123*F123/25000)*I123*H123))/3)/(((J123/5)*200*I123*H123)+((J123*S123/2.5)*I123*H123)+((E123*F123*J123*S123*I123*H123)/12500000))/3*1000,"")</f>
        <v/>
      </c>
    </row>
    <row r="124">
      <c r="B124" s="7" t="inlineStr">
        <is>
          <t xml:space="preserve">  ↳ RA2vulcan</t>
        </is>
      </c>
      <c r="C124" s="7" t="inlineStr">
        <is>
          <t>Armament</t>
        </is>
      </c>
      <c r="L124" s="6" t="n">
        <v>4000</v>
      </c>
      <c r="M124" s="6" t="n">
        <v>18</v>
      </c>
      <c r="N124" s="6" t="n">
        <v>4</v>
      </c>
      <c r="O124" s="6" t="n">
        <v>3</v>
      </c>
      <c r="P124" s="6" t="n">
        <v>6577</v>
      </c>
      <c r="Q124" s="6" t="n">
        <v>0.875</v>
      </c>
      <c r="R124">
        <f>M124+IF(N124&gt;1,N(O124)*(N124-1),0)</f>
        <v/>
      </c>
      <c r="S124">
        <f>IFERROR(L124*MAX(N124,1)/R124*IF(ISBLANK(K123),1,K123),0)</f>
        <v/>
      </c>
      <c r="AB124" s="7" t="inlineStr">
        <is>
          <t>^Warhead_Bullet_Light, ^Warhead_Bullet_Medium</t>
        </is>
      </c>
    </row>
    <row r="125">
      <c r="A125" t="inlineStr">
        <is>
          <t>redalert2</t>
        </is>
      </c>
      <c r="B125" t="inlineStr">
        <is>
          <t>ra2_soviets_teslacoil</t>
        </is>
      </c>
      <c r="C125" t="inlineStr">
        <is>
          <t>Tesla Coil</t>
        </is>
      </c>
      <c r="D125" s="6" t="inlineStr">
        <is>
          <t>AdvancedDefense</t>
        </is>
      </c>
      <c r="E125" s="6" t="n">
        <v>120000</v>
      </c>
      <c r="F125" s="6" t="n">
        <v>100</v>
      </c>
      <c r="G125" t="inlineStr">
        <is>
          <t>Steel</t>
        </is>
      </c>
      <c r="H125" s="6" t="n">
        <v>0.5957</v>
      </c>
      <c r="I125" s="6" t="n">
        <v>1</v>
      </c>
      <c r="J125" s="6" t="n">
        <v>1</v>
      </c>
      <c r="K125" s="6" t="n"/>
      <c r="P125">
        <f>MAX(P126,P127,P128,P129,P130,P131)</f>
        <v/>
      </c>
      <c r="S125">
        <f>S126+S127+S128+S129+S130+S131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2000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RA2CoilBolt</t>
        </is>
      </c>
      <c r="C126" s="7" t="inlineStr">
        <is>
          <t>Armament</t>
        </is>
      </c>
      <c r="L126" s="6" t="n">
        <v>64000</v>
      </c>
      <c r="M126" s="6" t="n">
        <v>3</v>
      </c>
      <c r="N126" s="6" t="n">
        <v>1</v>
      </c>
      <c r="O126" s="6" t="n"/>
      <c r="P126" s="6" t="n">
        <v>8842</v>
      </c>
      <c r="Q126" s="6" t="n">
        <v>1.25</v>
      </c>
      <c r="R126">
        <f>M126+IF(N126&gt;1,N(O126)*(N126-1),0)</f>
        <v/>
      </c>
      <c r="S126">
        <f>IFERROR(L126*MAX(N126,1)/R126*IF(ISBLANK(K125),1,K125),0)</f>
        <v/>
      </c>
      <c r="AB126" s="7" t="inlineStr">
        <is>
          <t>^Warhead_Tesla_Heavy</t>
        </is>
      </c>
    </row>
    <row r="127">
      <c r="B127" s="7" t="inlineStr">
        <is>
          <t xml:space="preserve">  ↳ RA2CoilBolt2</t>
        </is>
      </c>
      <c r="C127" s="7" t="inlineStr">
        <is>
          <t>Armament@2</t>
        </is>
      </c>
      <c r="L127" s="6" t="n">
        <v>64000</v>
      </c>
      <c r="M127" s="6" t="n">
        <v>3</v>
      </c>
      <c r="N127" s="6" t="n">
        <v>1</v>
      </c>
      <c r="O127" s="6" t="n"/>
      <c r="P127" s="6" t="n">
        <v>8842</v>
      </c>
      <c r="Q127" s="6" t="n">
        <v>1.25</v>
      </c>
      <c r="R127">
        <f>M127+IF(N127&gt;1,N(O127)*(N127-1),0)</f>
        <v/>
      </c>
      <c r="S127">
        <f>IFERROR(L127*MAX(N127,1)/R127*IF(ISBLANK(K125),1,K125),0)</f>
        <v/>
      </c>
      <c r="AB127" s="7" t="inlineStr">
        <is>
          <t>^Warhead_Tesla_Heavy</t>
        </is>
      </c>
    </row>
    <row r="128">
      <c r="B128" s="7" t="inlineStr">
        <is>
          <t xml:space="preserve">  ↳ RA2CoilBolt3</t>
        </is>
      </c>
      <c r="C128" s="7" t="inlineStr">
        <is>
          <t>Armament@3</t>
        </is>
      </c>
      <c r="L128" s="6" t="n">
        <v>64000</v>
      </c>
      <c r="M128" s="6" t="n">
        <v>3</v>
      </c>
      <c r="N128" s="6" t="n">
        <v>1</v>
      </c>
      <c r="O128" s="6" t="n"/>
      <c r="P128" s="6" t="n">
        <v>8842</v>
      </c>
      <c r="Q128" s="6" t="n">
        <v>1.25</v>
      </c>
      <c r="R128">
        <f>M128+IF(N128&gt;1,N(O128)*(N128-1),0)</f>
        <v/>
      </c>
      <c r="S128">
        <f>IFERROR(L128*MAX(N128,1)/R128*IF(ISBLANK(K125),1,K125),0)</f>
        <v/>
      </c>
      <c r="AB128" s="7" t="inlineStr">
        <is>
          <t>^Warhead_Tesla_Heavy</t>
        </is>
      </c>
    </row>
    <row r="129">
      <c r="B129" s="7" t="inlineStr">
        <is>
          <t xml:space="preserve">  ↳ RA2OPCoilBolt1</t>
        </is>
      </c>
      <c r="C129" s="7" t="inlineStr">
        <is>
          <t>Armament@Charged1</t>
        </is>
      </c>
      <c r="L129" s="6" t="n">
        <v>64000</v>
      </c>
      <c r="M129" s="6" t="n">
        <v>3</v>
      </c>
      <c r="N129" s="6" t="n">
        <v>1</v>
      </c>
      <c r="O129" s="6" t="n"/>
      <c r="P129" s="6" t="n">
        <v>8842</v>
      </c>
      <c r="Q129" s="6" t="n">
        <v>1</v>
      </c>
      <c r="R129">
        <f>M129+IF(N129&gt;1,N(O129)*(N129-1),0)</f>
        <v/>
      </c>
      <c r="S129">
        <f>IFERROR(L129*MAX(N129,1)/R129*IF(ISBLANK(K125),1,K125),0)</f>
        <v/>
      </c>
      <c r="AB129" s="7" t="inlineStr">
        <is>
          <t>^Warhead_Tesla_Super</t>
        </is>
      </c>
    </row>
    <row r="130">
      <c r="B130" s="7" t="inlineStr">
        <is>
          <t xml:space="preserve">  ↳ RA2OPCoilBolt2</t>
        </is>
      </c>
      <c r="C130" s="7" t="inlineStr">
        <is>
          <t>Armament@Charged2</t>
        </is>
      </c>
      <c r="L130" s="6" t="n">
        <v>64000</v>
      </c>
      <c r="M130" s="6" t="n">
        <v>3</v>
      </c>
      <c r="N130" s="6" t="n">
        <v>1</v>
      </c>
      <c r="O130" s="6" t="n"/>
      <c r="P130" s="6" t="n">
        <v>8842</v>
      </c>
      <c r="Q130" s="6" t="n">
        <v>1</v>
      </c>
      <c r="R130">
        <f>M130+IF(N130&gt;1,N(O130)*(N130-1),0)</f>
        <v/>
      </c>
      <c r="S130">
        <f>IFERROR(L130*MAX(N130,1)/R130*IF(ISBLANK(K125),1,K125),0)</f>
        <v/>
      </c>
      <c r="AB130" s="7" t="inlineStr">
        <is>
          <t>^Warhead_Tesla_Super</t>
        </is>
      </c>
    </row>
    <row r="131">
      <c r="B131" s="7" t="inlineStr">
        <is>
          <t xml:space="preserve">  ↳ RA2OPCoilBolt3</t>
        </is>
      </c>
      <c r="C131" s="7" t="inlineStr">
        <is>
          <t>Armament@Charged3</t>
        </is>
      </c>
      <c r="L131" s="6" t="n">
        <v>64000</v>
      </c>
      <c r="M131" s="6" t="n">
        <v>3</v>
      </c>
      <c r="N131" s="6" t="n">
        <v>1</v>
      </c>
      <c r="O131" s="6" t="n"/>
      <c r="P131" s="6" t="n">
        <v>8842</v>
      </c>
      <c r="Q131" s="6" t="n">
        <v>1</v>
      </c>
      <c r="R131">
        <f>M131+IF(N131&gt;1,N(O131)*(N131-1),0)</f>
        <v/>
      </c>
      <c r="S131">
        <f>IFERROR(L131*MAX(N131,1)/R131*IF(ISBLANK(K125),1,K125),0)</f>
        <v/>
      </c>
      <c r="AB131" s="7" t="inlineStr">
        <is>
          <t>^Warhead_Tesla_Super</t>
        </is>
      </c>
    </row>
    <row r="132">
      <c r="A132" s="4" t="inlineStr">
        <is>
          <t>BUILDINGS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redalert2</t>
        </is>
      </c>
      <c r="B133" t="inlineStr">
        <is>
          <t>ra2_soviets_airfield</t>
        </is>
      </c>
      <c r="C133" t="inlineStr">
        <is>
          <t>Soviet Airfield</t>
        </is>
      </c>
      <c r="D133" s="6" t="inlineStr">
        <is>
          <t>Building</t>
        </is>
      </c>
      <c r="E133" s="6" t="n">
        <v>250000</v>
      </c>
      <c r="F133" s="6" t="n"/>
      <c r="G133" t="inlineStr">
        <is>
          <t>Wood</t>
        </is>
      </c>
      <c r="H133" s="6" t="n">
        <v>0.9322</v>
      </c>
      <c r="I133" s="6" t="n">
        <v>1</v>
      </c>
      <c r="J133" s="6" t="n">
        <v>1</v>
      </c>
      <c r="K133" s="6" t="n"/>
      <c r="X133" s="6" t="n">
        <v>1000</v>
      </c>
    </row>
    <row r="134">
      <c r="A134" t="inlineStr">
        <is>
          <t>redalert2</t>
        </is>
      </c>
      <c r="B134" t="inlineStr">
        <is>
          <t>ra2_soviets_barracks</t>
        </is>
      </c>
      <c r="C134" t="inlineStr">
        <is>
          <t>Soviet Barracks</t>
        </is>
      </c>
      <c r="D134" s="6" t="inlineStr">
        <is>
          <t>Building</t>
        </is>
      </c>
      <c r="E134" s="6" t="n">
        <v>200000</v>
      </c>
      <c r="F134" s="6" t="n"/>
      <c r="G134" t="inlineStr">
        <is>
          <t>Wood</t>
        </is>
      </c>
      <c r="H134" s="6" t="n">
        <v>1</v>
      </c>
      <c r="I134" s="6" t="n">
        <v>1</v>
      </c>
      <c r="J134" s="6" t="n">
        <v>1</v>
      </c>
      <c r="K134" s="6" t="n"/>
      <c r="X134" s="6" t="n">
        <v>1000</v>
      </c>
    </row>
    <row r="135">
      <c r="A135" t="inlineStr">
        <is>
          <t>redalert2</t>
        </is>
      </c>
      <c r="B135" t="inlineStr">
        <is>
          <t>ra2_soviets_battlelab</t>
        </is>
      </c>
      <c r="C135" t="inlineStr">
        <is>
          <t>Soviet Battle Lab</t>
        </is>
      </c>
      <c r="D135" s="6" t="inlineStr">
        <is>
          <t>Building</t>
        </is>
      </c>
      <c r="E135" s="6" t="n">
        <v>500000</v>
      </c>
      <c r="F135" s="6" t="n"/>
      <c r="G135" t="inlineStr">
        <is>
          <t>Concrete</t>
        </is>
      </c>
      <c r="H135" s="6" t="n">
        <v>0.9322</v>
      </c>
      <c r="I135" s="6" t="n">
        <v>1</v>
      </c>
      <c r="J135" s="6" t="n">
        <v>1</v>
      </c>
      <c r="K135" s="6" t="n"/>
      <c r="X135" s="6" t="n">
        <v>5000</v>
      </c>
    </row>
    <row r="136">
      <c r="A136" t="inlineStr">
        <is>
          <t>redalert2</t>
        </is>
      </c>
      <c r="B136" t="inlineStr">
        <is>
          <t>ra2_soviets_constructionyard</t>
        </is>
      </c>
      <c r="C136" t="inlineStr">
        <is>
          <t>Soviet Construction Yard</t>
        </is>
      </c>
      <c r="D136" s="6" t="inlineStr">
        <is>
          <t>Building</t>
        </is>
      </c>
      <c r="E136" s="6" t="n">
        <v>1000000</v>
      </c>
      <c r="F136" s="6" t="n"/>
      <c r="G136" t="inlineStr">
        <is>
          <t>Concrete</t>
        </is>
      </c>
      <c r="H136" s="6" t="n">
        <v>1</v>
      </c>
      <c r="I136" s="6" t="n">
        <v>1</v>
      </c>
      <c r="J136" s="6" t="n">
        <v>1</v>
      </c>
      <c r="K136" s="6" t="n"/>
      <c r="X136" s="6" t="n">
        <v>5000</v>
      </c>
    </row>
    <row r="137">
      <c r="A137" t="inlineStr">
        <is>
          <t>redalert2</t>
        </is>
      </c>
      <c r="B137" t="inlineStr">
        <is>
          <t>ra2_soviets_industrialplant</t>
        </is>
      </c>
      <c r="C137" t="inlineStr">
        <is>
          <t>Industrial Plant</t>
        </is>
      </c>
      <c r="D137" s="6" t="inlineStr">
        <is>
          <t>Building</t>
        </is>
      </c>
      <c r="E137" s="6" t="n">
        <v>500000</v>
      </c>
      <c r="F137" s="6" t="n"/>
      <c r="G137" t="inlineStr">
        <is>
          <t>Concrete</t>
        </is>
      </c>
      <c r="H137" s="6" t="n">
        <v>0.5957</v>
      </c>
      <c r="I137" s="6" t="n">
        <v>1</v>
      </c>
      <c r="J137" s="6" t="n">
        <v>1</v>
      </c>
      <c r="K137" s="6" t="n"/>
      <c r="X137" s="6" t="n">
        <v>5000</v>
      </c>
    </row>
    <row r="138">
      <c r="A138" t="inlineStr">
        <is>
          <t>redalert2</t>
        </is>
      </c>
      <c r="B138" t="inlineStr">
        <is>
          <t>ra2_soviets_nuclearreactor</t>
        </is>
      </c>
      <c r="C138" t="inlineStr">
        <is>
          <t>Nuclear Reactor</t>
        </is>
      </c>
      <c r="D138" s="6" t="inlineStr">
        <is>
          <t>Building</t>
        </is>
      </c>
      <c r="E138" s="6" t="n">
        <v>400000</v>
      </c>
      <c r="F138" s="6" t="n"/>
      <c r="G138" t="inlineStr">
        <is>
          <t>Concrete</t>
        </is>
      </c>
      <c r="H138" s="6" t="n">
        <v>0.5957</v>
      </c>
      <c r="I138" s="6" t="n">
        <v>1</v>
      </c>
      <c r="J138" s="6" t="n">
        <v>1</v>
      </c>
      <c r="K138" s="6" t="n"/>
      <c r="X138" s="6" t="n">
        <v>2000</v>
      </c>
    </row>
    <row r="139">
      <c r="A139" t="inlineStr">
        <is>
          <t>redalert2</t>
        </is>
      </c>
      <c r="B139" t="inlineStr">
        <is>
          <t>ra2_soviets_orerefinery</t>
        </is>
      </c>
      <c r="C139" t="inlineStr">
        <is>
          <t>Soviet Ore Refinery</t>
        </is>
      </c>
      <c r="D139" s="6" t="inlineStr">
        <is>
          <t>Building</t>
        </is>
      </c>
      <c r="E139" s="6" t="n">
        <v>300000</v>
      </c>
      <c r="F139" s="6" t="n"/>
      <c r="G139" t="inlineStr">
        <is>
          <t>Concrete</t>
        </is>
      </c>
      <c r="H139" s="6" t="n">
        <v>1</v>
      </c>
      <c r="I139" s="6" t="n">
        <v>1</v>
      </c>
      <c r="J139" s="6" t="n">
        <v>1</v>
      </c>
      <c r="K139" s="6" t="n"/>
      <c r="X139" s="6" t="n">
        <v>2000</v>
      </c>
    </row>
    <row r="140">
      <c r="A140" t="inlineStr">
        <is>
          <t>redalert2</t>
        </is>
      </c>
      <c r="B140" t="inlineStr">
        <is>
          <t>ra2_soviets_radar</t>
        </is>
      </c>
      <c r="C140" t="inlineStr">
        <is>
          <t>Soviet Radar</t>
        </is>
      </c>
      <c r="D140" s="6" t="inlineStr">
        <is>
          <t>Building</t>
        </is>
      </c>
      <c r="E140" s="6" t="n">
        <v>250000</v>
      </c>
      <c r="F140" s="6" t="n"/>
      <c r="G140" t="inlineStr">
        <is>
          <t>Wood</t>
        </is>
      </c>
      <c r="H140" s="6" t="n">
        <v>1</v>
      </c>
      <c r="I140" s="6" t="n">
        <v>1</v>
      </c>
      <c r="J140" s="6" t="n">
        <v>1</v>
      </c>
      <c r="K140" s="6" t="n"/>
      <c r="X140" s="6" t="n">
        <v>2500</v>
      </c>
    </row>
    <row r="141">
      <c r="A141" t="inlineStr">
        <is>
          <t>redalert2</t>
        </is>
      </c>
      <c r="B141" t="inlineStr">
        <is>
          <t>ra2_soviets_servicedepot</t>
        </is>
      </c>
      <c r="C141" t="inlineStr">
        <is>
          <t>Soviet Service Depot</t>
        </is>
      </c>
      <c r="D141" s="6" t="inlineStr">
        <is>
          <t>Building</t>
        </is>
      </c>
      <c r="E141" s="6" t="n">
        <v>250000</v>
      </c>
      <c r="F141" s="6" t="n"/>
      <c r="G141" t="inlineStr">
        <is>
          <t>Concrete</t>
        </is>
      </c>
      <c r="H141" s="6" t="n">
        <v>0.988</v>
      </c>
      <c r="I141" s="6" t="n">
        <v>1</v>
      </c>
      <c r="J141" s="6" t="n">
        <v>1</v>
      </c>
      <c r="K141" s="6" t="n"/>
      <c r="X141" s="6" t="n">
        <v>1000</v>
      </c>
    </row>
    <row r="142">
      <c r="A142" t="inlineStr">
        <is>
          <t>redalert2</t>
        </is>
      </c>
      <c r="B142" t="inlineStr">
        <is>
          <t>ra2_soviets_teslareactor</t>
        </is>
      </c>
      <c r="C142" t="inlineStr">
        <is>
          <t>Tesla Reactor</t>
        </is>
      </c>
      <c r="D142" s="6" t="inlineStr">
        <is>
          <t>Building</t>
        </is>
      </c>
      <c r="E142" s="6" t="n">
        <v>150000</v>
      </c>
      <c r="F142" s="6" t="n"/>
      <c r="G142" t="inlineStr">
        <is>
          <t>Wood</t>
        </is>
      </c>
      <c r="H142" s="6" t="n">
        <v>1</v>
      </c>
      <c r="I142" s="6" t="n">
        <v>1</v>
      </c>
      <c r="J142" s="6" t="n">
        <v>1</v>
      </c>
      <c r="K142" s="6" t="n"/>
      <c r="X142" s="6" t="n">
        <v>600</v>
      </c>
    </row>
    <row r="143">
      <c r="A143" t="inlineStr">
        <is>
          <t>redalert2</t>
        </is>
      </c>
      <c r="B143" t="inlineStr">
        <is>
          <t>ra2_soviets_warfactory</t>
        </is>
      </c>
      <c r="C143" t="inlineStr">
        <is>
          <t>Soviet War Factory</t>
        </is>
      </c>
      <c r="D143" s="6" t="inlineStr">
        <is>
          <t>Building</t>
        </is>
      </c>
      <c r="E143" s="6" t="n">
        <v>400000</v>
      </c>
      <c r="F143" s="6" t="n"/>
      <c r="G143" t="inlineStr">
        <is>
          <t>Concrete</t>
        </is>
      </c>
      <c r="H143" s="6" t="n">
        <v>1</v>
      </c>
      <c r="I143" s="6" t="n">
        <v>1</v>
      </c>
      <c r="J143" s="6" t="n">
        <v>1</v>
      </c>
      <c r="K143" s="6" t="n"/>
      <c r="X143" s="6" t="n">
        <v>2000</v>
      </c>
    </row>
    <row r="144">
      <c r="A144" s="4" t="inlineStr">
        <is>
          <t>UPGRADES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</t>
        </is>
      </c>
      <c r="B145" t="inlineStr">
        <is>
          <t>ra2_soviets_doctrine_conscription</t>
        </is>
      </c>
      <c r="C145" t="inlineStr">
        <is>
          <t>Conscription</t>
        </is>
      </c>
      <c r="D145" s="6" t="inlineStr">
        <is>
          <t>Doctrine</t>
        </is>
      </c>
      <c r="E145" s="6" t="n"/>
      <c r="F145" s="6" t="n"/>
      <c r="H145" s="6" t="n">
        <v>0.9322</v>
      </c>
      <c r="I145" s="6" t="n">
        <v>1</v>
      </c>
      <c r="J145" s="6" t="n">
        <v>1</v>
      </c>
      <c r="K145" s="6" t="n"/>
      <c r="X145" s="6" t="n">
        <v>5000</v>
      </c>
    </row>
    <row r="146">
      <c r="A146" t="inlineStr">
        <is>
          <t>redalert2</t>
        </is>
      </c>
      <c r="B146" t="inlineStr">
        <is>
          <t>ra2_soviets_doctrine_firemunitions</t>
        </is>
      </c>
      <c r="C146" t="inlineStr">
        <is>
          <t>Fire Munitions</t>
        </is>
      </c>
      <c r="D146" s="6" t="inlineStr">
        <is>
          <t>Doctrine</t>
        </is>
      </c>
      <c r="E146" s="6" t="n"/>
      <c r="F146" s="6" t="n"/>
      <c r="H146" s="6" t="n">
        <v>0.4377</v>
      </c>
      <c r="I146" s="6" t="n">
        <v>1</v>
      </c>
      <c r="J146" s="6" t="n">
        <v>1</v>
      </c>
      <c r="K146" s="6" t="n"/>
      <c r="X146" s="6" t="n">
        <v>5000</v>
      </c>
    </row>
    <row r="147">
      <c r="A147" t="inlineStr">
        <is>
          <t>redalert2</t>
        </is>
      </c>
      <c r="B147" t="inlineStr">
        <is>
          <t>ra2_soviets_doctrine_harshenvironmentinfantryconditioning</t>
        </is>
      </c>
      <c r="C147" t="inlineStr">
        <is>
          <t>Harsh Environment Infantry Conditioning</t>
        </is>
      </c>
      <c r="D147" s="6" t="inlineStr">
        <is>
          <t>Doctrine</t>
        </is>
      </c>
      <c r="E147" s="6" t="n"/>
      <c r="F147" s="6" t="n"/>
      <c r="H147" s="6" t="n">
        <v>0.9322</v>
      </c>
      <c r="I147" s="6" t="n">
        <v>1</v>
      </c>
      <c r="J147" s="6" t="n">
        <v>1</v>
      </c>
      <c r="K147" s="6" t="n"/>
      <c r="X147" s="6" t="n">
        <v>5000</v>
      </c>
    </row>
    <row r="148">
      <c r="A148" t="inlineStr">
        <is>
          <t>redalert2</t>
        </is>
      </c>
      <c r="B148" t="inlineStr">
        <is>
          <t>ra2_soviets_doctrine_heavyarmorplatings</t>
        </is>
      </c>
      <c r="C148" t="inlineStr">
        <is>
          <t>Heavy Armor Platings</t>
        </is>
      </c>
      <c r="D148" s="6" t="inlineStr">
        <is>
          <t>Doctrine</t>
        </is>
      </c>
      <c r="E148" s="6" t="n"/>
      <c r="F148" s="6" t="n"/>
      <c r="H148" s="6" t="n">
        <v>0.5957</v>
      </c>
      <c r="I148" s="6" t="n">
        <v>1</v>
      </c>
      <c r="J148" s="6" t="n">
        <v>1</v>
      </c>
      <c r="K148" s="6" t="n"/>
      <c r="X148" s="6" t="n">
        <v>5000</v>
      </c>
    </row>
    <row r="149">
      <c r="A149" t="inlineStr">
        <is>
          <t>redalert2</t>
        </is>
      </c>
      <c r="B149" t="inlineStr">
        <is>
          <t>ra2_soviets_doctrine_nuclearmunitions</t>
        </is>
      </c>
      <c r="C149" t="inlineStr">
        <is>
          <t>Nuclear Munitions</t>
        </is>
      </c>
      <c r="D149" s="6" t="inlineStr">
        <is>
          <t>Doctrine</t>
        </is>
      </c>
      <c r="E149" s="6" t="n"/>
      <c r="F149" s="6" t="n"/>
      <c r="H149" s="6" t="n">
        <v>0.4377</v>
      </c>
      <c r="I149" s="6" t="n">
        <v>1</v>
      </c>
      <c r="J149" s="6" t="n">
        <v>1</v>
      </c>
      <c r="K149" s="6" t="n"/>
      <c r="X149" s="6" t="n">
        <v>5000</v>
      </c>
    </row>
    <row r="150">
      <c r="A150" t="inlineStr">
        <is>
          <t>redalert2</t>
        </is>
      </c>
      <c r="B150" t="inlineStr">
        <is>
          <t>ra2_soviets_doctrine_reactivearmor</t>
        </is>
      </c>
      <c r="C150" t="inlineStr">
        <is>
          <t>Reactive Armor</t>
        </is>
      </c>
      <c r="D150" s="6" t="inlineStr">
        <is>
          <t>Doctrine</t>
        </is>
      </c>
      <c r="E150" s="6" t="n"/>
      <c r="F150" s="6" t="n"/>
      <c r="H150" s="6" t="n">
        <v>0.5957</v>
      </c>
      <c r="I150" s="6" t="n">
        <v>1</v>
      </c>
      <c r="J150" s="6" t="n">
        <v>1</v>
      </c>
      <c r="K150" s="6" t="n"/>
      <c r="X150" s="6" t="n">
        <v>5000</v>
      </c>
    </row>
    <row r="151">
      <c r="A151" t="inlineStr">
        <is>
          <t>redalert2</t>
        </is>
      </c>
      <c r="B151" t="inlineStr">
        <is>
          <t>ra2_soviets_doctrine_shocktroopertraining</t>
        </is>
      </c>
      <c r="C151" t="inlineStr">
        <is>
          <t>Shock Trooper Training</t>
        </is>
      </c>
      <c r="D151" s="6" t="inlineStr">
        <is>
          <t>Doctrine</t>
        </is>
      </c>
      <c r="E151" s="6" t="n"/>
      <c r="F151" s="6" t="n"/>
      <c r="H151" s="6" t="n">
        <v>0.9322</v>
      </c>
      <c r="I151" s="6" t="n">
        <v>1</v>
      </c>
      <c r="J151" s="6" t="n">
        <v>1</v>
      </c>
      <c r="K151" s="6" t="n"/>
      <c r="X151" s="6" t="n">
        <v>5000</v>
      </c>
    </row>
    <row r="152">
      <c r="A152" t="inlineStr">
        <is>
          <t>redalert2</t>
        </is>
      </c>
      <c r="B152" t="inlineStr">
        <is>
          <t>ra2_soviets_doctrine_tesladischargearmor</t>
        </is>
      </c>
      <c r="C152" t="inlineStr">
        <is>
          <t>Tesla Discharge Armor</t>
        </is>
      </c>
      <c r="D152" s="6" t="inlineStr">
        <is>
          <t>Doctrine</t>
        </is>
      </c>
      <c r="E152" s="6" t="n"/>
      <c r="F152" s="6" t="n"/>
      <c r="H152" s="6" t="n">
        <v>0.5957</v>
      </c>
      <c r="I152" s="6" t="n">
        <v>1</v>
      </c>
      <c r="J152" s="6" t="n">
        <v>1</v>
      </c>
      <c r="K152" s="6" t="n"/>
      <c r="X152" s="6" t="n">
        <v>5000</v>
      </c>
    </row>
    <row r="153">
      <c r="A153" t="inlineStr">
        <is>
          <t>redalert2</t>
        </is>
      </c>
      <c r="B153" t="inlineStr">
        <is>
          <t>ra2_soviets_doctrine_teslamunitions</t>
        </is>
      </c>
      <c r="C153" t="inlineStr">
        <is>
          <t>Tesla Munitions</t>
        </is>
      </c>
      <c r="D153" s="6" t="inlineStr">
        <is>
          <t>Doctrine</t>
        </is>
      </c>
      <c r="E153" s="6" t="n"/>
      <c r="F153" s="6" t="n"/>
      <c r="H153" s="6" t="n">
        <v>0.4377</v>
      </c>
      <c r="I153" s="6" t="n">
        <v>1</v>
      </c>
      <c r="J153" s="6" t="n">
        <v>1</v>
      </c>
      <c r="K153" s="6" t="n"/>
      <c r="X153" s="6" t="n">
        <v>5000</v>
      </c>
    </row>
    <row r="154">
      <c r="A154" t="inlineStr">
        <is>
          <t>redalert2</t>
        </is>
      </c>
      <c r="B154" t="inlineStr">
        <is>
          <t>ra2_soviets_upgrade_gastroburners</t>
        </is>
      </c>
      <c r="C154" t="inlineStr">
        <is>
          <t>Gastroburners</t>
        </is>
      </c>
      <c r="D154" s="6" t="inlineStr">
        <is>
          <t>TechUpgrade</t>
        </is>
      </c>
      <c r="E154" s="6" t="n"/>
      <c r="F154" s="6" t="n"/>
      <c r="H154" s="6" t="n">
        <v>0.4377</v>
      </c>
      <c r="I154" s="6" t="n">
        <v>1</v>
      </c>
      <c r="J154" s="6" t="n">
        <v>1</v>
      </c>
      <c r="K154" s="6" t="n"/>
      <c r="X154" s="6" t="n">
        <v>7500</v>
      </c>
    </row>
    <row r="155">
      <c r="A155" t="inlineStr">
        <is>
          <t>redalert2</t>
        </is>
      </c>
      <c r="B155" t="inlineStr">
        <is>
          <t>ra2_soviets_upgrade_grindertanktreads</t>
        </is>
      </c>
      <c r="C155" t="inlineStr">
        <is>
          <t>Grinder Tank Treads</t>
        </is>
      </c>
      <c r="D155" s="6" t="inlineStr">
        <is>
          <t>TechUpgrade</t>
        </is>
      </c>
      <c r="E155" s="6" t="n"/>
      <c r="F155" s="6" t="n"/>
      <c r="H155" s="6" t="n">
        <v>0.5957</v>
      </c>
      <c r="I155" s="6" t="n">
        <v>1</v>
      </c>
      <c r="J155" s="6" t="n">
        <v>1</v>
      </c>
      <c r="K155" s="6" t="n"/>
      <c r="X155" s="6" t="n">
        <v>7500</v>
      </c>
    </row>
    <row r="156">
      <c r="A156" t="inlineStr">
        <is>
          <t>redalert2</t>
        </is>
      </c>
      <c r="B156" t="inlineStr">
        <is>
          <t>ra2_soviets_upgrade_heavycannons</t>
        </is>
      </c>
      <c r="C156" t="inlineStr">
        <is>
          <t>Heavy Cannons</t>
        </is>
      </c>
      <c r="D156" s="6" t="inlineStr">
        <is>
          <t>TechUpgrade</t>
        </is>
      </c>
      <c r="E156" s="6" t="n"/>
      <c r="F156" s="6" t="n"/>
      <c r="H156" s="6" t="n">
        <v>0.5957</v>
      </c>
      <c r="I156" s="6" t="n">
        <v>1</v>
      </c>
      <c r="J156" s="6" t="n">
        <v>1</v>
      </c>
      <c r="K156" s="6" t="n"/>
      <c r="X156" s="6" t="n">
        <v>7500</v>
      </c>
    </row>
    <row r="157">
      <c r="A157" t="inlineStr">
        <is>
          <t>redalert2</t>
        </is>
      </c>
      <c r="B157" t="inlineStr">
        <is>
          <t>ra2_soviets_upgrade_kirovarmorplatings</t>
        </is>
      </c>
      <c r="C157" t="inlineStr">
        <is>
          <t>Kirov Armor Platings</t>
        </is>
      </c>
      <c r="D157" s="6" t="inlineStr">
        <is>
          <t>TechUpgrade</t>
        </is>
      </c>
      <c r="E157" s="6" t="n"/>
      <c r="F157" s="6" t="n"/>
      <c r="H157" s="6" t="n">
        <v>0.4377</v>
      </c>
      <c r="I157" s="6" t="n">
        <v>1</v>
      </c>
      <c r="J157" s="6" t="n">
        <v>1</v>
      </c>
      <c r="K157" s="6" t="n"/>
      <c r="X157" s="6" t="n">
        <v>7500</v>
      </c>
    </row>
    <row r="158">
      <c r="A158" t="inlineStr">
        <is>
          <t>redalert2</t>
        </is>
      </c>
      <c r="B158" t="inlineStr">
        <is>
          <t>ra2_soviets_upgrade_kirovatomicbombs</t>
        </is>
      </c>
      <c r="C158" t="inlineStr">
        <is>
          <t>Kirov Atomic Bombs</t>
        </is>
      </c>
      <c r="D158" s="6" t="inlineStr">
        <is>
          <t>TechUpgrade</t>
        </is>
      </c>
      <c r="E158" s="6" t="n"/>
      <c r="F158" s="6" t="n"/>
      <c r="H158" s="6" t="n">
        <v>0.286</v>
      </c>
      <c r="I158" s="6" t="n">
        <v>1</v>
      </c>
      <c r="J158" s="6" t="n">
        <v>1</v>
      </c>
      <c r="K158" s="6" t="n"/>
      <c r="X158" s="6" t="n">
        <v>7500</v>
      </c>
    </row>
    <row r="159">
      <c r="A159" t="inlineStr">
        <is>
          <t>redalert2</t>
        </is>
      </c>
      <c r="B159" t="inlineStr">
        <is>
          <t>ra2_soviets_upgrade_terrordronesurprise</t>
        </is>
      </c>
      <c r="C159" t="inlineStr">
        <is>
          <t>Terror Drone Surprise</t>
        </is>
      </c>
      <c r="D159" s="6" t="inlineStr">
        <is>
          <t>UnitUpgrade</t>
        </is>
      </c>
      <c r="E159" s="6" t="n"/>
      <c r="F159" s="6" t="n"/>
      <c r="H159" s="6" t="n">
        <v>0.9322</v>
      </c>
      <c r="I159" s="6" t="n">
        <v>1</v>
      </c>
      <c r="J159" s="6" t="n">
        <v>1</v>
      </c>
      <c r="K159" s="6" t="n"/>
      <c r="X159" s="6" t="n">
        <v>2500</v>
      </c>
    </row>
    <row r="160">
      <c r="A160" t="inlineStr">
        <is>
          <t>redalert2</t>
        </is>
      </c>
      <c r="B160" t="inlineStr">
        <is>
          <t>ra2_soviets_upgrade_teslacoilchargers</t>
        </is>
      </c>
      <c r="C160" t="inlineStr">
        <is>
          <t>Tesla Coil Chargers</t>
        </is>
      </c>
      <c r="D160" s="6" t="inlineStr">
        <is>
          <t>UnitUpgrade</t>
        </is>
      </c>
      <c r="E160" s="6" t="n"/>
      <c r="F160" s="6" t="n"/>
      <c r="H160" s="6" t="n">
        <v>0.5957</v>
      </c>
      <c r="I160" s="6" t="n">
        <v>1</v>
      </c>
      <c r="J160" s="6" t="n">
        <v>1</v>
      </c>
      <c r="K160" s="6" t="n"/>
      <c r="X160" s="6" t="n">
        <v>2500</v>
      </c>
    </row>
    <row r="161">
      <c r="A161" t="inlineStr">
        <is>
          <t>redalert2</t>
        </is>
      </c>
      <c r="B161" t="inlineStr">
        <is>
          <t>ra2_soviets_upgrade_teslaoverload</t>
        </is>
      </c>
      <c r="C161" t="inlineStr">
        <is>
          <t>Tesla Overload</t>
        </is>
      </c>
      <c r="D161" s="6" t="inlineStr">
        <is>
          <t>TechUpgrade</t>
        </is>
      </c>
      <c r="E161" s="6" t="n"/>
      <c r="F161" s="6" t="n"/>
      <c r="H161" s="6" t="n">
        <v>0.5957</v>
      </c>
      <c r="I161" s="6" t="n">
        <v>1</v>
      </c>
      <c r="J161" s="6" t="n">
        <v>1</v>
      </c>
      <c r="K161" s="6" t="n"/>
      <c r="X161" s="6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6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</t>
        </is>
      </c>
      <c r="B3" t="inlineStr">
        <is>
          <t>yuri_biotrooper</t>
        </is>
      </c>
      <c r="C3" t="inlineStr">
        <is>
          <t>Bio Trooper</t>
        </is>
      </c>
      <c r="D3" s="6" t="inlineStr">
        <is>
          <t>HeavyInfantry</t>
        </is>
      </c>
      <c r="E3" s="6" t="n">
        <v>96000</v>
      </c>
      <c r="F3" s="6" t="n">
        <v>64</v>
      </c>
      <c r="G3" t="inlineStr">
        <is>
          <t>Plate</t>
        </is>
      </c>
      <c r="H3" s="6" t="n">
        <v>0.5</v>
      </c>
      <c r="I3" s="6" t="n">
        <v>0.8</v>
      </c>
      <c r="J3" s="6" t="n">
        <v>1.25</v>
      </c>
      <c r="K3" s="6" t="n"/>
      <c r="P3">
        <f>MAX(P4,P5,P6)</f>
        <v/>
      </c>
      <c r="S3">
        <f>S4+S5+S6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RA2Chemspray</t>
        </is>
      </c>
      <c r="C4" s="7" t="inlineStr">
        <is>
          <t>Armament@PRIMARY</t>
        </is>
      </c>
      <c r="L4" s="6" t="n">
        <v>4000</v>
      </c>
      <c r="M4" s="6" t="n">
        <v>50</v>
      </c>
      <c r="N4" s="6" t="n">
        <v>6</v>
      </c>
      <c r="O4" s="6" t="n">
        <v>4</v>
      </c>
      <c r="P4" s="6" t="n">
        <v>4840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^Warhead_Chemical_Medium</t>
        </is>
      </c>
    </row>
    <row r="5">
      <c r="B5" s="7" t="inlineStr">
        <is>
          <t xml:space="preserve">  ↳ RA2Chemspray2</t>
        </is>
      </c>
      <c r="C5" s="7" t="inlineStr">
        <is>
          <t>Armament@Upgrade</t>
        </is>
      </c>
      <c r="L5" s="6" t="n">
        <v>8000</v>
      </c>
      <c r="M5" s="6" t="n">
        <v>50</v>
      </c>
      <c r="N5" s="6" t="n">
        <v>6</v>
      </c>
      <c r="O5" s="6" t="n">
        <v>4</v>
      </c>
      <c r="P5" s="6" t="n">
        <v>4840</v>
      </c>
      <c r="Q5" s="6" t="n">
        <v>1.125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^Warhead_Chemical_Heavy, ^Warhead_Chemical_Medium</t>
        </is>
      </c>
    </row>
    <row r="6">
      <c r="B6" s="7" t="inlineStr">
        <is>
          <t xml:space="preserve">  ↳ RA2Chemspray_elite</t>
        </is>
      </c>
      <c r="C6" s="7" t="inlineStr">
        <is>
          <t>Armament@ELITE</t>
        </is>
      </c>
      <c r="L6" s="6" t="n">
        <v>8000</v>
      </c>
      <c r="M6" s="6" t="n">
        <v>50</v>
      </c>
      <c r="N6" s="6" t="n">
        <v>6</v>
      </c>
      <c r="O6" s="6" t="n">
        <v>4</v>
      </c>
      <c r="P6" s="6" t="n">
        <v>5840</v>
      </c>
      <c r="Q6" s="6" t="n">
        <v>1.125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^Warhead_Chemical_Heavy, ^Warhead_Chemical_Medium</t>
        </is>
      </c>
    </row>
    <row r="7">
      <c r="B7" s="7" t="inlineStr">
        <is>
          <t xml:space="preserve">  ↳ RA2Chemspray</t>
        </is>
      </c>
      <c r="C7" s="7" t="inlineStr">
        <is>
          <t>Armament@GARRISONED</t>
        </is>
      </c>
      <c r="L7" s="6" t="n">
        <v>4000</v>
      </c>
      <c r="M7" s="6" t="n">
        <v>50</v>
      </c>
      <c r="N7" s="6" t="n">
        <v>6</v>
      </c>
      <c r="O7" s="6" t="n">
        <v>4</v>
      </c>
      <c r="P7" s="6" t="n">
        <v>4840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^Warhead_Chemical_Medium</t>
        </is>
      </c>
    </row>
    <row r="8">
      <c r="B8" s="7" t="inlineStr">
        <is>
          <t xml:space="preserve">  ↳ RA2Chemspray2</t>
        </is>
      </c>
      <c r="C8" s="7" t="inlineStr">
        <is>
          <t>Armament@GARRISONEDUpgrade</t>
        </is>
      </c>
      <c r="L8" s="6" t="n">
        <v>8000</v>
      </c>
      <c r="M8" s="6" t="n">
        <v>50</v>
      </c>
      <c r="N8" s="6" t="n">
        <v>6</v>
      </c>
      <c r="O8" s="6" t="n">
        <v>4</v>
      </c>
      <c r="P8" s="6" t="n">
        <v>4840</v>
      </c>
      <c r="Q8" s="6" t="n">
        <v>1.125</v>
      </c>
      <c r="R8">
        <f>M8+IF(N8&gt;1,N(O8)*(N8-1),0)</f>
        <v/>
      </c>
      <c r="S8">
        <f>IFERROR(L8*MAX(N8,1)/R8*IF(ISBLANK(K3),1,K3),0)</f>
        <v/>
      </c>
      <c r="AB8" s="7" t="inlineStr">
        <is>
          <t>^Warhead_Chemical_Heavy, ^Warhead_Chemical_Medium</t>
        </is>
      </c>
    </row>
    <row r="9">
      <c r="B9" s="7" t="inlineStr">
        <is>
          <t xml:space="preserve">  ↳ RA2Chemspray_elite</t>
        </is>
      </c>
      <c r="C9" s="7" t="inlineStr">
        <is>
          <t>Armament@GARRISONEDELITE</t>
        </is>
      </c>
      <c r="L9" s="6" t="n">
        <v>8000</v>
      </c>
      <c r="M9" s="6" t="n">
        <v>50</v>
      </c>
      <c r="N9" s="6" t="n">
        <v>6</v>
      </c>
      <c r="O9" s="6" t="n">
        <v>4</v>
      </c>
      <c r="P9" s="6" t="n">
        <v>5840</v>
      </c>
      <c r="Q9" s="6" t="n">
        <v>1.125</v>
      </c>
      <c r="R9">
        <f>M9+IF(N9&gt;1,N(O9)*(N9-1),0)</f>
        <v/>
      </c>
      <c r="S9">
        <f>IFERROR(L9*MAX(N9,1)/R9*IF(ISBLANK(K3),1,K3),0)</f>
        <v/>
      </c>
      <c r="AB9" s="7" t="inlineStr">
        <is>
          <t>^Warhead_Chemical_Heavy, ^Warhead_Chemical_Medium</t>
        </is>
      </c>
    </row>
    <row r="10">
      <c r="A10" t="inlineStr">
        <is>
          <t>redalert2</t>
        </is>
      </c>
      <c r="B10" t="inlineStr">
        <is>
          <t>yuri_brute</t>
        </is>
      </c>
      <c r="C10" t="inlineStr">
        <is>
          <t>Brute</t>
        </is>
      </c>
      <c r="D10" s="6" t="inlineStr">
        <is>
          <t>MeleeInfantry</t>
        </is>
      </c>
      <c r="E10" s="6" t="n">
        <v>45000</v>
      </c>
      <c r="F10" s="6" t="n">
        <v>80</v>
      </c>
      <c r="G10" t="inlineStr">
        <is>
          <t>Plate</t>
        </is>
      </c>
      <c r="H10" s="6" t="n">
        <v>1</v>
      </c>
      <c r="I10" s="6" t="n">
        <v>0.75</v>
      </c>
      <c r="J10" s="6" t="n">
        <v>1</v>
      </c>
      <c r="K10" s="6" t="n"/>
      <c r="P10">
        <f>MAX(P11,P12)</f>
        <v/>
      </c>
      <c r="S10">
        <f>S11+S12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400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RA2BrutePunch</t>
        </is>
      </c>
      <c r="C11" s="7" t="inlineStr">
        <is>
          <t>Armament@PRIMARY</t>
        </is>
      </c>
      <c r="L11" s="6" t="n">
        <v>20000</v>
      </c>
      <c r="M11" s="6" t="n">
        <v>37</v>
      </c>
      <c r="N11" s="6" t="n">
        <v>1</v>
      </c>
      <c r="O11" s="6" t="n"/>
      <c r="P11" s="6" t="n">
        <v>1616</v>
      </c>
      <c r="Q11" s="6" t="n">
        <v>1</v>
      </c>
      <c r="R11">
        <f>M11+IF(N11&gt;1,N(O11)*(N11-1),0)</f>
        <v/>
      </c>
      <c r="S11">
        <f>IFERROR(L11*MAX(N11,1)/R11*IF(ISBLANK(K10),1,K10),0)</f>
        <v/>
      </c>
      <c r="AB11" s="7" t="inlineStr">
        <is>
          <t>^Warhead_Melee_Medium</t>
        </is>
      </c>
    </row>
    <row r="12">
      <c r="B12" s="7" t="inlineStr">
        <is>
          <t xml:space="preserve">  ↳ RA2BrutePunch_elite</t>
        </is>
      </c>
      <c r="C12" s="7" t="inlineStr">
        <is>
          <t>Armament@ELITE</t>
        </is>
      </c>
      <c r="L12" s="6" t="n">
        <v>20000</v>
      </c>
      <c r="M12" s="6" t="n">
        <v>37</v>
      </c>
      <c r="N12" s="6" t="n">
        <v>2</v>
      </c>
      <c r="O12" s="6" t="n">
        <v>3</v>
      </c>
      <c r="P12" s="6" t="n">
        <v>1616</v>
      </c>
      <c r="Q12" s="6" t="n">
        <v>1</v>
      </c>
      <c r="R12">
        <f>M12+IF(N12&gt;1,N(O12)*(N12-1),0)</f>
        <v/>
      </c>
      <c r="S12">
        <f>IFERROR(L12*MAX(N12,1)/R12*IF(ISBLANK(K10),1,K10),0)</f>
        <v/>
      </c>
      <c r="AB12" s="7" t="inlineStr">
        <is>
          <t>^Warhead_Melee_Medium</t>
        </is>
      </c>
    </row>
    <row r="13">
      <c r="A13" t="inlineStr">
        <is>
          <t>redalert2</t>
        </is>
      </c>
      <c r="B13" t="inlineStr">
        <is>
          <t>yuri_clone</t>
        </is>
      </c>
      <c r="C13" t="inlineStr">
        <is>
          <t>Yuri Clone</t>
        </is>
      </c>
      <c r="D13" s="6" t="inlineStr">
        <is>
          <t>ScoutInfantry</t>
        </is>
      </c>
      <c r="E13" s="6" t="n">
        <v>5000</v>
      </c>
      <c r="F13" s="6" t="n">
        <v>50</v>
      </c>
      <c r="G13" t="inlineStr">
        <is>
          <t>None</t>
        </is>
      </c>
      <c r="H13" s="6" t="n">
        <v>0.8824</v>
      </c>
      <c r="I13" s="6" t="n">
        <v>1</v>
      </c>
      <c r="J13" s="6" t="n">
        <v>1</v>
      </c>
      <c r="K13" s="6" t="n"/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(((E13/5000)+(F13/50)+(S13/0)+((P13/0)*J13))*500/4+(((E13/5000)*(F13/50))+(((P13/0)*J13)*(S13/0)))*500/2+((E13/5000)*(F13/50)*((P13/0)*J13)*(S13/0))*500)*(H13/1.0)/3</f>
        <v/>
      </c>
      <c r="X13" s="6" t="n">
        <v>500</v>
      </c>
      <c r="Y13">
        <f>IFERROR(W13-X13,"")</f>
        <v/>
      </c>
      <c r="Z13">
        <f>IFERROR(ABS(Y13)/MAX(X13,1),"")</f>
        <v/>
      </c>
      <c r="AA13">
        <f>IFERROR(ROUND(((3*X13-(((E13/5000)+(F13/50)+(S13/0))*500/4+((E13/5000)*(F13/50))*500/2)*(H13/1.0))/(500/4+((S13/0))*500/2+((E13/5000)*(F13/50)*(S13/0))*500)*(H13/1.0)*0)/J13,-1),"")</f>
        <v/>
      </c>
    </row>
    <row r="14">
      <c r="B14" s="7" t="inlineStr">
        <is>
          <t xml:space="preserve">  ↳ RA2MindControl</t>
        </is>
      </c>
      <c r="C14" s="7" t="inlineStr">
        <is>
          <t>Armament@CONTROL</t>
        </is>
      </c>
      <c r="L14" s="6" t="n">
        <v>0</v>
      </c>
      <c r="M14" s="6" t="n">
        <v>75</v>
      </c>
      <c r="N14" s="6" t="n">
        <v>1</v>
      </c>
      <c r="O14" s="6" t="n"/>
      <c r="P14" s="6" t="n">
        <v>7000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/>
    </row>
    <row r="15">
      <c r="A15" t="inlineStr">
        <is>
          <t>redalert2</t>
        </is>
      </c>
      <c r="B15" t="inlineStr">
        <is>
          <t>yuri_cosmonaut</t>
        </is>
      </c>
      <c r="C15" t="inlineStr">
        <is>
          <t>Cosmonaut</t>
        </is>
      </c>
      <c r="D15" s="6" t="inlineStr">
        <is>
          <t>FlyingInfantry</t>
        </is>
      </c>
      <c r="E15" s="6" t="n">
        <v>28000</v>
      </c>
      <c r="F15" s="6" t="n">
        <v>165</v>
      </c>
      <c r="G15" t="inlineStr">
        <is>
          <t>Scout</t>
        </is>
      </c>
      <c r="H15" s="6" t="n">
        <v>1</v>
      </c>
      <c r="I15" s="6" t="n">
        <v>1</v>
      </c>
      <c r="J15" s="6" t="n">
        <v>1</v>
      </c>
      <c r="K15" s="6" t="n">
        <v>0.005</v>
      </c>
      <c r="P15">
        <f>MAX(P16)</f>
        <v/>
      </c>
      <c r="S15">
        <f>S16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1100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RA2CosmonautLaser</t>
        </is>
      </c>
      <c r="C16" s="7" t="inlineStr">
        <is>
          <t>Armament@PRIMARY</t>
        </is>
      </c>
      <c r="L16" s="6" t="n">
        <v>12000</v>
      </c>
      <c r="M16" s="6" t="n">
        <v>11</v>
      </c>
      <c r="N16" s="6" t="n">
        <v>1</v>
      </c>
      <c r="O16" s="6" t="n"/>
      <c r="P16" s="6" t="n">
        <v>4750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^Warhead_Bullet_Medium</t>
        </is>
      </c>
    </row>
    <row r="17">
      <c r="A17" t="inlineStr">
        <is>
          <t>redalert2</t>
        </is>
      </c>
      <c r="B17" t="inlineStr">
        <is>
          <t>yuri_engineer</t>
        </is>
      </c>
      <c r="C17" t="inlineStr">
        <is>
          <t>Engineer</t>
        </is>
      </c>
      <c r="D17" s="6" t="inlineStr">
        <is>
          <t>Infantry</t>
        </is>
      </c>
      <c r="E17" s="6" t="n">
        <v>5000</v>
      </c>
      <c r="F17" s="6" t="n">
        <v>50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K17" s="6" t="n"/>
      <c r="X17" s="6" t="n">
        <v>500</v>
      </c>
    </row>
    <row r="18">
      <c r="B18" s="7" t="inlineStr">
        <is>
          <t xml:space="preserve">  ↳ DefuseKit</t>
        </is>
      </c>
      <c r="C18" s="7" t="inlineStr">
        <is>
          <t>Armament@defuse</t>
        </is>
      </c>
      <c r="L18" s="6" t="n"/>
      <c r="M18" s="6" t="n">
        <v>20</v>
      </c>
      <c r="N18" s="6" t="n">
        <v>1</v>
      </c>
      <c r="O18" s="6" t="n"/>
      <c r="P18" s="6" t="n">
        <v>1536</v>
      </c>
      <c r="Q18" s="6" t="n">
        <v>1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^RemovesIvanBombs, ^RemovesTerrorDrone</t>
        </is>
      </c>
    </row>
    <row r="19">
      <c r="B19" s="7" t="inlineStr">
        <is>
          <t xml:space="preserve">  ↳ LeechDisinfect</t>
        </is>
      </c>
      <c r="C19" s="7" t="inlineStr">
        <is>
          <t>Armament@leechdisinfect</t>
        </is>
      </c>
      <c r="L19" s="6" t="n"/>
      <c r="M19" s="6" t="n">
        <v>100</v>
      </c>
      <c r="N19" s="6" t="n">
        <v>1</v>
      </c>
      <c r="O19" s="6" t="n"/>
      <c r="P19" s="6" t="n">
        <v>1536</v>
      </c>
      <c r="Q19" s="6" t="n">
        <v>1</v>
      </c>
      <c r="R19">
        <f>M19+IF(N19&gt;1,N(O19)*(N19-1),0)</f>
        <v/>
      </c>
      <c r="S19">
        <f>IFERROR(L19*MAX(N19,1)/R19*IF(ISBLANK(K17),1,K17),0)</f>
        <v/>
      </c>
      <c r="AB19" s="7" t="inlineStr"/>
    </row>
    <row r="20">
      <c r="A20" t="inlineStr">
        <is>
          <t>redalert2</t>
        </is>
      </c>
      <c r="B20" t="inlineStr">
        <is>
          <t>yuri_gatlingtrooper</t>
        </is>
      </c>
      <c r="C20" t="inlineStr">
        <is>
          <t>Gatling Trooper</t>
        </is>
      </c>
      <c r="D20" s="6" t="inlineStr">
        <is>
          <t>AntiTankAntiAirInfantry</t>
        </is>
      </c>
      <c r="E20" s="6" t="n">
        <v>36000</v>
      </c>
      <c r="F20" s="6" t="n">
        <v>45</v>
      </c>
      <c r="G20" t="inlineStr">
        <is>
          <t>Flak</t>
        </is>
      </c>
      <c r="H20" s="6" t="n">
        <v>0.75</v>
      </c>
      <c r="I20" s="6" t="n">
        <v>0.8</v>
      </c>
      <c r="J20" s="6" t="n">
        <v>1.25</v>
      </c>
      <c r="K20" s="6" t="n">
        <v>0.0108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(((E20/15000)+(F20/50)+(S20/240)+((P20/6000)*J20))*200/4+(((E20/15000)*(F20/50))+(((P20/6000)*J20)*(S20/240)))*200/2+((E20/15000)*(F20/50)*((P20/6000)*J20)*(S20/240))*200)*(H20/1.0)/3</f>
        <v/>
      </c>
      <c r="X20" s="6" t="n">
        <v>431</v>
      </c>
      <c r="Y20">
        <f>IFERROR(W20-X20,"")</f>
        <v/>
      </c>
      <c r="Z20">
        <f>IFERROR(ABS(Y20)/MAX(X20,1),"")</f>
        <v/>
      </c>
      <c r="AA20">
        <f>IFERROR(ROUND(((3*X20-(((E20/15000)+(F20/50)+(S20/240))*200/4+((E20/15000)*(F20/50))*200/2)*(H20/1.0))/(200/4+((S20/240))*200/2+((E20/15000)*(F20/50)*(S20/240))*200)*(H20/1.0)*6000)/J20,-1),"")</f>
        <v/>
      </c>
    </row>
    <row r="21">
      <c r="B21" s="7" t="inlineStr">
        <is>
          <t xml:space="preserve">  ↳ RA2GattlingInf</t>
        </is>
      </c>
      <c r="C21" s="7" t="inlineStr">
        <is>
          <t>Armament@PRIMARY</t>
        </is>
      </c>
      <c r="L21" s="6" t="n">
        <v>16000</v>
      </c>
      <c r="M21" s="6" t="n">
        <v>15</v>
      </c>
      <c r="N21" s="6" t="n">
        <v>1</v>
      </c>
      <c r="O21" s="6" t="n"/>
      <c r="P21" s="6" t="n">
        <v>5531</v>
      </c>
      <c r="Q21" s="6" t="n">
        <v>0.875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B22" s="7" t="inlineStr">
        <is>
          <t xml:space="preserve">  ↳ RA2GattlingInf</t>
        </is>
      </c>
      <c r="C22" s="7" t="inlineStr">
        <is>
          <t>Armament@GARRISONED</t>
        </is>
      </c>
      <c r="L22" s="6" t="n">
        <v>16000</v>
      </c>
      <c r="M22" s="6" t="n">
        <v>15</v>
      </c>
      <c r="N22" s="6" t="n">
        <v>1</v>
      </c>
      <c r="O22" s="6" t="n"/>
      <c r="P22" s="6" t="n">
        <v>5531</v>
      </c>
      <c r="Q22" s="6" t="n">
        <v>0.875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^Warhead_Bullet_Light, ^Warhead_Bullet_Medium</t>
        </is>
      </c>
    </row>
    <row r="23">
      <c r="A23" t="inlineStr">
        <is>
          <t>redalert2</t>
        </is>
      </c>
      <c r="B23" t="inlineStr">
        <is>
          <t>yuri_initiate</t>
        </is>
      </c>
      <c r="C23" t="inlineStr">
        <is>
          <t>Yuri Initiate</t>
        </is>
      </c>
      <c r="D23" s="6" t="inlineStr">
        <is>
          <t>AntiTankAntiAirInfantry</t>
        </is>
      </c>
      <c r="E23" s="6" t="n">
        <v>24000</v>
      </c>
      <c r="F23" s="6" t="n">
        <v>66</v>
      </c>
      <c r="G23" t="inlineStr">
        <is>
          <t>Flak</t>
        </is>
      </c>
      <c r="H23" s="6" t="n">
        <v>1</v>
      </c>
      <c r="I23" s="6" t="n">
        <v>0.5</v>
      </c>
      <c r="J23" s="6" t="n">
        <v>1</v>
      </c>
      <c r="K23" s="6" t="n">
        <v>0.005</v>
      </c>
      <c r="P23">
        <f>MAX(P24,P26)</f>
        <v/>
      </c>
      <c r="S23">
        <f>S24+S26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RA2PsychicJab</t>
        </is>
      </c>
      <c r="C24" s="7" t="inlineStr">
        <is>
          <t>Armament@PRIMARY</t>
        </is>
      </c>
      <c r="L24" s="6" t="n">
        <v>8000</v>
      </c>
      <c r="M24" s="6" t="n">
        <v>15</v>
      </c>
      <c r="N24" s="6" t="n">
        <v>1</v>
      </c>
      <c r="O24" s="6" t="n"/>
      <c r="P24" s="6" t="n">
        <v>4440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^Warhead_CannonHE_Medium</t>
        </is>
      </c>
    </row>
    <row r="25">
      <c r="B25" s="7" t="inlineStr">
        <is>
          <t xml:space="preserve">  ↳ RA2PsychicJab</t>
        </is>
      </c>
      <c r="C25" s="7" t="inlineStr">
        <is>
          <t>Armament@GARRISONED</t>
        </is>
      </c>
      <c r="L25" s="6" t="n">
        <v>8000</v>
      </c>
      <c r="M25" s="6" t="n">
        <v>15</v>
      </c>
      <c r="N25" s="6" t="n">
        <v>1</v>
      </c>
      <c r="O25" s="6" t="n"/>
      <c r="P25" s="6" t="n">
        <v>4440</v>
      </c>
      <c r="Q25" s="6" t="n">
        <v>1</v>
      </c>
      <c r="R25">
        <f>M25+IF(N25&gt;1,N(O25)*(N25-1),0)</f>
        <v/>
      </c>
      <c r="S25">
        <f>IFERROR(L25*MAX(N25,1)/R25*IF(ISBLANK(K23),1,K23),0)</f>
        <v/>
      </c>
      <c r="AB25" s="7" t="inlineStr">
        <is>
          <t>^Warhead_CannonHE_Medium</t>
        </is>
      </c>
    </row>
    <row r="26">
      <c r="B26" s="7" t="inlineStr">
        <is>
          <t xml:space="preserve">  ↳ RA2PsychicJab_elite</t>
        </is>
      </c>
      <c r="C26" s="7" t="inlineStr">
        <is>
          <t>Armament@PRIMARYELITE</t>
        </is>
      </c>
      <c r="L26" s="6" t="n">
        <v>8000</v>
      </c>
      <c r="M26" s="6" t="n">
        <v>15</v>
      </c>
      <c r="N26" s="6" t="n">
        <v>2</v>
      </c>
      <c r="O26" s="6" t="n">
        <v>3</v>
      </c>
      <c r="P26" s="6" t="n">
        <v>5440</v>
      </c>
      <c r="Q26" s="6" t="n">
        <v>1</v>
      </c>
      <c r="R26">
        <f>M26+IF(N26&gt;1,N(O26)*(N26-1),0)</f>
        <v/>
      </c>
      <c r="S26">
        <f>IFERROR(L26*MAX(N26,1)/R26*IF(ISBLANK(K23),1,K23),0)</f>
        <v/>
      </c>
      <c r="AB26" s="7" t="inlineStr">
        <is>
          <t>^Warhead_CannonHE_Medium</t>
        </is>
      </c>
    </row>
    <row r="27">
      <c r="B27" s="7" t="inlineStr">
        <is>
          <t xml:space="preserve">  ↳ RA2PsychicJab_elite</t>
        </is>
      </c>
      <c r="C27" s="7" t="inlineStr">
        <is>
          <t>Armament@GARRISONEDELITE</t>
        </is>
      </c>
      <c r="L27" s="6" t="n">
        <v>8000</v>
      </c>
      <c r="M27" s="6" t="n">
        <v>15</v>
      </c>
      <c r="N27" s="6" t="n">
        <v>2</v>
      </c>
      <c r="O27" s="6" t="n">
        <v>3</v>
      </c>
      <c r="P27" s="6" t="n">
        <v>5440</v>
      </c>
      <c r="Q27" s="6" t="n">
        <v>1</v>
      </c>
      <c r="R27">
        <f>M27+IF(N27&gt;1,N(O27)*(N27-1),0)</f>
        <v/>
      </c>
      <c r="S27">
        <f>IFERROR(L27*MAX(N27,1)/R27*IF(ISBLANK(K23),1,K23),0)</f>
        <v/>
      </c>
      <c r="AB27" s="7" t="inlineStr">
        <is>
          <t>^Warhead_CannonHE_Medium</t>
        </is>
      </c>
    </row>
    <row r="28">
      <c r="A28" t="inlineStr">
        <is>
          <t>redalert2</t>
        </is>
      </c>
      <c r="B28" t="inlineStr">
        <is>
          <t>yuri_virus</t>
        </is>
      </c>
      <c r="C28" t="inlineStr">
        <is>
          <t>Virus</t>
        </is>
      </c>
      <c r="D28" s="6" t="inlineStr">
        <is>
          <t>SniperInfantry</t>
        </is>
      </c>
      <c r="E28" s="6" t="n">
        <v>12000</v>
      </c>
      <c r="F28" s="6" t="n">
        <v>52</v>
      </c>
      <c r="G28" t="inlineStr">
        <is>
          <t>Flak</t>
        </is>
      </c>
      <c r="H28" s="6" t="n">
        <v>1</v>
      </c>
      <c r="I28" s="6" t="n">
        <v>0.75</v>
      </c>
      <c r="J28" s="6" t="n">
        <v>1.25</v>
      </c>
      <c r="K28" s="6" t="n"/>
      <c r="P28">
        <f>MAX(P29,P30,P31,P32)</f>
        <v/>
      </c>
      <c r="S28">
        <f>S29+S30+S31+S32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(((E28/25000)+(F28/80)+(S28/400)+((P28/8000)*J28))*700/4+(((E28/25000)*(F28/80))+(((P28/8000)*J28)*(S28/400)))*700/2+((E28/25000)*(F28/80)*((P28/8000)*J28)*(S28/400))*700)*(H28/0.7674)/3</f>
        <v/>
      </c>
      <c r="X28" s="6" t="n">
        <v>700</v>
      </c>
      <c r="Y28">
        <f>IFERROR(W28-X28,"")</f>
        <v/>
      </c>
      <c r="Z28">
        <f>IFERROR(ABS(Y28)/MAX(X28,1),"")</f>
        <v/>
      </c>
      <c r="AA28">
        <f>IFERROR(ROUND(((3*X28-(((E28/25000)+(F28/80)+(S28/400))*700/4+((E28/25000)*(F28/80))*700/2)*(H28/0.7674))/(700/4+((S28/400))*700/2+((E28/25000)*(F28/80)*(S28/400))*700)*(H28/0.7674)*8000)/J28,-1),"")</f>
        <v/>
      </c>
    </row>
    <row r="29">
      <c r="B29" s="7" t="inlineStr">
        <is>
          <t xml:space="preserve">  ↳ RA2Virusgun</t>
        </is>
      </c>
      <c r="C29" s="7" t="inlineStr">
        <is>
          <t>Armament@PRIMARY</t>
        </is>
      </c>
      <c r="L29" s="6" t="n">
        <v>24000</v>
      </c>
      <c r="M29" s="6" t="n">
        <v>74</v>
      </c>
      <c r="N29" s="6" t="n">
        <v>1</v>
      </c>
      <c r="O29" s="6" t="n"/>
      <c r="P29" s="6" t="n">
        <v>9999</v>
      </c>
      <c r="Q29" s="6" t="n">
        <v>1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^HeavyChemicalWeapon, ^SniperWeapon</t>
        </is>
      </c>
    </row>
    <row r="30">
      <c r="B30" s="7" t="inlineStr">
        <is>
          <t xml:space="preserve">  ↳ RA2Virusgun2</t>
        </is>
      </c>
      <c r="C30" s="7" t="inlineStr">
        <is>
          <t>Armament@PRIMARY2</t>
        </is>
      </c>
      <c r="L30" s="6" t="n">
        <v>36000</v>
      </c>
      <c r="M30" s="6" t="n">
        <v>74</v>
      </c>
      <c r="N30" s="6" t="n">
        <v>1</v>
      </c>
      <c r="O30" s="6" t="n"/>
      <c r="P30" s="6" t="n">
        <v>9999</v>
      </c>
      <c r="Q30" s="6" t="n">
        <v>1</v>
      </c>
      <c r="R30">
        <f>M30+IF(N30&gt;1,N(O30)*(N30-1),0)</f>
        <v/>
      </c>
      <c r="S30">
        <f>IFERROR(L30*MAX(N30,1)/R30*IF(ISBLANK(K28),1,K28),0)</f>
        <v/>
      </c>
      <c r="AB30" s="7" t="inlineStr">
        <is>
          <t>^Warhead_Flak_Medium</t>
        </is>
      </c>
    </row>
    <row r="31">
      <c r="B31" s="7" t="inlineStr">
        <is>
          <t xml:space="preserve">  ↳ RA2Virusgun3</t>
        </is>
      </c>
      <c r="C31" s="7" t="inlineStr">
        <is>
          <t>Armament@PRIMARY3</t>
        </is>
      </c>
      <c r="L31" s="6" t="n">
        <v>48000</v>
      </c>
      <c r="M31" s="6" t="n">
        <v>74</v>
      </c>
      <c r="N31" s="6" t="n">
        <v>1</v>
      </c>
      <c r="O31" s="6" t="n"/>
      <c r="P31" s="6" t="n">
        <v>9999</v>
      </c>
      <c r="Q31" s="6" t="n">
        <v>1</v>
      </c>
      <c r="R31">
        <f>M31+IF(N31&gt;1,N(O31)*(N31-1),0)</f>
        <v/>
      </c>
      <c r="S31">
        <f>IFERROR(L31*MAX(N31,1)/R31*IF(ISBLANK(K28),1,K28),0)</f>
        <v/>
      </c>
      <c r="AB31" s="7" t="inlineStr">
        <is>
          <t>^Warhead_MissileAP_Medium, ^Warhead_Flak_Medium</t>
        </is>
      </c>
    </row>
    <row r="32">
      <c r="B32" s="7" t="inlineStr">
        <is>
          <t xml:space="preserve">  ↳ RA2Virusgun_elite</t>
        </is>
      </c>
      <c r="C32" s="7" t="inlineStr">
        <is>
          <t>Armament@ELITE</t>
        </is>
      </c>
      <c r="L32" s="6" t="n">
        <v>48000</v>
      </c>
      <c r="M32" s="6" t="n">
        <v>74</v>
      </c>
      <c r="N32" s="6" t="n">
        <v>1</v>
      </c>
      <c r="O32" s="6" t="n"/>
      <c r="P32" s="6" t="n">
        <v>11111</v>
      </c>
      <c r="Q32" s="6" t="n">
        <v>1</v>
      </c>
      <c r="R32">
        <f>M32+IF(N32&gt;1,N(O32)*(N32-1),0)</f>
        <v/>
      </c>
      <c r="S32">
        <f>IFERROR(L32*MAX(N32,1)/R32*IF(ISBLANK(K28),1,K28),0)</f>
        <v/>
      </c>
      <c r="AB32" s="7" t="inlineStr">
        <is>
          <t>^Warhead_MissileAP_Medium, ^Warhead_Flak_Medium</t>
        </is>
      </c>
    </row>
    <row r="33">
      <c r="B33" s="7" t="inlineStr">
        <is>
          <t xml:space="preserve">  ↳ RA2Virusgun</t>
        </is>
      </c>
      <c r="C33" s="7" t="inlineStr">
        <is>
          <t>Armament@GARRISONED</t>
        </is>
      </c>
      <c r="L33" s="6" t="n">
        <v>24000</v>
      </c>
      <c r="M33" s="6" t="n">
        <v>74</v>
      </c>
      <c r="N33" s="6" t="n">
        <v>1</v>
      </c>
      <c r="O33" s="6" t="n"/>
      <c r="P33" s="6" t="n">
        <v>9999</v>
      </c>
      <c r="Q33" s="6" t="n">
        <v>1</v>
      </c>
      <c r="R33">
        <f>M33+IF(N33&gt;1,N(O33)*(N33-1),0)</f>
        <v/>
      </c>
      <c r="S33">
        <f>IFERROR(L33*MAX(N33,1)/R33*IF(ISBLANK(K28),1,K28),0)</f>
        <v/>
      </c>
      <c r="AB33" s="7" t="inlineStr">
        <is>
          <t>^HeavyChemicalWeapon, ^SniperWeapon</t>
        </is>
      </c>
    </row>
    <row r="34">
      <c r="B34" s="7" t="inlineStr">
        <is>
          <t xml:space="preserve">  ↳ RA2Virusgun2</t>
        </is>
      </c>
      <c r="C34" s="7" t="inlineStr">
        <is>
          <t>Armament@GARRISONED2</t>
        </is>
      </c>
      <c r="L34" s="6" t="n">
        <v>36000</v>
      </c>
      <c r="M34" s="6" t="n">
        <v>74</v>
      </c>
      <c r="N34" s="6" t="n">
        <v>1</v>
      </c>
      <c r="O34" s="6" t="n"/>
      <c r="P34" s="6" t="n">
        <v>9999</v>
      </c>
      <c r="Q34" s="6" t="n">
        <v>1</v>
      </c>
      <c r="R34">
        <f>M34+IF(N34&gt;1,N(O34)*(N34-1),0)</f>
        <v/>
      </c>
      <c r="S34">
        <f>IFERROR(L34*MAX(N34,1)/R34*IF(ISBLANK(K28),1,K28),0)</f>
        <v/>
      </c>
      <c r="AB34" s="7" t="inlineStr">
        <is>
          <t>^Warhead_Flak_Medium</t>
        </is>
      </c>
    </row>
    <row r="35">
      <c r="B35" s="7" t="inlineStr">
        <is>
          <t xml:space="preserve">  ↳ RA2Virusgun3</t>
        </is>
      </c>
      <c r="C35" s="7" t="inlineStr">
        <is>
          <t>Armament@GARRISONED3</t>
        </is>
      </c>
      <c r="L35" s="6" t="n">
        <v>48000</v>
      </c>
      <c r="M35" s="6" t="n">
        <v>74</v>
      </c>
      <c r="N35" s="6" t="n">
        <v>1</v>
      </c>
      <c r="O35" s="6" t="n"/>
      <c r="P35" s="6" t="n">
        <v>9999</v>
      </c>
      <c r="Q35" s="6" t="n">
        <v>1</v>
      </c>
      <c r="R35">
        <f>M35+IF(N35&gt;1,N(O35)*(N35-1),0)</f>
        <v/>
      </c>
      <c r="S35">
        <f>IFERROR(L35*MAX(N35,1)/R35*IF(ISBLANK(K28),1,K28),0)</f>
        <v/>
      </c>
      <c r="AB35" s="7" t="inlineStr">
        <is>
          <t>^Warhead_MissileAP_Medium, ^Warhead_Flak_Medium</t>
        </is>
      </c>
    </row>
    <row r="36">
      <c r="B36" s="7" t="inlineStr">
        <is>
          <t xml:space="preserve">  ↳ RA2Virusgun_elite</t>
        </is>
      </c>
      <c r="C36" s="7" t="inlineStr">
        <is>
          <t>Armament@GARRISONEDELITE</t>
        </is>
      </c>
      <c r="L36" s="6" t="n">
        <v>48000</v>
      </c>
      <c r="M36" s="6" t="n">
        <v>74</v>
      </c>
      <c r="N36" s="6" t="n">
        <v>1</v>
      </c>
      <c r="O36" s="6" t="n"/>
      <c r="P36" s="6" t="n">
        <v>11111</v>
      </c>
      <c r="Q36" s="6" t="n">
        <v>1</v>
      </c>
      <c r="R36">
        <f>M36+IF(N36&gt;1,N(O36)*(N36-1),0)</f>
        <v/>
      </c>
      <c r="S36">
        <f>IFERROR(L36*MAX(N36,1)/R36*IF(ISBLANK(K28),1,K28),0)</f>
        <v/>
      </c>
      <c r="AB36" s="7" t="inlineStr">
        <is>
          <t>^Warhead_MissileAP_Medium, ^Warhead_Flak_Medium</t>
        </is>
      </c>
    </row>
    <row r="37">
      <c r="A37" t="inlineStr">
        <is>
          <t>redalert2</t>
        </is>
      </c>
      <c r="B37" t="inlineStr">
        <is>
          <t>yuri_yurix</t>
        </is>
      </c>
      <c r="C37" t="inlineStr">
        <is>
          <t>actor_yurix.name</t>
        </is>
      </c>
      <c r="D37" s="6" t="inlineStr">
        <is>
          <t>HeroInfantry</t>
        </is>
      </c>
      <c r="E37" s="6" t="n">
        <v>20000</v>
      </c>
      <c r="F37" s="6" t="n">
        <v>100</v>
      </c>
      <c r="G37" t="inlineStr">
        <is>
          <t>Heroic</t>
        </is>
      </c>
      <c r="H37" s="6" t="n">
        <v>0.4054</v>
      </c>
      <c r="I37" s="6" t="n">
        <v>1</v>
      </c>
      <c r="J37" s="6" t="n">
        <v>1</v>
      </c>
      <c r="K37" s="6" t="n"/>
      <c r="P37">
        <f>MAX(P38,P39,P40)</f>
        <v/>
      </c>
      <c r="S37">
        <f>S38+S39+S40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4000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RA2XMindControl</t>
        </is>
      </c>
      <c r="C38" s="7" t="inlineStr">
        <is>
          <t>Armament@PRIMARY</t>
        </is>
      </c>
      <c r="L38" s="6" t="n">
        <v>0</v>
      </c>
      <c r="M38" s="6" t="n">
        <v>125</v>
      </c>
      <c r="N38" s="6" t="n">
        <v>1</v>
      </c>
      <c r="O38" s="6" t="n"/>
      <c r="P38" s="6" t="n">
        <v>9000</v>
      </c>
      <c r="Q38" s="6" t="n">
        <v>1</v>
      </c>
      <c r="R38">
        <f>M38+IF(N38&gt;1,N(O38)*(N38-1),0)</f>
        <v/>
      </c>
      <c r="S38">
        <f>IFERROR(L38*MAX(N38,1)/R38*IF(ISBLANK(K37),1,K37),0)</f>
        <v/>
      </c>
      <c r="AB38" s="7" t="inlineStr">
        <is>
          <t>RA2MindControl</t>
        </is>
      </c>
    </row>
    <row r="39">
      <c r="B39" s="7" t="inlineStr">
        <is>
          <t xml:space="preserve">  ↳ RA2XMindControlSplash</t>
        </is>
      </c>
      <c r="C39" s="7" t="inlineStr">
        <is>
          <t>Armament@Splash</t>
        </is>
      </c>
      <c r="L39" s="6" t="n">
        <v>0</v>
      </c>
      <c r="M39" s="6" t="n">
        <v>125</v>
      </c>
      <c r="N39" s="6" t="n">
        <v>1</v>
      </c>
      <c r="O39" s="6" t="n"/>
      <c r="P39" s="6" t="n">
        <v>9000</v>
      </c>
      <c r="Q39" s="6" t="n">
        <v>1</v>
      </c>
      <c r="R39">
        <f>M39+IF(N39&gt;1,N(O39)*(N39-1),0)</f>
        <v/>
      </c>
      <c r="S39">
        <f>IFERROR(L39*MAX(N39,1)/R39*IF(ISBLANK(K37),1,K37),0)</f>
        <v/>
      </c>
      <c r="AB39" s="7" t="inlineStr">
        <is>
          <t>RA2MindControl</t>
        </is>
      </c>
    </row>
    <row r="40">
      <c r="B40" s="7" t="inlineStr">
        <is>
          <t xml:space="preserve">  ↳ RA2XMindControlSplash2</t>
        </is>
      </c>
      <c r="C40" s="7" t="inlineStr">
        <is>
          <t>Armament@Splash2</t>
        </is>
      </c>
      <c r="L40" s="6" t="n">
        <v>0</v>
      </c>
      <c r="M40" s="6" t="n">
        <v>125</v>
      </c>
      <c r="N40" s="6" t="n">
        <v>1</v>
      </c>
      <c r="O40" s="6" t="n"/>
      <c r="P40" s="6" t="n">
        <v>9000</v>
      </c>
      <c r="Q40" s="6" t="n">
        <v>1</v>
      </c>
      <c r="R40">
        <f>M40+IF(N40&gt;1,N(O40)*(N40-1),0)</f>
        <v/>
      </c>
      <c r="S40">
        <f>IFERROR(L40*MAX(N40,1)/R40*IF(ISBLANK(K37),1,K37),0)</f>
        <v/>
      </c>
      <c r="AB40" s="7" t="inlineStr">
        <is>
          <t>RA2XMindControlSplash</t>
        </is>
      </c>
    </row>
    <row r="41">
      <c r="A41" s="4" t="inlineStr">
        <is>
          <t>VEHICLES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t="inlineStr">
        <is>
          <t>redalert2</t>
        </is>
      </c>
      <c r="B42" t="inlineStr">
        <is>
          <t>yuri_chaosdrone</t>
        </is>
      </c>
      <c r="C42" t="inlineStr">
        <is>
          <t>Chaos Drone</t>
        </is>
      </c>
      <c r="D42" s="6" t="inlineStr">
        <is>
          <t>SupportVehicle</t>
        </is>
      </c>
      <c r="E42" s="6" t="n">
        <v>12500</v>
      </c>
      <c r="F42" s="6" t="n">
        <v>140</v>
      </c>
      <c r="G42" t="inlineStr">
        <is>
          <t>Scout</t>
        </is>
      </c>
      <c r="H42" s="6" t="n">
        <v>0.8824</v>
      </c>
      <c r="I42" s="6" t="n">
        <v>1</v>
      </c>
      <c r="J42" s="6" t="n">
        <v>1</v>
      </c>
      <c r="K42" s="6" t="n"/>
      <c r="X42" s="6" t="n">
        <v>600</v>
      </c>
    </row>
    <row r="43">
      <c r="B43" s="7" t="inlineStr">
        <is>
          <t xml:space="preserve">  ↳ RA2Dronegas</t>
        </is>
      </c>
      <c r="C43" s="7" t="inlineStr">
        <is>
          <t>Armament</t>
        </is>
      </c>
      <c r="L43" s="6" t="n"/>
      <c r="M43" s="6" t="n">
        <v>125</v>
      </c>
      <c r="N43" s="6" t="n">
        <v>1</v>
      </c>
      <c r="O43" s="6" t="n"/>
      <c r="P43" s="6" t="n">
        <v>5000</v>
      </c>
      <c r="Q43" s="6" t="n">
        <v>1</v>
      </c>
      <c r="R43">
        <f>M43+IF(N43&gt;1,N(O43)*(N43-1),0)</f>
        <v/>
      </c>
      <c r="S43">
        <f>IFERROR(L43*MAX(N43,1)/R43*IF(ISBLANK(K42),1,K42),0)</f>
        <v/>
      </c>
      <c r="AB43" s="7" t="inlineStr"/>
    </row>
    <row r="44">
      <c r="B44" s="7" t="inlineStr">
        <is>
          <t xml:space="preserve">  ↳ RA2Dronegas</t>
        </is>
      </c>
      <c r="C44" s="7" t="inlineStr">
        <is>
          <t>Armament@GARRISONED</t>
        </is>
      </c>
      <c r="L44" s="6" t="n"/>
      <c r="M44" s="6" t="n">
        <v>125</v>
      </c>
      <c r="N44" s="6" t="n">
        <v>1</v>
      </c>
      <c r="O44" s="6" t="n"/>
      <c r="P44" s="6" t="n">
        <v>5000</v>
      </c>
      <c r="Q44" s="6" t="n">
        <v>1</v>
      </c>
      <c r="R44">
        <f>M44+IF(N44&gt;1,N(O44)*(N44-1),0)</f>
        <v/>
      </c>
      <c r="S44">
        <f>IFERROR(L44*MAX(N44,1)/R44*IF(ISBLANK(K42),1,K42),0)</f>
        <v/>
      </c>
      <c r="AB44" s="7" t="inlineStr"/>
    </row>
    <row r="45">
      <c r="A45" t="inlineStr">
        <is>
          <t>redalert2</t>
        </is>
      </c>
      <c r="B45" t="inlineStr">
        <is>
          <t>yuri_gatlingtank</t>
        </is>
      </c>
      <c r="C45" t="inlineStr">
        <is>
          <t>Yuri Gatling Tank</t>
        </is>
      </c>
      <c r="D45" s="6" t="inlineStr">
        <is>
          <t>AntiAirVehicle</t>
        </is>
      </c>
      <c r="E45" s="6" t="n">
        <v>45000</v>
      </c>
      <c r="F45" s="6" t="n">
        <v>90</v>
      </c>
      <c r="G45" t="inlineStr">
        <is>
          <t>Medium</t>
        </is>
      </c>
      <c r="H45" s="6" t="n">
        <v>1</v>
      </c>
      <c r="I45" s="6" t="n">
        <v>1</v>
      </c>
      <c r="J45" s="6" t="n">
        <v>1.25</v>
      </c>
      <c r="K45" s="6" t="n">
        <v>0.0075</v>
      </c>
      <c r="P45">
        <f>MAX(P46,P47,P48,P49,P50,P51)</f>
        <v/>
      </c>
      <c r="S45">
        <f>S46+S47+S48+S49+S50+S51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(((E45/170000)+(F45/110)+(S45/1250)+((P45/6000)*J45))*1000/4+(((E45/170000)*(F45/110))+(((P45/6000)*J45)*(S45/1250)))*1000/2+((E45/170000)*(F45/110)*((P45/6000)*J45)*(S45/1250))*1000)*(H45/1.0)/3</f>
        <v/>
      </c>
      <c r="X45" s="6" t="n">
        <v>1100</v>
      </c>
      <c r="Y45">
        <f>IFERROR(W45-X45,"")</f>
        <v/>
      </c>
      <c r="Z45">
        <f>IFERROR(ABS(Y45)/MAX(X45,1),"")</f>
        <v/>
      </c>
      <c r="AA45">
        <f>IFERROR(ROUND(((3*X45-(((E45/170000)+(F45/110)+(S45/1250))*1000/4+((E45/170000)*(F45/110))*1000/2)*(H45/1.0))/(1000/4+((S45/1250))*1000/2+((E45/170000)*(F45/110)*(S45/1250))*1000)*(H45/1.0)*6000)/J45,-1),"")</f>
        <v/>
      </c>
    </row>
    <row r="46">
      <c r="B46" s="7" t="inlineStr">
        <is>
          <t xml:space="preserve">  ↳ RA2GattlingMG1</t>
        </is>
      </c>
      <c r="C46" s="7" t="inlineStr">
        <is>
          <t>Armament@1</t>
        </is>
      </c>
      <c r="L46" s="6" t="n">
        <v>4000</v>
      </c>
      <c r="M46" s="6" t="n">
        <v>6</v>
      </c>
      <c r="N46" s="6" t="n">
        <v>1</v>
      </c>
      <c r="O46" s="6" t="n"/>
      <c r="P46" s="6" t="n">
        <v>5000</v>
      </c>
      <c r="Q46" s="6" t="n">
        <v>0.875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^Warhead_Bullet_Light, ^Warhead_Bullet_Medium</t>
        </is>
      </c>
    </row>
    <row r="47">
      <c r="B47" s="7" t="inlineStr">
        <is>
          <t xml:space="preserve">  ↳ RA2GattlingMG2</t>
        </is>
      </c>
      <c r="C47" s="7" t="inlineStr">
        <is>
          <t>Armament@2</t>
        </is>
      </c>
      <c r="L47" s="6" t="n">
        <v>4000</v>
      </c>
      <c r="M47" s="6" t="n">
        <v>4</v>
      </c>
      <c r="N47" s="6" t="n">
        <v>1</v>
      </c>
      <c r="O47" s="6" t="n"/>
      <c r="P47" s="6" t="n">
        <v>5250</v>
      </c>
      <c r="Q47" s="6" t="n">
        <v>0.875</v>
      </c>
      <c r="R47">
        <f>M47+IF(N47&gt;1,N(O47)*(N47-1),0)</f>
        <v/>
      </c>
      <c r="S47">
        <f>IFERROR(L47*MAX(N47,1)/R47*IF(ISBLANK(K45),1,K45),0)</f>
        <v/>
      </c>
      <c r="AB47" s="7" t="inlineStr">
        <is>
          <t>^Warhead_Bullet_Light, ^Warhead_Bullet_Medium</t>
        </is>
      </c>
    </row>
    <row r="48">
      <c r="B48" s="7" t="inlineStr">
        <is>
          <t xml:space="preserve">  ↳ RA2GattlingMG3</t>
        </is>
      </c>
      <c r="C48" s="7" t="inlineStr">
        <is>
          <t>Armament@3</t>
        </is>
      </c>
      <c r="L48" s="6" t="n">
        <v>4000</v>
      </c>
      <c r="M48" s="6" t="n">
        <v>2</v>
      </c>
      <c r="N48" s="6" t="n">
        <v>1</v>
      </c>
      <c r="O48" s="6" t="n"/>
      <c r="P48" s="6" t="n">
        <v>5500</v>
      </c>
      <c r="Q48" s="6" t="n">
        <v>0.875</v>
      </c>
      <c r="R48">
        <f>M48+IF(N48&gt;1,N(O48)*(N48-1),0)</f>
        <v/>
      </c>
      <c r="S48">
        <f>IFERROR(L48*MAX(N48,1)/R48*IF(ISBLANK(K45),1,K45),0)</f>
        <v/>
      </c>
      <c r="AB48" s="7" t="inlineStr">
        <is>
          <t>^Warhead_Bullet_Light, ^Warhead_Bullet_Medium</t>
        </is>
      </c>
    </row>
    <row r="49">
      <c r="B49" s="7" t="inlineStr">
        <is>
          <t xml:space="preserve">  ↳ RA2GattlingMG1_AA</t>
        </is>
      </c>
      <c r="C49" s="7" t="inlineStr">
        <is>
          <t>Armament@1AA</t>
        </is>
      </c>
      <c r="L49" s="6" t="n">
        <v>8000</v>
      </c>
      <c r="M49" s="6" t="n">
        <v>6</v>
      </c>
      <c r="N49" s="6" t="n">
        <v>1</v>
      </c>
      <c r="O49" s="6" t="n"/>
      <c r="P49" s="6" t="n">
        <v>6750</v>
      </c>
      <c r="Q49" s="6" t="n">
        <v>0.875</v>
      </c>
      <c r="R49">
        <f>M49+IF(N49&gt;1,N(O49)*(N49-1),0)</f>
        <v/>
      </c>
      <c r="S49">
        <f>IFERROR(L49*MAX(N49,1)/R49*IF(ISBLANK(K45),1,K45),0)</f>
        <v/>
      </c>
      <c r="AB49" s="7" t="inlineStr">
        <is>
          <t>^Warhead_Bullet_Light, ^Warhead_Bullet_Medium</t>
        </is>
      </c>
    </row>
    <row r="50">
      <c r="B50" s="7" t="inlineStr">
        <is>
          <t xml:space="preserve">  ↳ RA2GattlingMG2_AA</t>
        </is>
      </c>
      <c r="C50" s="7" t="inlineStr">
        <is>
          <t>Armament@2AA</t>
        </is>
      </c>
      <c r="L50" s="6" t="n">
        <v>8000</v>
      </c>
      <c r="M50" s="6" t="n">
        <v>4</v>
      </c>
      <c r="N50" s="6" t="n">
        <v>1</v>
      </c>
      <c r="O50" s="6" t="n"/>
      <c r="P50" s="6" t="n">
        <v>7500</v>
      </c>
      <c r="Q50" s="6" t="n">
        <v>0.875</v>
      </c>
      <c r="R50">
        <f>M50+IF(N50&gt;1,N(O50)*(N50-1),0)</f>
        <v/>
      </c>
      <c r="S50">
        <f>IFERROR(L50*MAX(N50,1)/R50*IF(ISBLANK(K45),1,K45),0)</f>
        <v/>
      </c>
      <c r="AB50" s="7" t="inlineStr">
        <is>
          <t>^Warhead_Bullet_Light, ^Warhead_Bullet_Medium</t>
        </is>
      </c>
    </row>
    <row r="51">
      <c r="B51" s="7" t="inlineStr">
        <is>
          <t xml:space="preserve">  ↳ RA2GattlingMG3_AA</t>
        </is>
      </c>
      <c r="C51" s="7" t="inlineStr">
        <is>
          <t>Armament@3AA</t>
        </is>
      </c>
      <c r="L51" s="6" t="n">
        <v>8000</v>
      </c>
      <c r="M51" s="6" t="n">
        <v>2</v>
      </c>
      <c r="N51" s="6" t="n">
        <v>1</v>
      </c>
      <c r="O51" s="6" t="n"/>
      <c r="P51" s="6" t="n">
        <v>8250</v>
      </c>
      <c r="Q51" s="6" t="n">
        <v>0.875</v>
      </c>
      <c r="R51">
        <f>M51+IF(N51&gt;1,N(O51)*(N51-1),0)</f>
        <v/>
      </c>
      <c r="S51">
        <f>IFERROR(L51*MAX(N51,1)/R51*IF(ISBLANK(K45),1,K45),0)</f>
        <v/>
      </c>
      <c r="AB51" s="7" t="inlineStr">
        <is>
          <t>^Warhead_Bullet_Light, ^Warhead_Bullet_Medium</t>
        </is>
      </c>
    </row>
    <row r="52">
      <c r="A52" t="inlineStr">
        <is>
          <t>redalert2</t>
        </is>
      </c>
      <c r="B52" t="inlineStr">
        <is>
          <t>yuri_lashertank</t>
        </is>
      </c>
      <c r="C52" t="inlineStr">
        <is>
          <t>Lasher Tank</t>
        </is>
      </c>
      <c r="D52" s="6" t="inlineStr">
        <is>
          <t>LightTank</t>
        </is>
      </c>
      <c r="E52" s="6" t="n">
        <v>70000</v>
      </c>
      <c r="F52" s="6" t="n">
        <v>105</v>
      </c>
      <c r="G52" t="inlineStr">
        <is>
          <t>Medium</t>
        </is>
      </c>
      <c r="H52" s="6" t="n">
        <v>1</v>
      </c>
      <c r="I52" s="6" t="n">
        <v>1</v>
      </c>
      <c r="J52" s="6" t="n">
        <v>1</v>
      </c>
      <c r="K52" s="6" t="n"/>
      <c r="P52">
        <f>MAX(P53,P54,P55,P56,P57,P58)</f>
        <v/>
      </c>
      <c r="S52">
        <f>S53+S54+S55+S56+S57+S58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(((E52/100000)+(F52/125)+(S52/200)+((P52/5000)*J52))*400/4+(((E52/100000)*(F52/125))+(((P52/5000)*J52)*(S52/200)))*400/2+((E52/100000)*(F52/125)*((P52/5000)*J52)*(S52/200))*400)*(H52/1.0)/3</f>
        <v/>
      </c>
      <c r="X52" s="6" t="n">
        <v>600</v>
      </c>
      <c r="Y52">
        <f>IFERROR(W52-X52,"")</f>
        <v/>
      </c>
      <c r="Z52">
        <f>IFERROR(ABS(Y52)/MAX(X52,1),"")</f>
        <v/>
      </c>
      <c r="AA52">
        <f>IFERROR(ROUND(((3*X52-(((E52/100000)+(F52/125)+(S52/200))*400/4+((E52/100000)*(F52/125))*400/2)*(H52/1.0))/(400/4+((S52/200))*400/2+((E52/100000)*(F52/125)*(S52/200))*400)*(H52/1.0)*5000)/J52,-1),"")</f>
        <v/>
      </c>
    </row>
    <row r="53">
      <c r="B53" s="7" t="inlineStr">
        <is>
          <t xml:space="preserve">  ↳ RA2LasherCannon</t>
        </is>
      </c>
      <c r="C53" s="7" t="inlineStr">
        <is>
          <t>Armament@PRIMARY</t>
        </is>
      </c>
      <c r="L53" s="6" t="n">
        <v>12000</v>
      </c>
      <c r="M53" s="6" t="n">
        <v>68</v>
      </c>
      <c r="N53" s="6" t="n">
        <v>1</v>
      </c>
      <c r="O53" s="6" t="n"/>
      <c r="P53" s="6" t="n">
        <v>5201</v>
      </c>
      <c r="Q53" s="6" t="n">
        <v>1</v>
      </c>
      <c r="R53">
        <f>M53+IF(N53&gt;1,N(O53)*(N53-1),0)</f>
        <v/>
      </c>
      <c r="S53">
        <f>IFERROR(L53*MAX(N53,1)/R53*IF(ISBLANK(K52),1,K52),0)</f>
        <v/>
      </c>
      <c r="AB53" s="7" t="inlineStr">
        <is>
          <t>^Warhead_CannonHE_Medium</t>
        </is>
      </c>
    </row>
    <row r="54">
      <c r="B54" s="7" t="inlineStr">
        <is>
          <t xml:space="preserve">  ↳ RA2LasherCannon_elite</t>
        </is>
      </c>
      <c r="C54" s="7" t="inlineStr">
        <is>
          <t>Armament@ELITE</t>
        </is>
      </c>
      <c r="L54" s="6" t="n">
        <v>12000</v>
      </c>
      <c r="M54" s="6" t="n">
        <v>68</v>
      </c>
      <c r="N54" s="6" t="n">
        <v>2</v>
      </c>
      <c r="O54" s="6" t="n">
        <v>3</v>
      </c>
      <c r="P54" s="6" t="n">
        <v>6201</v>
      </c>
      <c r="Q54" s="6" t="n">
        <v>1</v>
      </c>
      <c r="R54">
        <f>M54+IF(N54&gt;1,N(O54)*(N54-1),0)</f>
        <v/>
      </c>
      <c r="S54">
        <f>IFERROR(L54*MAX(N54,1)/R54*IF(ISBLANK(K52),1,K52),0)</f>
        <v/>
      </c>
      <c r="AB54" s="7" t="inlineStr">
        <is>
          <t>^Warhead_CannonHE_Medium</t>
        </is>
      </c>
    </row>
    <row r="55">
      <c r="B55" s="7" t="inlineStr">
        <is>
          <t xml:space="preserve">  ↳ RA2LasherToxicMortar</t>
        </is>
      </c>
      <c r="C55" s="7" t="inlineStr">
        <is>
          <t>Armament@Toxic</t>
        </is>
      </c>
      <c r="L55" s="6" t="n">
        <v>18000</v>
      </c>
      <c r="M55" s="6" t="n">
        <v>105</v>
      </c>
      <c r="N55" s="6" t="n">
        <v>1</v>
      </c>
      <c r="O55" s="6" t="n"/>
      <c r="P55" s="6" t="n">
        <v>9000</v>
      </c>
      <c r="Q55" s="6" t="n">
        <v>1</v>
      </c>
      <c r="R55">
        <f>M55+IF(N55&gt;1,N(O55)*(N55-1),0)</f>
        <v/>
      </c>
      <c r="S55">
        <f>IFERROR(L55*MAX(N55,1)/R55*IF(ISBLANK(K52),1,K52),0)</f>
        <v/>
      </c>
      <c r="AB55" s="7" t="inlineStr">
        <is>
          <t>^Grenade, ^ShrapnelWeapon, ^HeavyBomb, ^LightChemicalWeapon, ^MediumChemicalWeapon, ^HeavyChemicalWeapon, ^TankDestroyerCannon, ^MediumCannon, ^HeavyCannon</t>
        </is>
      </c>
    </row>
    <row r="56">
      <c r="B56" s="7" t="inlineStr">
        <is>
          <t xml:space="preserve">  ↳ RA2LasherToxicMortar_elite</t>
        </is>
      </c>
      <c r="C56" s="7" t="inlineStr">
        <is>
          <t>Armament@ToxicELITE</t>
        </is>
      </c>
      <c r="L56" s="6" t="n">
        <v>42000</v>
      </c>
      <c r="M56" s="6" t="n">
        <v>105</v>
      </c>
      <c r="N56" s="6" t="n">
        <v>1</v>
      </c>
      <c r="O56" s="6" t="n"/>
      <c r="P56" s="6" t="n">
        <v>10000</v>
      </c>
      <c r="Q56" s="6" t="n">
        <v>1</v>
      </c>
      <c r="R56">
        <f>M56+IF(N56&gt;1,N(O56)*(N56-1),0)</f>
        <v/>
      </c>
      <c r="S56">
        <f>IFERROR(L56*MAX(N56,1)/R56*IF(ISBLANK(K52),1,K52),0)</f>
        <v/>
      </c>
      <c r="AB56" s="7" t="inlineStr">
        <is>
          <t>RA2LasherToxicMortar</t>
        </is>
      </c>
    </row>
    <row r="57">
      <c r="B57" s="7" t="inlineStr">
        <is>
          <t xml:space="preserve">  ↳ RA2LasherLaser</t>
        </is>
      </c>
      <c r="C57" s="7" t="inlineStr">
        <is>
          <t>Armament@Laser</t>
        </is>
      </c>
      <c r="L57" s="6" t="n">
        <v>16000</v>
      </c>
      <c r="M57" s="6" t="n">
        <v>81</v>
      </c>
      <c r="N57" s="6" t="n">
        <v>1</v>
      </c>
      <c r="O57" s="6" t="n"/>
      <c r="P57" s="6" t="n">
        <v>7065</v>
      </c>
      <c r="Q57" s="6" t="n">
        <v>1.125</v>
      </c>
      <c r="R57">
        <f>M57+IF(N57&gt;1,N(O57)*(N57-1),0)</f>
        <v/>
      </c>
      <c r="S57">
        <f>IFERROR(L57*MAX(N57,1)/R57*IF(ISBLANK(K52),1,K52),0)</f>
        <v/>
      </c>
      <c r="AB57" s="7" t="inlineStr">
        <is>
          <t>^Warhead_CannonHE_Medium, ^Warhead_Laser_Heavy</t>
        </is>
      </c>
    </row>
    <row r="58">
      <c r="B58" s="7" t="inlineStr">
        <is>
          <t xml:space="preserve">  ↳ RA2LasherLaser_elite</t>
        </is>
      </c>
      <c r="C58" s="7" t="inlineStr">
        <is>
          <t>Armament@LaserELITE</t>
        </is>
      </c>
      <c r="L58" s="6" t="n">
        <v>40000</v>
      </c>
      <c r="M58" s="6" t="n">
        <v>81</v>
      </c>
      <c r="N58" s="6" t="n">
        <v>1</v>
      </c>
      <c r="O58" s="6" t="n"/>
      <c r="P58" s="6" t="n">
        <v>8065</v>
      </c>
      <c r="Q58" s="6" t="n">
        <v>1.125</v>
      </c>
      <c r="R58">
        <f>M58+IF(N58&gt;1,N(O58)*(N58-1),0)</f>
        <v/>
      </c>
      <c r="S58">
        <f>IFERROR(L58*MAX(N58,1)/R58*IF(ISBLANK(K52),1,K52),0)</f>
        <v/>
      </c>
      <c r="AB58" s="7" t="inlineStr">
        <is>
          <t>^Warhead_CannonHE_Medium, ^Warhead_Laser_Heavy</t>
        </is>
      </c>
    </row>
    <row r="59">
      <c r="A59" t="inlineStr">
        <is>
          <t>redalert2</t>
        </is>
      </c>
      <c r="B59" t="inlineStr">
        <is>
          <t>yuri_magnetron</t>
        </is>
      </c>
      <c r="C59" t="inlineStr">
        <is>
          <t>Magnetron</t>
        </is>
      </c>
      <c r="D59" s="6" t="inlineStr">
        <is>
          <t>FireSupport</t>
        </is>
      </c>
      <c r="E59" s="6" t="n">
        <v>65000</v>
      </c>
      <c r="F59" s="6" t="n">
        <v>65</v>
      </c>
      <c r="G59" t="inlineStr">
        <is>
          <t>Light</t>
        </is>
      </c>
      <c r="H59" s="6" t="n">
        <v>1</v>
      </c>
      <c r="I59" s="6" t="n">
        <v>1</v>
      </c>
      <c r="J59" s="6" t="n">
        <v>1.25</v>
      </c>
      <c r="K59" s="6" t="n"/>
      <c r="P59">
        <f>MAX(P60,P61,P62,P63)</f>
        <v/>
      </c>
      <c r="S59">
        <f>S60+S61+S62+S63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(((E59/120000)+(F59/90)+(S59/2100)+((P59/10000)*J59))*1400/4+(((E59/120000)*(F59/90))+(((P59/10000)*J59)*(S59/2100)))*1400/2+((E59/120000)*(F59/90)*((P59/10000)*J59)*(S59/2100))*1400)*(H59/0.6735)/3</f>
        <v/>
      </c>
      <c r="X59" s="6" t="n">
        <v>1300</v>
      </c>
      <c r="Y59">
        <f>IFERROR(W59-X59,"")</f>
        <v/>
      </c>
      <c r="Z59">
        <f>IFERROR(ABS(Y59)/MAX(X59,1),"")</f>
        <v/>
      </c>
      <c r="AA59">
        <f>IFERROR(ROUND(((3*X59-(((E59/120000)+(F59/90)+(S59/2100))*1400/4+((E59/120000)*(F59/90))*1400/2)*(H59/0.6735))/(1400/4+((S59/2100))*1400/2+((E59/120000)*(F59/90)*(S59/2100))*1400)*(H59/0.6735)*10000)/J59,-1),"")</f>
        <v/>
      </c>
    </row>
    <row r="60">
      <c r="B60" s="7" t="inlineStr">
        <is>
          <t xml:space="preserve">  ↳ RA2Magnet</t>
        </is>
      </c>
      <c r="C60" s="7" t="inlineStr">
        <is>
          <t>Armament@Normal</t>
        </is>
      </c>
      <c r="L60" s="6" t="n">
        <v>2000</v>
      </c>
      <c r="M60" s="6" t="n">
        <v>200</v>
      </c>
      <c r="N60" s="6" t="n">
        <v>100</v>
      </c>
      <c r="O60" s="6" t="n">
        <v>1</v>
      </c>
      <c r="P60" s="6" t="n">
        <v>7032</v>
      </c>
      <c r="Q60" s="6" t="n">
        <v>1.25</v>
      </c>
      <c r="R60">
        <f>M60+IF(N60&gt;1,N(O60)*(N60-1),0)</f>
        <v/>
      </c>
      <c r="S60">
        <f>IFERROR(L60*MAX(N60,1)/R60*IF(ISBLANK(K59),1,K59),0)</f>
        <v/>
      </c>
      <c r="AB60" s="7" t="inlineStr">
        <is>
          <t>^Warhead_Laser_Heavy</t>
        </is>
      </c>
    </row>
    <row r="61">
      <c r="B61" s="7" t="inlineStr">
        <is>
          <t xml:space="preserve">  ↳ RA2MagnetAA</t>
        </is>
      </c>
      <c r="C61" s="7" t="inlineStr">
        <is>
          <t>Armament@Upgraded</t>
        </is>
      </c>
      <c r="L61" s="6" t="n">
        <v>2000</v>
      </c>
      <c r="M61" s="6" t="n">
        <v>200</v>
      </c>
      <c r="N61" s="6" t="n">
        <v>100</v>
      </c>
      <c r="O61" s="6" t="n">
        <v>1</v>
      </c>
      <c r="P61" s="6" t="n">
        <v>7032</v>
      </c>
      <c r="Q61" s="6" t="n">
        <v>1.25</v>
      </c>
      <c r="R61">
        <f>M61+IF(N61&gt;1,N(O61)*(N61-1),0)</f>
        <v/>
      </c>
      <c r="S61">
        <f>IFERROR(L61*MAX(N61,1)/R61*IF(ISBLANK(K59),1,K59),0)</f>
        <v/>
      </c>
      <c r="AB61" s="7" t="inlineStr">
        <is>
          <t>^Warhead_Laser_Heavy</t>
        </is>
      </c>
    </row>
    <row r="62">
      <c r="B62" s="7" t="inlineStr">
        <is>
          <t xml:space="preserve">  ↳ RA2Magnet_elite</t>
        </is>
      </c>
      <c r="C62" s="7" t="inlineStr">
        <is>
          <t>Armament@elite</t>
        </is>
      </c>
      <c r="L62" s="6" t="n">
        <v>2000</v>
      </c>
      <c r="M62" s="6" t="n">
        <v>200</v>
      </c>
      <c r="N62" s="6" t="n">
        <v>100</v>
      </c>
      <c r="O62" s="6" t="n">
        <v>1</v>
      </c>
      <c r="P62" s="6" t="n">
        <v>8032</v>
      </c>
      <c r="Q62" s="6" t="n">
        <v>1.25</v>
      </c>
      <c r="R62">
        <f>M62+IF(N62&gt;1,N(O62)*(N62-1),0)</f>
        <v/>
      </c>
      <c r="S62">
        <f>IFERROR(L62*MAX(N62,1)/R62*IF(ISBLANK(K59),1,K59),0)</f>
        <v/>
      </c>
      <c r="AB62" s="7" t="inlineStr">
        <is>
          <t>^Warhead_Laser_Heavy</t>
        </is>
      </c>
    </row>
    <row r="63">
      <c r="B63" s="7" t="inlineStr">
        <is>
          <t xml:space="preserve">  ↳ RA2MagnetAA_elite</t>
        </is>
      </c>
      <c r="C63" s="7" t="inlineStr">
        <is>
          <t>Armament@elite_aa</t>
        </is>
      </c>
      <c r="L63" s="6" t="n">
        <v>2000</v>
      </c>
      <c r="M63" s="6" t="n">
        <v>200</v>
      </c>
      <c r="N63" s="6" t="n">
        <v>100</v>
      </c>
      <c r="O63" s="6" t="n">
        <v>1</v>
      </c>
      <c r="P63" s="6" t="n">
        <v>8032</v>
      </c>
      <c r="Q63" s="6" t="n">
        <v>1.25</v>
      </c>
      <c r="R63">
        <f>M63+IF(N63&gt;1,N(O63)*(N63-1),0)</f>
        <v/>
      </c>
      <c r="S63">
        <f>IFERROR(L63*MAX(N63,1)/R63*IF(ISBLANK(K59),1,K59),0)</f>
        <v/>
      </c>
      <c r="AB63" s="7" t="inlineStr">
        <is>
          <t>^Warhead_Laser_Heavy</t>
        </is>
      </c>
    </row>
    <row r="64">
      <c r="A64" t="inlineStr">
        <is>
          <t>redalert2</t>
        </is>
      </c>
      <c r="B64" t="inlineStr">
        <is>
          <t>yuri_mastermind</t>
        </is>
      </c>
      <c r="C64" t="inlineStr">
        <is>
          <t>Master Mind</t>
        </is>
      </c>
      <c r="D64" s="6" t="inlineStr">
        <is>
          <t>HighTechTank</t>
        </is>
      </c>
      <c r="E64" s="6" t="n">
        <v>100000</v>
      </c>
      <c r="F64" s="6" t="n">
        <v>120</v>
      </c>
      <c r="G64" t="inlineStr">
        <is>
          <t>Superheavy</t>
        </is>
      </c>
      <c r="H64" s="6" t="n">
        <v>0.5046</v>
      </c>
      <c r="I64" s="6" t="n">
        <v>1</v>
      </c>
      <c r="J64" s="6" t="n">
        <v>1</v>
      </c>
      <c r="K64" s="6" t="n"/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(((E64/700000)+(F64/65)+(S64/2000)+((P64/6500)*J64))*2000/4+(((E64/700000)*(F64/65))+(((P64/6500)*J64)*(S64/2000)))*2000/2+((E64/700000)*(F64/65)*((P64/6500)*J64)*(S64/2000))*2000)*(H64/0.75)/3</f>
        <v/>
      </c>
      <c r="X64" s="6" t="n">
        <v>1500</v>
      </c>
      <c r="Y64">
        <f>IFERROR(W64-X64,"")</f>
        <v/>
      </c>
      <c r="Z64">
        <f>IFERROR(ABS(Y64)/MAX(X64,1),"")</f>
        <v/>
      </c>
      <c r="AA64">
        <f>IFERROR(ROUND(((3*X64-(((E64/700000)+(F64/65)+(S64/2000))*2000/4+((E64/700000)*(F64/65))*2000/2)*(H64/0.75))/(2000/4+((S64/2000))*2000/2+((E64/700000)*(F64/65)*(S64/2000))*2000)*(H64/0.75)*6500)/J64,-1),"")</f>
        <v/>
      </c>
    </row>
    <row r="65">
      <c r="B65" s="7" t="inlineStr">
        <is>
          <t xml:space="preserve">  ↳ RA2SMindControl</t>
        </is>
      </c>
      <c r="C65" s="7" t="inlineStr">
        <is>
          <t>Armament@PRIMARY</t>
        </is>
      </c>
      <c r="L65" s="6" t="n">
        <v>0</v>
      </c>
      <c r="M65" s="6" t="n">
        <v>75</v>
      </c>
      <c r="N65" s="6" t="n">
        <v>1</v>
      </c>
      <c r="O65" s="6" t="n"/>
      <c r="P65" s="6" t="n">
        <v>7000</v>
      </c>
      <c r="Q65" s="6" t="n">
        <v>1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RA2MindControl</t>
        </is>
      </c>
    </row>
    <row r="66">
      <c r="A66" t="inlineStr">
        <is>
          <t>redalert2</t>
        </is>
      </c>
      <c r="B66" t="inlineStr">
        <is>
          <t>yuri_mobileconstructionvehicle</t>
        </is>
      </c>
      <c r="C66" t="inlineStr">
        <is>
          <t>Yuri Mobile Construction Vehicle</t>
        </is>
      </c>
      <c r="D66" s="6" t="inlineStr">
        <is>
          <t>SupportVehicle</t>
        </is>
      </c>
      <c r="E66" s="6" t="n">
        <v>300000</v>
      </c>
      <c r="F66" s="6" t="n">
        <v>75</v>
      </c>
      <c r="G66" t="inlineStr">
        <is>
          <t>Medium</t>
        </is>
      </c>
      <c r="H66" s="6" t="n">
        <v>0.8376</v>
      </c>
      <c r="I66" s="6" t="n">
        <v>1</v>
      </c>
      <c r="J66" s="6" t="n">
        <v>1</v>
      </c>
      <c r="K66" s="6" t="n"/>
      <c r="X66" s="6" t="n">
        <v>5000</v>
      </c>
    </row>
    <row r="67">
      <c r="A67" t="inlineStr">
        <is>
          <t>redalert2</t>
        </is>
      </c>
      <c r="B67" t="inlineStr">
        <is>
          <t>yuri_slaveminer</t>
        </is>
      </c>
      <c r="C67" t="inlineStr">
        <is>
          <t>Slave Miner</t>
        </is>
      </c>
      <c r="D67" s="6" t="inlineStr">
        <is>
          <t>SupportVehicle</t>
        </is>
      </c>
      <c r="E67" s="6" t="n">
        <v>200000</v>
      </c>
      <c r="F67" s="6" t="n">
        <v>50</v>
      </c>
      <c r="G67" t="inlineStr">
        <is>
          <t>Heavy</t>
        </is>
      </c>
      <c r="H67" s="6" t="n">
        <v>0.9322</v>
      </c>
      <c r="I67" s="6" t="n">
        <v>1</v>
      </c>
      <c r="J67" s="6" t="n">
        <v>1</v>
      </c>
      <c r="K67" s="6" t="n"/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2500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RA220mmrapid</t>
        </is>
      </c>
      <c r="C68" s="7" t="inlineStr">
        <is>
          <t>Armament@primary</t>
        </is>
      </c>
      <c r="L68" s="6" t="n">
        <v>8000</v>
      </c>
      <c r="M68" s="6" t="n">
        <v>15</v>
      </c>
      <c r="N68" s="6" t="n">
        <v>1</v>
      </c>
      <c r="O68" s="6" t="n"/>
      <c r="P68" s="6" t="n">
        <v>5000</v>
      </c>
      <c r="Q68" s="6" t="n">
        <v>0.875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^Warhead_Bullet_Light, ^Warhead_Bullet_Medium</t>
        </is>
      </c>
    </row>
    <row r="69">
      <c r="A69" s="4" t="inlineStr">
        <is>
          <t>AIRCRAFT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t="inlineStr">
        <is>
          <t>redalert2</t>
        </is>
      </c>
      <c r="B70" t="inlineStr">
        <is>
          <t>yuri_floatingdisk</t>
        </is>
      </c>
      <c r="C70" t="inlineStr">
        <is>
          <t>Floating Disk</t>
        </is>
      </c>
      <c r="D70" s="6" t="inlineStr">
        <is>
          <t>Spaceship</t>
        </is>
      </c>
      <c r="E70" s="6" t="n">
        <v>125000</v>
      </c>
      <c r="F70" s="6" t="n">
        <v>80</v>
      </c>
      <c r="G70" t="inlineStr">
        <is>
          <t>Spaceship</t>
        </is>
      </c>
      <c r="H70" s="6" t="n">
        <v>0.5046</v>
      </c>
      <c r="I70" s="6" t="n">
        <v>1</v>
      </c>
      <c r="J70" s="6" t="n">
        <v>1</v>
      </c>
      <c r="K70" s="6" t="n"/>
      <c r="P70">
        <f>MAX(P71,P72,P73)</f>
        <v/>
      </c>
      <c r="S70">
        <f>S71+S72+S73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2400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RA2DiskLaser</t>
        </is>
      </c>
      <c r="C71" s="7" t="inlineStr">
        <is>
          <t>Armament@PRIMARY</t>
        </is>
      </c>
      <c r="L71" s="6" t="n">
        <v>24000</v>
      </c>
      <c r="M71" s="6" t="n">
        <v>40</v>
      </c>
      <c r="N71" s="6" t="n">
        <v>1</v>
      </c>
      <c r="O71" s="6" t="n"/>
      <c r="P71" s="6" t="n">
        <v>6840</v>
      </c>
      <c r="Q71" s="6" t="n">
        <v>1.25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^Warhead_Laser_Heavy</t>
        </is>
      </c>
    </row>
    <row r="72">
      <c r="B72" s="7" t="inlineStr">
        <is>
          <t xml:space="preserve">  ↳ RA2DiskLaser_elite</t>
        </is>
      </c>
      <c r="C72" s="7" t="inlineStr">
        <is>
          <t>Armament@ELITE</t>
        </is>
      </c>
      <c r="L72" s="6" t="n">
        <v>48000</v>
      </c>
      <c r="M72" s="6" t="n">
        <v>40</v>
      </c>
      <c r="N72" s="6" t="n">
        <v>1</v>
      </c>
      <c r="O72" s="6" t="n"/>
      <c r="P72" s="6" t="n">
        <v>7840</v>
      </c>
      <c r="Q72" s="6" t="n">
        <v>1.25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^Warhead_Laser_Heavy</t>
        </is>
      </c>
    </row>
    <row r="73">
      <c r="B73" s="7" t="inlineStr">
        <is>
          <t xml:space="preserve">  ↳ RA2DiskDrain</t>
        </is>
      </c>
      <c r="C73" s="7" t="inlineStr">
        <is>
          <t>Armament@SECOND</t>
        </is>
      </c>
      <c r="L73" s="6" t="n">
        <v>4000</v>
      </c>
      <c r="M73" s="6" t="n">
        <v>5</v>
      </c>
      <c r="N73" s="6" t="n">
        <v>1</v>
      </c>
      <c r="O73" s="6" t="n"/>
      <c r="P73" s="6" t="n">
        <v>125</v>
      </c>
      <c r="Q73" s="6" t="n">
        <v>1.25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^Warhead_Tesla_Heavy, ^Warhead_Magic_Heavy</t>
        </is>
      </c>
    </row>
    <row r="74">
      <c r="B74" s="7" t="inlineStr">
        <is>
          <t xml:space="preserve">  ↳ RA2DiskSteal</t>
        </is>
      </c>
      <c r="C74" s="7" t="inlineStr">
        <is>
          <t>Armament@Steal</t>
        </is>
      </c>
      <c r="L74" s="6" t="n"/>
      <c r="M74" s="6" t="n">
        <v>5</v>
      </c>
      <c r="N74" s="6" t="n">
        <v>1</v>
      </c>
      <c r="O74" s="6" t="n"/>
      <c r="P74" s="6" t="n">
        <v>125</v>
      </c>
      <c r="Q74" s="6" t="n">
        <v>1</v>
      </c>
      <c r="R74">
        <f>M74+IF(N74&gt;1,N(O74)*(N74-1),0)</f>
        <v/>
      </c>
      <c r="S74">
        <f>IFERROR(L74*MAX(N74,1)/R74*IF(ISBLANK(K70),1,K70),0)</f>
        <v/>
      </c>
      <c r="AB74" s="7" t="inlineStr"/>
    </row>
    <row r="75">
      <c r="A75" t="inlineStr">
        <is>
          <t>redalert2</t>
        </is>
      </c>
      <c r="B75" t="inlineStr">
        <is>
          <t>yuriinvisibleplane</t>
        </is>
      </c>
      <c r="C75" t="inlineStr">
        <is>
          <t>Spy Plane</t>
        </is>
      </c>
      <c r="D75" s="6" t="inlineStr">
        <is>
          <t>Aircraft</t>
        </is>
      </c>
      <c r="E75" s="6" t="n">
        <v>100000</v>
      </c>
      <c r="F75" s="6" t="n">
        <v>300</v>
      </c>
      <c r="G75" t="inlineStr">
        <is>
          <t>Bomber</t>
        </is>
      </c>
      <c r="H75" s="6" t="n">
        <v>1</v>
      </c>
      <c r="I75" s="6" t="n">
        <v>1</v>
      </c>
      <c r="J75" s="6" t="n">
        <v>1</v>
      </c>
      <c r="K75" s="6" t="n"/>
      <c r="X75" s="6" t="n">
        <v>5000</v>
      </c>
    </row>
    <row r="76">
      <c r="B76" s="7" t="inlineStr">
        <is>
          <t xml:space="preserve">  ↳ SpyPlaneTargeting</t>
        </is>
      </c>
      <c r="C76" s="7" t="inlineStr">
        <is>
          <t>Armament</t>
        </is>
      </c>
      <c r="L76" s="6" t="n"/>
      <c r="M76" s="6" t="n">
        <v>5</v>
      </c>
      <c r="N76" s="6" t="n">
        <v>1</v>
      </c>
      <c r="O76" s="6" t="n"/>
      <c r="P76" s="6" t="n">
        <v>10000</v>
      </c>
      <c r="Q76" s="6" t="n">
        <v>1</v>
      </c>
      <c r="R76">
        <f>M76+IF(N76&gt;1,N(O76)*(N76-1),0)</f>
        <v/>
      </c>
      <c r="S76">
        <f>IFERROR(L76*MAX(N76,1)/R76*IF(ISBLANK(K75),1,K75),0)</f>
        <v/>
      </c>
      <c r="AB76" s="7" t="inlineStr"/>
    </row>
    <row r="77">
      <c r="A77" s="4" t="inlineStr">
        <is>
          <t>NAVAL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t="inlineStr">
        <is>
          <t>redalert2</t>
        </is>
      </c>
      <c r="B78" t="inlineStr">
        <is>
          <t>yuri_boomersubmarine</t>
        </is>
      </c>
      <c r="C78" t="inlineStr">
        <is>
          <t>actor_bsub.name</t>
        </is>
      </c>
      <c r="D78" s="6" t="inlineStr">
        <is>
          <t>ArtilleryShip</t>
        </is>
      </c>
      <c r="E78" s="6" t="n">
        <v>100000</v>
      </c>
      <c r="F78" s="6" t="n">
        <v>50</v>
      </c>
      <c r="G78" t="inlineStr">
        <is>
          <t>Medium</t>
        </is>
      </c>
      <c r="H78" s="6" t="n">
        <v>0.8824</v>
      </c>
      <c r="I78" s="6" t="n">
        <v>1</v>
      </c>
      <c r="J78" s="6" t="n">
        <v>1</v>
      </c>
      <c r="K78" s="6" t="n">
        <v>0.0125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3350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YRBoomerTorpedo</t>
        </is>
      </c>
      <c r="C79" s="7" t="inlineStr">
        <is>
          <t>Armament@PRIMARY</t>
        </is>
      </c>
      <c r="L79" s="6" t="n">
        <v>40000</v>
      </c>
      <c r="M79" s="6" t="n">
        <v>176</v>
      </c>
      <c r="N79" s="6" t="n">
        <v>4</v>
      </c>
      <c r="O79" s="6" t="n">
        <v>8</v>
      </c>
      <c r="P79" s="6" t="n">
        <v>15000</v>
      </c>
      <c r="Q79" s="6" t="n">
        <v>1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^Warhead_Demolition_Light, ^Warhead_MissileAP_Heavy</t>
        </is>
      </c>
    </row>
    <row r="80">
      <c r="B80" s="7" t="inlineStr">
        <is>
          <t xml:space="preserve">  ↳ BoomerLaunch</t>
        </is>
      </c>
      <c r="C80" s="7" t="inlineStr">
        <is>
          <t>Armament@LAUNCH</t>
        </is>
      </c>
      <c r="L80" s="6" t="n"/>
      <c r="M80" s="6" t="n">
        <v>50</v>
      </c>
      <c r="N80" s="6" t="n">
        <v>2</v>
      </c>
      <c r="O80" s="6" t="n">
        <v>8</v>
      </c>
      <c r="P80" s="6" t="n">
        <v>15000</v>
      </c>
      <c r="Q80" s="6" t="n">
        <v>1</v>
      </c>
      <c r="R80">
        <f>M80+IF(N80&gt;1,N(O80)*(N80-1),0)</f>
        <v/>
      </c>
      <c r="S80">
        <f>IFERROR(L80*MAX(N80,1)/R80*IF(ISBLANK(K78),1,K78),0)</f>
        <v/>
      </c>
      <c r="AB80" s="7" t="inlineStr">
        <is>
          <t>V3Launch</t>
        </is>
      </c>
    </row>
    <row r="81">
      <c r="A81" s="4" t="inlineStr">
        <is>
          <t>DEFENSES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t="inlineStr">
        <is>
          <t>redalert2</t>
        </is>
      </c>
      <c r="B82" t="inlineStr">
        <is>
          <t>yuri_concretebarrier</t>
        </is>
      </c>
      <c r="C82" t="inlineStr">
        <is>
          <t>Concrete Barrier</t>
        </is>
      </c>
      <c r="D82" s="6" t="inlineStr">
        <is>
          <t>Defense</t>
        </is>
      </c>
      <c r="E82" s="6" t="n">
        <v>100000</v>
      </c>
      <c r="F82" s="6" t="n">
        <v>100</v>
      </c>
      <c r="G82" t="inlineStr">
        <is>
          <t>Concrete</t>
        </is>
      </c>
      <c r="H82" s="6" t="n">
        <v>1</v>
      </c>
      <c r="I82" s="6" t="n">
        <v>1</v>
      </c>
      <c r="J82" s="6" t="n">
        <v>1</v>
      </c>
      <c r="K82" s="6" t="n"/>
      <c r="X82" s="6" t="n">
        <v>200</v>
      </c>
    </row>
    <row r="83">
      <c r="A83" t="inlineStr">
        <is>
          <t>redalert2</t>
        </is>
      </c>
      <c r="B83" t="inlineStr">
        <is>
          <t>yuri_gatlingcannon</t>
        </is>
      </c>
      <c r="C83" t="inlineStr">
        <is>
          <t>Gatling Cannon</t>
        </is>
      </c>
      <c r="D83" s="6" t="inlineStr">
        <is>
          <t>BasicDefense</t>
        </is>
      </c>
      <c r="E83" s="6" t="n">
        <v>140000</v>
      </c>
      <c r="F83" s="6" t="n">
        <v>100</v>
      </c>
      <c r="G83" t="inlineStr">
        <is>
          <t>Concrete</t>
        </is>
      </c>
      <c r="H83" s="6" t="n">
        <v>1</v>
      </c>
      <c r="I83" s="6" t="n">
        <v>0.35</v>
      </c>
      <c r="J83" s="6" t="n">
        <v>1</v>
      </c>
      <c r="K83" s="6" t="n"/>
      <c r="P83">
        <f>MAX(P84,P85,P86,P87,P88,P89)</f>
        <v/>
      </c>
      <c r="S83">
        <f>S84+S85+S86+S87+S88+S89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1000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YuriGatlingCannonMG1</t>
        </is>
      </c>
      <c r="C84" s="7" t="inlineStr">
        <is>
          <t>Armament@1</t>
        </is>
      </c>
      <c r="L84" s="6" t="n">
        <v>4000</v>
      </c>
      <c r="M84" s="6" t="n">
        <v>6</v>
      </c>
      <c r="N84" s="6" t="n">
        <v>1</v>
      </c>
      <c r="O84" s="6" t="n"/>
      <c r="P84" s="6" t="n">
        <v>5000</v>
      </c>
      <c r="Q84" s="6" t="n">
        <v>0.875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^Warhead_Bullet_Light, ^Warhead_Bullet_Medium</t>
        </is>
      </c>
    </row>
    <row r="85">
      <c r="B85" s="7" t="inlineStr">
        <is>
          <t xml:space="preserve">  ↳ YuriGatlingCannonMG2</t>
        </is>
      </c>
      <c r="C85" s="7" t="inlineStr">
        <is>
          <t>Armament@2</t>
        </is>
      </c>
      <c r="L85" s="6" t="n">
        <v>4000</v>
      </c>
      <c r="M85" s="6" t="n">
        <v>4</v>
      </c>
      <c r="N85" s="6" t="n">
        <v>1</v>
      </c>
      <c r="O85" s="6" t="n"/>
      <c r="P85" s="6" t="n">
        <v>5250</v>
      </c>
      <c r="Q85" s="6" t="n">
        <v>0.875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^Warhead_Bullet_Light, ^Warhead_Bullet_Medium</t>
        </is>
      </c>
    </row>
    <row r="86">
      <c r="B86" s="7" t="inlineStr">
        <is>
          <t xml:space="preserve">  ↳ YuriGatlingCannonMG3</t>
        </is>
      </c>
      <c r="C86" s="7" t="inlineStr">
        <is>
          <t>Armament@3</t>
        </is>
      </c>
      <c r="L86" s="6" t="n">
        <v>4000</v>
      </c>
      <c r="M86" s="6" t="n">
        <v>2</v>
      </c>
      <c r="N86" s="6" t="n">
        <v>1</v>
      </c>
      <c r="O86" s="6" t="n"/>
      <c r="P86" s="6" t="n">
        <v>5500</v>
      </c>
      <c r="Q86" s="6" t="n">
        <v>0.875</v>
      </c>
      <c r="R86">
        <f>M86+IF(N86&gt;1,N(O86)*(N86-1),0)</f>
        <v/>
      </c>
      <c r="S86">
        <f>IFERROR(L86*MAX(N86,1)/R86*IF(ISBLANK(K83),1,K83),0)</f>
        <v/>
      </c>
      <c r="AB86" s="7" t="inlineStr">
        <is>
          <t>^Warhead_Bullet_Light, ^Warhead_Bullet_Medium</t>
        </is>
      </c>
    </row>
    <row r="87">
      <c r="B87" s="7" t="inlineStr">
        <is>
          <t xml:space="preserve">  ↳ YuriGatlingCannonMG1_AA</t>
        </is>
      </c>
      <c r="C87" s="7" t="inlineStr">
        <is>
          <t>Armament@1AA</t>
        </is>
      </c>
      <c r="L87" s="6" t="n">
        <v>8000</v>
      </c>
      <c r="M87" s="6" t="n">
        <v>6</v>
      </c>
      <c r="N87" s="6" t="n">
        <v>1</v>
      </c>
      <c r="O87" s="6" t="n"/>
      <c r="P87" s="6" t="n">
        <v>6750</v>
      </c>
      <c r="Q87" s="6" t="n">
        <v>0.875</v>
      </c>
      <c r="R87">
        <f>M87+IF(N87&gt;1,N(O87)*(N87-1),0)</f>
        <v/>
      </c>
      <c r="S87">
        <f>IFERROR(L87*MAX(N87,1)/R87*IF(ISBLANK(K83),1,K83),0)</f>
        <v/>
      </c>
      <c r="AB87" s="7" t="inlineStr">
        <is>
          <t>^Warhead_Bullet_Light, ^Warhead_Bullet_Medium</t>
        </is>
      </c>
    </row>
    <row r="88">
      <c r="B88" s="7" t="inlineStr">
        <is>
          <t xml:space="preserve">  ↳ YuriGatlingCannonMG2_AA</t>
        </is>
      </c>
      <c r="C88" s="7" t="inlineStr">
        <is>
          <t>Armament@2AA</t>
        </is>
      </c>
      <c r="L88" s="6" t="n">
        <v>8000</v>
      </c>
      <c r="M88" s="6" t="n">
        <v>4</v>
      </c>
      <c r="N88" s="6" t="n">
        <v>1</v>
      </c>
      <c r="O88" s="6" t="n"/>
      <c r="P88" s="6" t="n">
        <v>7500</v>
      </c>
      <c r="Q88" s="6" t="n">
        <v>0.875</v>
      </c>
      <c r="R88">
        <f>M88+IF(N88&gt;1,N(O88)*(N88-1),0)</f>
        <v/>
      </c>
      <c r="S88">
        <f>IFERROR(L88*MAX(N88,1)/R88*IF(ISBLANK(K83),1,K83),0)</f>
        <v/>
      </c>
      <c r="AB88" s="7" t="inlineStr">
        <is>
          <t>^Warhead_Bullet_Light, ^Warhead_Bullet_Medium</t>
        </is>
      </c>
    </row>
    <row r="89">
      <c r="B89" s="7" t="inlineStr">
        <is>
          <t xml:space="preserve">  ↳ YuriGatlingCannonMG3_AA</t>
        </is>
      </c>
      <c r="C89" s="7" t="inlineStr">
        <is>
          <t>Armament@3AA</t>
        </is>
      </c>
      <c r="L89" s="6" t="n">
        <v>8000</v>
      </c>
      <c r="M89" s="6" t="n">
        <v>2</v>
      </c>
      <c r="N89" s="6" t="n">
        <v>1</v>
      </c>
      <c r="O89" s="6" t="n"/>
      <c r="P89" s="6" t="n">
        <v>8250</v>
      </c>
      <c r="Q89" s="6" t="n">
        <v>0.875</v>
      </c>
      <c r="R89">
        <f>M89+IF(N89&gt;1,N(O89)*(N89-1),0)</f>
        <v/>
      </c>
      <c r="S89">
        <f>IFERROR(L89*MAX(N89,1)/R89*IF(ISBLANK(K83),1,K83),0)</f>
        <v/>
      </c>
      <c r="AB89" s="7" t="inlineStr">
        <is>
          <t>^Warhead_Bullet_Light, ^Warhead_Bullet_Medium</t>
        </is>
      </c>
    </row>
    <row r="90">
      <c r="A90" t="inlineStr">
        <is>
          <t>redalert2</t>
        </is>
      </c>
      <c r="B90" t="inlineStr">
        <is>
          <t>yuri_geneticmutator</t>
        </is>
      </c>
      <c r="C90" t="inlineStr">
        <is>
          <t>Genetic Mutator</t>
        </is>
      </c>
      <c r="D90" s="6" t="inlineStr">
        <is>
          <t>Defense</t>
        </is>
      </c>
      <c r="E90" s="6" t="n">
        <v>1000000</v>
      </c>
      <c r="F90" s="6" t="n">
        <v>100</v>
      </c>
      <c r="G90" t="inlineStr">
        <is>
          <t>Concrete</t>
        </is>
      </c>
      <c r="H90" s="6" t="n">
        <v>0.5749</v>
      </c>
      <c r="I90" s="6" t="n">
        <v>1</v>
      </c>
      <c r="J90" s="6" t="n">
        <v>1</v>
      </c>
      <c r="K90" s="6" t="n"/>
      <c r="X90" s="6" t="n">
        <v>5000</v>
      </c>
    </row>
    <row r="91">
      <c r="A91" t="inlineStr">
        <is>
          <t>redalert2</t>
        </is>
      </c>
      <c r="B91" t="inlineStr">
        <is>
          <t>yuri_psychicdominator</t>
        </is>
      </c>
      <c r="C91" t="inlineStr">
        <is>
          <t>Psychic Dominator</t>
        </is>
      </c>
      <c r="D91" s="6" t="inlineStr">
        <is>
          <t>Defense</t>
        </is>
      </c>
      <c r="E91" s="6" t="n">
        <v>1000000</v>
      </c>
      <c r="F91" s="6" t="n">
        <v>100</v>
      </c>
      <c r="G91" t="inlineStr">
        <is>
          <t>Concrete</t>
        </is>
      </c>
      <c r="H91" s="6" t="n">
        <v>0.5749</v>
      </c>
      <c r="I91" s="6" t="n">
        <v>1</v>
      </c>
      <c r="J91" s="6" t="n">
        <v>1</v>
      </c>
      <c r="K91" s="6" t="n"/>
      <c r="X91" s="6" t="n">
        <v>10000</v>
      </c>
    </row>
    <row r="92">
      <c r="A92" t="inlineStr">
        <is>
          <t>redalert2</t>
        </is>
      </c>
      <c r="B92" t="inlineStr">
        <is>
          <t>yuri_psychictower</t>
        </is>
      </c>
      <c r="C92" t="inlineStr">
        <is>
          <t>Psychic Tower</t>
        </is>
      </c>
      <c r="D92" s="6" t="inlineStr">
        <is>
          <t>AdvancedDefense</t>
        </is>
      </c>
      <c r="E92" s="6" t="n">
        <v>150000</v>
      </c>
      <c r="F92" s="6" t="n">
        <v>100</v>
      </c>
      <c r="G92" t="inlineStr">
        <is>
          <t>Steel</t>
        </is>
      </c>
      <c r="H92" s="6" t="n">
        <v>0.5749</v>
      </c>
      <c r="I92" s="6" t="n">
        <v>1</v>
      </c>
      <c r="J92" s="6" t="n">
        <v>1</v>
      </c>
      <c r="K92" s="6" t="n"/>
      <c r="P92">
        <f>MAX(P93)</f>
        <v/>
      </c>
      <c r="S92">
        <f>S93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(T92+U92+V92)/3</f>
        <v/>
      </c>
      <c r="X92" s="6" t="n">
        <v>2000</v>
      </c>
      <c r="Y92">
        <f>IFERROR(W92-X92,"")</f>
        <v/>
      </c>
      <c r="Z92">
        <f>IFERROR(ABS(Y92)/MAX(X92,1),"")</f>
        <v/>
      </c>
      <c r="AA92">
        <f>IFERROR((X92-(((E92/100000+F92/100+S92/200)*200*I92*H92)+((E92*F92/25000)*I92*H92))/3)/(((J92/5)*200*I92*H92)+((J92*S92/2.5)*I92*H92)+((E92*F92*J92*S92*I92*H92)/12500000))/3*1000,"")</f>
        <v/>
      </c>
    </row>
    <row r="93">
      <c r="B93" s="7" t="inlineStr">
        <is>
          <t xml:space="preserve">  ↳ RA2TMindControl</t>
        </is>
      </c>
      <c r="C93" s="7" t="inlineStr">
        <is>
          <t>Armament@CONTROL</t>
        </is>
      </c>
      <c r="L93" s="6" t="n">
        <v>0</v>
      </c>
      <c r="M93" s="6" t="n">
        <v>75</v>
      </c>
      <c r="N93" s="6" t="n">
        <v>1</v>
      </c>
      <c r="O93" s="6" t="n"/>
      <c r="P93" s="6" t="n">
        <v>8000</v>
      </c>
      <c r="Q93" s="6" t="n">
        <v>1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RA2MindControl</t>
        </is>
      </c>
    </row>
    <row r="94">
      <c r="A94" t="inlineStr">
        <is>
          <t>redalert2</t>
        </is>
      </c>
      <c r="B94" t="inlineStr">
        <is>
          <t>yuri_slaveminer_deployed</t>
        </is>
      </c>
      <c r="C94" t="inlineStr">
        <is>
          <t>Slave Miner</t>
        </is>
      </c>
      <c r="D94" s="6" t="inlineStr">
        <is>
          <t>BasicDefense</t>
        </is>
      </c>
      <c r="E94" s="6" t="n">
        <v>200000</v>
      </c>
      <c r="F94" s="6" t="n">
        <v>100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K94" s="6" t="n"/>
      <c r="P94">
        <f>MAX(P95)</f>
        <v/>
      </c>
      <c r="S94">
        <f>S95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2500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RA220mmrapid</t>
        </is>
      </c>
      <c r="C95" s="7" t="inlineStr">
        <is>
          <t>Armament</t>
        </is>
      </c>
      <c r="L95" s="6" t="n">
        <v>8000</v>
      </c>
      <c r="M95" s="6" t="n">
        <v>15</v>
      </c>
      <c r="N95" s="6" t="n">
        <v>1</v>
      </c>
      <c r="O95" s="6" t="n"/>
      <c r="P95" s="6" t="n">
        <v>5000</v>
      </c>
      <c r="Q95" s="6" t="n">
        <v>0.875</v>
      </c>
      <c r="R95">
        <f>M95+IF(N95&gt;1,N(O95)*(N95-1),0)</f>
        <v/>
      </c>
      <c r="S95">
        <f>IFERROR(L95*MAX(N95,1)/R95*IF(ISBLANK(K94),1,K94),0)</f>
        <v/>
      </c>
      <c r="AB95" s="7" t="inlineStr">
        <is>
          <t>^Warhead_Bullet_Light, ^Warhead_Bullet_Medium</t>
        </is>
      </c>
    </row>
    <row r="96">
      <c r="A96" t="inlineStr">
        <is>
          <t>redalert2</t>
        </is>
      </c>
      <c r="B96" t="inlineStr">
        <is>
          <t>yuri_tankbunker</t>
        </is>
      </c>
      <c r="C96" t="inlineStr">
        <is>
          <t>Tank Bunker</t>
        </is>
      </c>
      <c r="D96" s="6" t="inlineStr">
        <is>
          <t>Bunker</t>
        </is>
      </c>
      <c r="E96" s="6" t="n">
        <v>100000</v>
      </c>
      <c r="F96" s="6" t="n">
        <v>100</v>
      </c>
      <c r="G96" t="inlineStr">
        <is>
          <t>Steel</t>
        </is>
      </c>
      <c r="H96" s="6" t="n">
        <v>0.9322</v>
      </c>
      <c r="I96" s="6" t="n">
        <v>1</v>
      </c>
      <c r="J96" s="6" t="n">
        <v>1</v>
      </c>
      <c r="K96" s="6" t="n"/>
      <c r="X96" s="6" t="n">
        <v>1000</v>
      </c>
    </row>
    <row r="97">
      <c r="A97" s="4" t="inlineStr">
        <is>
          <t>BUILDINGS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t="inlineStr">
        <is>
          <t>redalert2</t>
        </is>
      </c>
      <c r="B98" t="inlineStr">
        <is>
          <t>yuri_barracks</t>
        </is>
      </c>
      <c r="C98" t="inlineStr">
        <is>
          <t>Yuri Barracks</t>
        </is>
      </c>
      <c r="D98" s="6" t="inlineStr">
        <is>
          <t>Building</t>
        </is>
      </c>
      <c r="E98" s="6" t="n">
        <v>200000</v>
      </c>
      <c r="F98" s="6" t="n"/>
      <c r="G98" t="inlineStr">
        <is>
          <t>Wood</t>
        </is>
      </c>
      <c r="H98" s="6" t="n">
        <v>1</v>
      </c>
      <c r="I98" s="6" t="n">
        <v>1</v>
      </c>
      <c r="J98" s="6" t="n">
        <v>1</v>
      </c>
      <c r="K98" s="6" t="n"/>
      <c r="X98" s="6" t="n">
        <v>1000</v>
      </c>
    </row>
    <row r="99">
      <c r="A99" t="inlineStr">
        <is>
          <t>redalert2</t>
        </is>
      </c>
      <c r="B99" t="inlineStr">
        <is>
          <t>yuri_battlelab</t>
        </is>
      </c>
      <c r="C99" t="inlineStr">
        <is>
          <t>Yuri Battle Lab</t>
        </is>
      </c>
      <c r="D99" s="6" t="inlineStr">
        <is>
          <t>Building</t>
        </is>
      </c>
      <c r="E99" s="6" t="n">
        <v>500000</v>
      </c>
      <c r="F99" s="6" t="n"/>
      <c r="G99" t="inlineStr">
        <is>
          <t>Concrete</t>
        </is>
      </c>
      <c r="H99" s="6" t="n">
        <v>0.8824</v>
      </c>
      <c r="I99" s="6" t="n">
        <v>1</v>
      </c>
      <c r="J99" s="6" t="n">
        <v>1</v>
      </c>
      <c r="K99" s="6" t="n"/>
      <c r="X99" s="6" t="n">
        <v>5000</v>
      </c>
    </row>
    <row r="100">
      <c r="A100" t="inlineStr">
        <is>
          <t>redalert2</t>
        </is>
      </c>
      <c r="B100" t="inlineStr">
        <is>
          <t>yuri_bioreactor</t>
        </is>
      </c>
      <c r="C100" t="inlineStr">
        <is>
          <t>Bio Reactor</t>
        </is>
      </c>
      <c r="D100" s="6" t="inlineStr">
        <is>
          <t>Building</t>
        </is>
      </c>
      <c r="E100" s="6" t="n">
        <v>125000</v>
      </c>
      <c r="F100" s="6" t="n"/>
      <c r="G100" t="inlineStr">
        <is>
          <t>Wood</t>
        </is>
      </c>
      <c r="H100" s="6" t="n">
        <v>1</v>
      </c>
      <c r="I100" s="6" t="n">
        <v>1</v>
      </c>
      <c r="J100" s="6" t="n">
        <v>1</v>
      </c>
      <c r="K100" s="6" t="n"/>
      <c r="X100" s="6" t="n">
        <v>600</v>
      </c>
    </row>
    <row r="101">
      <c r="A101" t="inlineStr">
        <is>
          <t>redalert2</t>
        </is>
      </c>
      <c r="B101" t="inlineStr">
        <is>
          <t>yuri_cloningvats</t>
        </is>
      </c>
      <c r="C101" t="inlineStr">
        <is>
          <t>Yuri Cloning Vats</t>
        </is>
      </c>
      <c r="D101" s="6" t="inlineStr">
        <is>
          <t>Building</t>
        </is>
      </c>
      <c r="E101" s="6" t="n">
        <v>500000</v>
      </c>
      <c r="F101" s="6" t="n"/>
      <c r="G101" t="inlineStr">
        <is>
          <t>Concrete</t>
        </is>
      </c>
      <c r="H101" s="6" t="n">
        <v>0.4264</v>
      </c>
      <c r="I101" s="6" t="n">
        <v>1</v>
      </c>
      <c r="J101" s="6" t="n">
        <v>1</v>
      </c>
      <c r="K101" s="6" t="n"/>
      <c r="X101" s="6" t="n">
        <v>5000</v>
      </c>
    </row>
    <row r="102">
      <c r="A102" t="inlineStr">
        <is>
          <t>redalert2</t>
        </is>
      </c>
      <c r="B102" t="inlineStr">
        <is>
          <t>yuri_constructionyard</t>
        </is>
      </c>
      <c r="C102" t="inlineStr">
        <is>
          <t>Yuri Construction Yard</t>
        </is>
      </c>
      <c r="D102" s="6" t="inlineStr">
        <is>
          <t>Building</t>
        </is>
      </c>
      <c r="E102" s="6" t="n">
        <v>1000000</v>
      </c>
      <c r="F102" s="6" t="n"/>
      <c r="G102" t="inlineStr">
        <is>
          <t>Concrete</t>
        </is>
      </c>
      <c r="H102" s="6" t="n">
        <v>1</v>
      </c>
      <c r="I102" s="6" t="n">
        <v>1</v>
      </c>
      <c r="J102" s="6" t="n">
        <v>1</v>
      </c>
      <c r="K102" s="6" t="n"/>
      <c r="X102" s="6" t="n">
        <v>5000</v>
      </c>
    </row>
    <row r="103">
      <c r="A103" t="inlineStr">
        <is>
          <t>redalert2</t>
        </is>
      </c>
      <c r="B103" t="inlineStr">
        <is>
          <t>yuri_grinder</t>
        </is>
      </c>
      <c r="C103" t="inlineStr">
        <is>
          <t>Grinder</t>
        </is>
      </c>
      <c r="D103" s="6" t="inlineStr">
        <is>
          <t>Building</t>
        </is>
      </c>
      <c r="E103" s="6" t="n">
        <v>200000</v>
      </c>
      <c r="F103" s="6" t="n"/>
      <c r="G103" t="inlineStr">
        <is>
          <t>Concrete</t>
        </is>
      </c>
      <c r="H103" s="6" t="n">
        <v>0.9322</v>
      </c>
      <c r="I103" s="6" t="n">
        <v>1</v>
      </c>
      <c r="J103" s="6" t="n">
        <v>1</v>
      </c>
      <c r="K103" s="6" t="n"/>
      <c r="X103" s="6" t="n">
        <v>1000</v>
      </c>
    </row>
    <row r="104">
      <c r="A104" t="inlineStr">
        <is>
          <t>redalert2</t>
        </is>
      </c>
      <c r="B104" t="inlineStr">
        <is>
          <t>yuri_lunarcommandcenter</t>
        </is>
      </c>
      <c r="C104" t="inlineStr">
        <is>
          <t>Lunar Command Center</t>
        </is>
      </c>
      <c r="D104" s="6" t="inlineStr">
        <is>
          <t>Building</t>
        </is>
      </c>
      <c r="E104" s="6" t="n">
        <v>500000</v>
      </c>
      <c r="F104" s="6" t="n"/>
      <c r="G104" t="inlineStr">
        <is>
          <t>Concrete</t>
        </is>
      </c>
      <c r="H104" s="6" t="n">
        <v>0.5749</v>
      </c>
      <c r="I104" s="6" t="n">
        <v>1</v>
      </c>
      <c r="J104" s="6" t="n">
        <v>1</v>
      </c>
      <c r="K104" s="6" t="n"/>
      <c r="X104" s="6" t="n">
        <v>5000</v>
      </c>
    </row>
    <row r="105">
      <c r="A105" t="inlineStr">
        <is>
          <t>redalert2</t>
        </is>
      </c>
      <c r="B105" t="inlineStr">
        <is>
          <t>yuri_psychicsensor</t>
        </is>
      </c>
      <c r="C105" t="inlineStr">
        <is>
          <t>Psychic Sensor</t>
        </is>
      </c>
      <c r="D105" s="6" t="inlineStr">
        <is>
          <t>Building</t>
        </is>
      </c>
      <c r="E105" s="6" t="n">
        <v>250000</v>
      </c>
      <c r="F105" s="6" t="n"/>
      <c r="G105" t="inlineStr">
        <is>
          <t>Wood</t>
        </is>
      </c>
      <c r="H105" s="6" t="n">
        <v>1</v>
      </c>
      <c r="I105" s="6" t="n">
        <v>1</v>
      </c>
      <c r="J105" s="6" t="n">
        <v>1</v>
      </c>
      <c r="K105" s="6" t="n"/>
      <c r="X105" s="6" t="n">
        <v>2500</v>
      </c>
    </row>
    <row r="106">
      <c r="A106" t="inlineStr">
        <is>
          <t>redalert2</t>
        </is>
      </c>
      <c r="B106" t="inlineStr">
        <is>
          <t>yuri_warfactory</t>
        </is>
      </c>
      <c r="C106" t="inlineStr">
        <is>
          <t>Yuri War Factory</t>
        </is>
      </c>
      <c r="D106" s="6" t="inlineStr">
        <is>
          <t>Building</t>
        </is>
      </c>
      <c r="E106" s="6" t="n">
        <v>400000</v>
      </c>
      <c r="F106" s="6" t="n"/>
      <c r="G106" t="inlineStr">
        <is>
          <t>Concrete</t>
        </is>
      </c>
      <c r="H106" s="6" t="n">
        <v>1</v>
      </c>
      <c r="I106" s="6" t="n">
        <v>1</v>
      </c>
      <c r="J106" s="6" t="n">
        <v>1</v>
      </c>
      <c r="K106" s="6" t="n"/>
      <c r="X106" s="6" t="n">
        <v>2000</v>
      </c>
    </row>
    <row r="107">
      <c r="A107" s="4" t="inlineStr">
        <is>
          <t>UPGRADES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redalert2</t>
        </is>
      </c>
      <c r="B108" t="inlineStr">
        <is>
          <t>yuri_doctrine_chaosgasemitters</t>
        </is>
      </c>
      <c r="C108" t="inlineStr">
        <is>
          <t>Chaos Gas Emitters</t>
        </is>
      </c>
      <c r="D108" s="6" t="inlineStr">
        <is>
          <t>Doctrine</t>
        </is>
      </c>
      <c r="E108" s="6" t="n"/>
      <c r="F108" s="6" t="n"/>
      <c r="H108" s="6" t="n">
        <v>0.4264</v>
      </c>
      <c r="I108" s="6" t="n">
        <v>1</v>
      </c>
      <c r="J108" s="6" t="n">
        <v>1</v>
      </c>
      <c r="K108" s="6" t="n"/>
      <c r="X108" s="6" t="n">
        <v>5000</v>
      </c>
    </row>
    <row r="109">
      <c r="A109" t="inlineStr">
        <is>
          <t>redalert2</t>
        </is>
      </c>
      <c r="B109" t="inlineStr">
        <is>
          <t>yuri_doctrine_lasherhecannon</t>
        </is>
      </c>
      <c r="C109" t="inlineStr">
        <is>
          <t>Lasher HE Cannon</t>
        </is>
      </c>
      <c r="D109" s="6" t="inlineStr">
        <is>
          <t>Doctrine</t>
        </is>
      </c>
      <c r="E109" s="6" t="n"/>
      <c r="F109" s="6" t="n"/>
      <c r="H109" s="6" t="n">
        <v>0.5749</v>
      </c>
      <c r="I109" s="6" t="n">
        <v>1</v>
      </c>
      <c r="J109" s="6" t="n">
        <v>1</v>
      </c>
      <c r="K109" s="6" t="n"/>
      <c r="X109" s="6" t="n">
        <v>5000</v>
      </c>
    </row>
    <row r="110">
      <c r="A110" t="inlineStr">
        <is>
          <t>redalert2</t>
        </is>
      </c>
      <c r="B110" t="inlineStr">
        <is>
          <t>yuri_doctrine_lasherlasercannon</t>
        </is>
      </c>
      <c r="C110" t="inlineStr">
        <is>
          <t>Lasher Laser Cannon</t>
        </is>
      </c>
      <c r="D110" s="6" t="inlineStr">
        <is>
          <t>Doctrine</t>
        </is>
      </c>
      <c r="E110" s="6" t="n"/>
      <c r="F110" s="6" t="n"/>
      <c r="H110" s="6" t="n">
        <v>0.5749</v>
      </c>
      <c r="I110" s="6" t="n">
        <v>1</v>
      </c>
      <c r="J110" s="6" t="n">
        <v>1</v>
      </c>
      <c r="K110" s="6" t="n"/>
      <c r="X110" s="6" t="n">
        <v>5000</v>
      </c>
    </row>
    <row r="111">
      <c r="A111" t="inlineStr">
        <is>
          <t>redalert2</t>
        </is>
      </c>
      <c r="B111" t="inlineStr">
        <is>
          <t>yuri_doctrine_lashertoxicgasshells</t>
        </is>
      </c>
      <c r="C111" t="inlineStr">
        <is>
          <t>Lasher Toxic Gas Shells</t>
        </is>
      </c>
      <c r="D111" s="6" t="inlineStr">
        <is>
          <t>Doctrine</t>
        </is>
      </c>
      <c r="E111" s="6" t="n"/>
      <c r="F111" s="6" t="n"/>
      <c r="H111" s="6" t="n">
        <v>0.5749</v>
      </c>
      <c r="I111" s="6" t="n">
        <v>1</v>
      </c>
      <c r="J111" s="6" t="n">
        <v>1</v>
      </c>
      <c r="K111" s="6" t="n"/>
      <c r="X111" s="6" t="n">
        <v>5000</v>
      </c>
    </row>
    <row r="112">
      <c r="A112" t="inlineStr">
        <is>
          <t>redalert2</t>
        </is>
      </c>
      <c r="B112" t="inlineStr">
        <is>
          <t>yuri_doctrine_psionicelite</t>
        </is>
      </c>
      <c r="C112" t="inlineStr">
        <is>
          <t>Psionic Elite</t>
        </is>
      </c>
      <c r="D112" s="6" t="inlineStr">
        <is>
          <t>Doctrine</t>
        </is>
      </c>
      <c r="E112" s="6" t="n"/>
      <c r="F112" s="6" t="n"/>
      <c r="H112" s="6" t="n">
        <v>0.8824</v>
      </c>
      <c r="I112" s="6" t="n">
        <v>1</v>
      </c>
      <c r="J112" s="6" t="n">
        <v>1</v>
      </c>
      <c r="K112" s="6" t="n"/>
      <c r="X112" s="6" t="n">
        <v>5000</v>
      </c>
    </row>
    <row r="113">
      <c r="A113" t="inlineStr">
        <is>
          <t>redalert2</t>
        </is>
      </c>
      <c r="B113" t="inlineStr">
        <is>
          <t>yuri_doctrine_psionicfanatics</t>
        </is>
      </c>
      <c r="C113" t="inlineStr">
        <is>
          <t>Psionic Fanatics</t>
        </is>
      </c>
      <c r="D113" s="6" t="inlineStr">
        <is>
          <t>Doctrine</t>
        </is>
      </c>
      <c r="E113" s="6" t="n"/>
      <c r="F113" s="6" t="n"/>
      <c r="H113" s="6" t="n">
        <v>0.8824</v>
      </c>
      <c r="I113" s="6" t="n">
        <v>1</v>
      </c>
      <c r="J113" s="6" t="n">
        <v>1</v>
      </c>
      <c r="K113" s="6" t="n"/>
      <c r="X113" s="6" t="n">
        <v>5000</v>
      </c>
    </row>
    <row r="114">
      <c r="A114" t="inlineStr">
        <is>
          <t>redalert2</t>
        </is>
      </c>
      <c r="B114" t="inlineStr">
        <is>
          <t>yuri_doctrine_psioniclegion</t>
        </is>
      </c>
      <c r="C114" t="inlineStr">
        <is>
          <t>Psionic Legion</t>
        </is>
      </c>
      <c r="D114" s="6" t="inlineStr">
        <is>
          <t>Doctrine</t>
        </is>
      </c>
      <c r="E114" s="6" t="n"/>
      <c r="F114" s="6" t="n"/>
      <c r="H114" s="6" t="n">
        <v>0.8824</v>
      </c>
      <c r="I114" s="6" t="n">
        <v>1</v>
      </c>
      <c r="J114" s="6" t="n">
        <v>1</v>
      </c>
      <c r="K114" s="6" t="n"/>
      <c r="X114" s="6" t="n">
        <v>5000</v>
      </c>
    </row>
    <row r="115">
      <c r="A115" t="inlineStr">
        <is>
          <t>redalert2</t>
        </is>
      </c>
      <c r="B115" t="inlineStr">
        <is>
          <t>yuri_doctrine_psionicvehicleshields</t>
        </is>
      </c>
      <c r="C115" t="inlineStr">
        <is>
          <t>Psionic Vehicle Shields</t>
        </is>
      </c>
      <c r="D115" s="6" t="inlineStr">
        <is>
          <t>Doctrine</t>
        </is>
      </c>
      <c r="E115" s="6" t="n"/>
      <c r="F115" s="6" t="n"/>
      <c r="H115" s="6" t="n">
        <v>0.4264</v>
      </c>
      <c r="I115" s="6" t="n">
        <v>1</v>
      </c>
      <c r="J115" s="6" t="n">
        <v>1</v>
      </c>
      <c r="K115" s="6" t="n"/>
      <c r="X115" s="6" t="n">
        <v>5000</v>
      </c>
    </row>
    <row r="116">
      <c r="A116" t="inlineStr">
        <is>
          <t>redalert2</t>
        </is>
      </c>
      <c r="B116" t="inlineStr">
        <is>
          <t>yuri_doctrine_scrapvehiclearmor</t>
        </is>
      </c>
      <c r="C116" t="inlineStr">
        <is>
          <t>Scrap Vehicle Armor</t>
        </is>
      </c>
      <c r="D116" s="6" t="inlineStr">
        <is>
          <t>Doctrine</t>
        </is>
      </c>
      <c r="E116" s="6" t="n"/>
      <c r="F116" s="6" t="n"/>
      <c r="H116" s="6" t="n">
        <v>0.4264</v>
      </c>
      <c r="I116" s="6" t="n">
        <v>1</v>
      </c>
      <c r="J116" s="6" t="n">
        <v>1</v>
      </c>
      <c r="K116" s="6" t="n"/>
      <c r="X116" s="6" t="n">
        <v>5000</v>
      </c>
    </row>
    <row r="117">
      <c r="A117" t="inlineStr">
        <is>
          <t>redalert2</t>
        </is>
      </c>
      <c r="B117" t="inlineStr">
        <is>
          <t>yuri_upgrade_bioengineering</t>
        </is>
      </c>
      <c r="C117" t="inlineStr">
        <is>
          <t>Bio Engineering</t>
        </is>
      </c>
      <c r="D117" s="6" t="inlineStr">
        <is>
          <t>UnitUpgrade</t>
        </is>
      </c>
      <c r="E117" s="6" t="n"/>
      <c r="F117" s="6" t="n"/>
      <c r="H117" s="6" t="n">
        <v>0.3388</v>
      </c>
      <c r="I117" s="6" t="n">
        <v>1</v>
      </c>
      <c r="J117" s="6" t="n">
        <v>1</v>
      </c>
      <c r="K117" s="6" t="n"/>
      <c r="X117" s="6" t="n">
        <v>2500</v>
      </c>
    </row>
    <row r="118">
      <c r="A118" t="inlineStr">
        <is>
          <t>redalert2</t>
        </is>
      </c>
      <c r="B118" t="inlineStr">
        <is>
          <t>yuri_upgrade_bioreactorefficiency</t>
        </is>
      </c>
      <c r="C118" t="inlineStr">
        <is>
          <t>Bio Reactor Efficiency</t>
        </is>
      </c>
      <c r="D118" s="6" t="inlineStr">
        <is>
          <t>UnitUpgrade</t>
        </is>
      </c>
      <c r="E118" s="6" t="n"/>
      <c r="F118" s="6" t="n"/>
      <c r="H118" s="6" t="n">
        <v>0.3388</v>
      </c>
      <c r="I118" s="6" t="n">
        <v>1</v>
      </c>
      <c r="J118" s="6" t="n">
        <v>1</v>
      </c>
      <c r="K118" s="6" t="n"/>
      <c r="X118" s="6" t="n">
        <v>2500</v>
      </c>
    </row>
    <row r="119">
      <c r="A119" t="inlineStr">
        <is>
          <t>redalert2</t>
        </is>
      </c>
      <c r="B119" t="inlineStr">
        <is>
          <t>yuri_upgrade_brutestrengthmutations</t>
        </is>
      </c>
      <c r="C119" t="inlineStr">
        <is>
          <t>Brute Strength Mutations</t>
        </is>
      </c>
      <c r="D119" s="6" t="inlineStr">
        <is>
          <t>UnitUpgrade</t>
        </is>
      </c>
      <c r="E119" s="6" t="n"/>
      <c r="F119" s="6" t="n"/>
      <c r="H119" s="6" t="n">
        <v>0.8824</v>
      </c>
      <c r="I119" s="6" t="n">
        <v>1</v>
      </c>
      <c r="J119" s="6" t="n">
        <v>1</v>
      </c>
      <c r="K119" s="6" t="n"/>
      <c r="X119" s="6" t="n">
        <v>2500</v>
      </c>
    </row>
    <row r="120">
      <c r="A120" t="inlineStr">
        <is>
          <t>redalert2</t>
        </is>
      </c>
      <c r="B120" t="inlineStr">
        <is>
          <t>yuri_upgrade_corrosiveammo</t>
        </is>
      </c>
      <c r="C120" t="inlineStr">
        <is>
          <t>Corrosive Ammo</t>
        </is>
      </c>
      <c r="D120" s="6" t="inlineStr">
        <is>
          <t>UnitUpgrade</t>
        </is>
      </c>
      <c r="E120" s="6" t="n"/>
      <c r="F120" s="6" t="n"/>
      <c r="H120" s="6" t="n">
        <v>0.4264</v>
      </c>
      <c r="I120" s="6" t="n">
        <v>1</v>
      </c>
      <c r="J120" s="6" t="n">
        <v>1</v>
      </c>
      <c r="K120" s="6" t="n"/>
      <c r="X120" s="6" t="n">
        <v>2500</v>
      </c>
    </row>
    <row r="121">
      <c r="A121" t="inlineStr">
        <is>
          <t>redalert2</t>
        </is>
      </c>
      <c r="B121" t="inlineStr">
        <is>
          <t>yuri_upgrade_diskhighfrequencylasers</t>
        </is>
      </c>
      <c r="C121" t="inlineStr">
        <is>
          <t>Disk High Frequency Lasers</t>
        </is>
      </c>
      <c r="D121" s="6" t="inlineStr">
        <is>
          <t>TechUpgrade</t>
        </is>
      </c>
      <c r="E121" s="6" t="n"/>
      <c r="F121" s="6" t="n"/>
      <c r="H121" s="6" t="n">
        <v>0.4264</v>
      </c>
      <c r="I121" s="6" t="n">
        <v>1</v>
      </c>
      <c r="J121" s="6" t="n">
        <v>1</v>
      </c>
      <c r="K121" s="6" t="n"/>
      <c r="X121" s="6" t="n">
        <v>5000</v>
      </c>
    </row>
    <row r="122">
      <c r="A122" t="inlineStr">
        <is>
          <t>redalert2</t>
        </is>
      </c>
      <c r="B122" t="inlineStr">
        <is>
          <t>yuri_upgrade_disksiphonattack</t>
        </is>
      </c>
      <c r="C122" t="inlineStr">
        <is>
          <t>Disk Siphon Attack</t>
        </is>
      </c>
      <c r="D122" s="6" t="inlineStr">
        <is>
          <t>TechUpgrade</t>
        </is>
      </c>
      <c r="E122" s="6" t="n"/>
      <c r="F122" s="6" t="n"/>
      <c r="H122" s="6" t="n">
        <v>0.4264</v>
      </c>
      <c r="I122" s="6" t="n">
        <v>1</v>
      </c>
      <c r="J122" s="6" t="n">
        <v>1</v>
      </c>
      <c r="K122" s="6" t="n"/>
      <c r="X122" s="6" t="n">
        <v>5000</v>
      </c>
    </row>
    <row r="123">
      <c r="A123" t="inlineStr">
        <is>
          <t>redalert2</t>
        </is>
      </c>
      <c r="B123" t="inlineStr">
        <is>
          <t>yuri_upgrade_domination</t>
        </is>
      </c>
      <c r="C123" t="inlineStr">
        <is>
          <t>Domination</t>
        </is>
      </c>
      <c r="D123" s="6" t="inlineStr">
        <is>
          <t>UnitUpgrade</t>
        </is>
      </c>
      <c r="E123" s="6" t="n"/>
      <c r="F123" s="6" t="n"/>
      <c r="H123" s="6" t="n">
        <v>0.5749</v>
      </c>
      <c r="I123" s="6" t="n">
        <v>1</v>
      </c>
      <c r="J123" s="6" t="n">
        <v>1</v>
      </c>
      <c r="K123" s="6" t="n"/>
      <c r="X123" s="6" t="n">
        <v>2500</v>
      </c>
    </row>
    <row r="124">
      <c r="A124" t="inlineStr">
        <is>
          <t>redalert2</t>
        </is>
      </c>
      <c r="B124" t="inlineStr">
        <is>
          <t>yuri_upgrade_gatlingfirepowerupgrade</t>
        </is>
      </c>
      <c r="C124" t="inlineStr">
        <is>
          <t>Gatling Firepower Upgrade</t>
        </is>
      </c>
      <c r="D124" s="6" t="inlineStr">
        <is>
          <t>UnitUpgrade</t>
        </is>
      </c>
      <c r="E124" s="6" t="n"/>
      <c r="F124" s="6" t="n"/>
      <c r="H124" s="6" t="n">
        <v>0.5749</v>
      </c>
      <c r="I124" s="6" t="n">
        <v>1</v>
      </c>
      <c r="J124" s="6" t="n">
        <v>1</v>
      </c>
      <c r="K124" s="6" t="n"/>
      <c r="X124" s="6" t="n">
        <v>2500</v>
      </c>
    </row>
    <row r="125">
      <c r="A125" t="inlineStr">
        <is>
          <t>redalert2</t>
        </is>
      </c>
      <c r="B125" t="inlineStr">
        <is>
          <t>yuri_upgrade_gatlingspeedupgrade</t>
        </is>
      </c>
      <c r="C125" t="inlineStr">
        <is>
          <t>Gatling Speed Upgrade</t>
        </is>
      </c>
      <c r="D125" s="6" t="inlineStr">
        <is>
          <t>UnitUpgrade</t>
        </is>
      </c>
      <c r="E125" s="6" t="n"/>
      <c r="F125" s="6" t="n"/>
      <c r="H125" s="6" t="n">
        <v>0.4264</v>
      </c>
      <c r="I125" s="6" t="n">
        <v>1</v>
      </c>
      <c r="J125" s="6" t="n">
        <v>1</v>
      </c>
      <c r="K125" s="6" t="n"/>
      <c r="X125" s="6" t="n">
        <v>2500</v>
      </c>
    </row>
    <row r="126">
      <c r="A126" t="inlineStr">
        <is>
          <t>redalert2</t>
        </is>
      </c>
      <c r="B126" t="inlineStr">
        <is>
          <t>yuri_upgrade_geneticmodificationboost</t>
        </is>
      </c>
      <c r="C126" t="inlineStr">
        <is>
          <t>Genetic Modification Boost</t>
        </is>
      </c>
      <c r="D126" s="6" t="inlineStr">
        <is>
          <t>TechUpgrade</t>
        </is>
      </c>
      <c r="E126" s="6" t="n"/>
      <c r="F126" s="6" t="n"/>
      <c r="H126" s="6" t="n">
        <v>0.3388</v>
      </c>
      <c r="I126" s="6" t="n">
        <v>1</v>
      </c>
      <c r="J126" s="6" t="n">
        <v>1</v>
      </c>
      <c r="K126" s="6" t="n"/>
      <c r="X126" s="6" t="n">
        <v>7500</v>
      </c>
    </row>
    <row r="127">
      <c r="A127" t="inlineStr">
        <is>
          <t>redalert2</t>
        </is>
      </c>
      <c r="B127" t="inlineStr">
        <is>
          <t>yuri_upgrade_gravitondrive</t>
        </is>
      </c>
      <c r="C127" t="inlineStr">
        <is>
          <t>Graviton Drive</t>
        </is>
      </c>
      <c r="D127" s="6" t="inlineStr">
        <is>
          <t>TechUpgrade</t>
        </is>
      </c>
      <c r="E127" s="6" t="n"/>
      <c r="F127" s="6" t="n"/>
      <c r="H127" s="6" t="n">
        <v>0.4264</v>
      </c>
      <c r="I127" s="6" t="n">
        <v>1</v>
      </c>
      <c r="J127" s="6" t="n">
        <v>1</v>
      </c>
      <c r="K127" s="6" t="n"/>
      <c r="X127" s="6" t="n">
        <v>5000</v>
      </c>
    </row>
    <row r="128">
      <c r="A128" t="inlineStr">
        <is>
          <t>redalert2</t>
        </is>
      </c>
      <c r="B128" t="inlineStr">
        <is>
          <t>yuri_upgrade_infantrystealthsuits</t>
        </is>
      </c>
      <c r="C128" t="inlineStr">
        <is>
          <t>Infantry Stealth Suits</t>
        </is>
      </c>
      <c r="D128" s="6" t="inlineStr">
        <is>
          <t>TechUpgrade</t>
        </is>
      </c>
      <c r="E128" s="6" t="n"/>
      <c r="F128" s="6" t="n"/>
      <c r="H128" s="6" t="n">
        <v>0.3388</v>
      </c>
      <c r="I128" s="6" t="n">
        <v>1</v>
      </c>
      <c r="J128" s="6" t="n">
        <v>1</v>
      </c>
      <c r="K128" s="6" t="n"/>
      <c r="X128" s="6" t="n">
        <v>7500</v>
      </c>
    </row>
    <row r="129">
      <c r="A129" t="inlineStr">
        <is>
          <t>redalert2</t>
        </is>
      </c>
      <c r="B129" t="inlineStr">
        <is>
          <t>yuri_upgrade_initiatepowersurge</t>
        </is>
      </c>
      <c r="C129" t="inlineStr">
        <is>
          <t>Initiate Power Surge</t>
        </is>
      </c>
      <c r="D129" s="6" t="inlineStr">
        <is>
          <t>UnitUpgrade</t>
        </is>
      </c>
      <c r="E129" s="6" t="n"/>
      <c r="F129" s="6" t="n"/>
      <c r="H129" s="6" t="n">
        <v>0.8824</v>
      </c>
      <c r="I129" s="6" t="n">
        <v>1</v>
      </c>
      <c r="J129" s="6" t="n">
        <v>1</v>
      </c>
      <c r="K129" s="6" t="n"/>
      <c r="X129" s="6" t="n">
        <v>2500</v>
      </c>
    </row>
    <row r="130">
      <c r="A130" t="inlineStr">
        <is>
          <t>redalert2</t>
        </is>
      </c>
      <c r="B130" t="inlineStr">
        <is>
          <t>yuri_upgrade_lasherarmorimprovements</t>
        </is>
      </c>
      <c r="C130" t="inlineStr">
        <is>
          <t>Lasher Armor Improvements</t>
        </is>
      </c>
      <c r="D130" s="6" t="inlineStr">
        <is>
          <t>UnitUpgrade</t>
        </is>
      </c>
      <c r="E130" s="6" t="n"/>
      <c r="F130" s="6" t="n"/>
      <c r="H130" s="6" t="n">
        <v>0.8824</v>
      </c>
      <c r="I130" s="6" t="n">
        <v>1</v>
      </c>
      <c r="J130" s="6" t="n">
        <v>1</v>
      </c>
      <c r="K130" s="6" t="n"/>
      <c r="X130" s="6" t="n">
        <v>2500</v>
      </c>
    </row>
    <row r="131">
      <c r="A131" t="inlineStr">
        <is>
          <t>redalert2</t>
        </is>
      </c>
      <c r="B131" t="inlineStr">
        <is>
          <t>yuri_upgrade_meltingvirus</t>
        </is>
      </c>
      <c r="C131" t="inlineStr">
        <is>
          <t>Melting Virus</t>
        </is>
      </c>
      <c r="D131" s="6" t="inlineStr">
        <is>
          <t>UnitUpgrade</t>
        </is>
      </c>
      <c r="E131" s="6" t="n"/>
      <c r="F131" s="6" t="n"/>
      <c r="H131" s="6" t="n">
        <v>0.5749</v>
      </c>
      <c r="I131" s="6" t="n">
        <v>1</v>
      </c>
      <c r="J131" s="6" t="n">
        <v>1</v>
      </c>
      <c r="K131" s="6" t="n"/>
      <c r="X131" s="6" t="n">
        <v>2500</v>
      </c>
    </row>
    <row r="132">
      <c r="A132" t="inlineStr">
        <is>
          <t>redalert2</t>
        </is>
      </c>
      <c r="B132" t="inlineStr">
        <is>
          <t>yuri_upgrade_psionicarmor</t>
        </is>
      </c>
      <c r="C132" t="inlineStr">
        <is>
          <t>Psionic Armor</t>
        </is>
      </c>
      <c r="D132" s="6" t="inlineStr">
        <is>
          <t>TechUpgrade</t>
        </is>
      </c>
      <c r="E132" s="6" t="n"/>
      <c r="F132" s="6" t="n"/>
      <c r="H132" s="6" t="n">
        <v>0.5749</v>
      </c>
      <c r="I132" s="6" t="n">
        <v>1</v>
      </c>
      <c r="J132" s="6" t="n">
        <v>1</v>
      </c>
      <c r="K132" s="6" t="n"/>
      <c r="X132" s="6" t="n">
        <v>7500</v>
      </c>
    </row>
    <row r="133">
      <c r="A133" t="inlineStr">
        <is>
          <t>redalert2</t>
        </is>
      </c>
      <c r="B133" t="inlineStr">
        <is>
          <t>yuri_upgrade_psionicplasmabeams</t>
        </is>
      </c>
      <c r="C133" t="inlineStr">
        <is>
          <t>Psionic Plasma Beams</t>
        </is>
      </c>
      <c r="D133" s="6" t="inlineStr">
        <is>
          <t>TechUpgrade</t>
        </is>
      </c>
      <c r="E133" s="6" t="n"/>
      <c r="F133" s="6" t="n"/>
      <c r="H133" s="6" t="n">
        <v>0.5749</v>
      </c>
      <c r="I133" s="6" t="n">
        <v>1</v>
      </c>
      <c r="J133" s="6" t="n">
        <v>1</v>
      </c>
      <c r="K133" s="6" t="n"/>
      <c r="X133" s="6" t="n">
        <v>7500</v>
      </c>
    </row>
    <row r="134">
      <c r="A134" t="inlineStr">
        <is>
          <t>redalert2</t>
        </is>
      </c>
      <c r="B134" t="inlineStr">
        <is>
          <t>yuri_upgrade_psychicrange</t>
        </is>
      </c>
      <c r="C134" t="inlineStr">
        <is>
          <t>Psychic Range</t>
        </is>
      </c>
      <c r="D134" s="6" t="inlineStr">
        <is>
          <t>UnitUpgrade</t>
        </is>
      </c>
      <c r="E134" s="6" t="n"/>
      <c r="F134" s="6" t="n"/>
      <c r="H134" s="6" t="n">
        <v>0.4264</v>
      </c>
      <c r="I134" s="6" t="n">
        <v>1</v>
      </c>
      <c r="J134" s="6" t="n">
        <v>1</v>
      </c>
      <c r="K134" s="6" t="n"/>
      <c r="X134" s="6" t="n">
        <v>2500</v>
      </c>
    </row>
    <row r="135">
      <c r="A135" t="inlineStr">
        <is>
          <t>redalert2</t>
        </is>
      </c>
      <c r="B135" t="inlineStr">
        <is>
          <t>yuri_upgrade_psychicvision</t>
        </is>
      </c>
      <c r="C135" t="inlineStr">
        <is>
          <t>Psychic Vision</t>
        </is>
      </c>
      <c r="D135" s="6" t="inlineStr">
        <is>
          <t>TechUpgrade</t>
        </is>
      </c>
      <c r="E135" s="6" t="n"/>
      <c r="F135" s="6" t="n"/>
      <c r="H135" s="6" t="n">
        <v>0.3388</v>
      </c>
      <c r="I135" s="6" t="n">
        <v>1</v>
      </c>
      <c r="J135" s="6" t="n">
        <v>1</v>
      </c>
      <c r="K135" s="6" t="n"/>
      <c r="X135" s="6" t="n">
        <v>7500</v>
      </c>
    </row>
    <row r="136">
      <c r="A136" t="inlineStr">
        <is>
          <t>redalert2</t>
        </is>
      </c>
      <c r="B136" t="inlineStr">
        <is>
          <t>yuri_upgrade_supermagnets</t>
        </is>
      </c>
      <c r="C136" t="inlineStr">
        <is>
          <t>Super Magnets</t>
        </is>
      </c>
      <c r="D136" s="6" t="inlineStr">
        <is>
          <t>UnitUpgrade</t>
        </is>
      </c>
      <c r="E136" s="6" t="n"/>
      <c r="F136" s="6" t="n"/>
      <c r="H136" s="6" t="n">
        <v>0.4264</v>
      </c>
      <c r="I136" s="6" t="n">
        <v>1</v>
      </c>
      <c r="J136" s="6" t="n">
        <v>1</v>
      </c>
      <c r="K136" s="6" t="n"/>
      <c r="X136" s="6" t="n">
        <v>2500</v>
      </c>
    </row>
    <row r="137">
      <c r="A137" t="inlineStr">
        <is>
          <t>redalert2</t>
        </is>
      </c>
      <c r="B137" t="inlineStr">
        <is>
          <t>yuri_upgrade_toxicengines</t>
        </is>
      </c>
      <c r="C137" t="inlineStr">
        <is>
          <t>Toxic Engines</t>
        </is>
      </c>
      <c r="D137" s="6" t="inlineStr">
        <is>
          <t>TechUpgrade</t>
        </is>
      </c>
      <c r="E137" s="6" t="n"/>
      <c r="F137" s="6" t="n"/>
      <c r="H137" s="6" t="n">
        <v>0.5749</v>
      </c>
      <c r="I137" s="6" t="n">
        <v>1</v>
      </c>
      <c r="J137" s="6" t="n">
        <v>1</v>
      </c>
      <c r="K137" s="6" t="n"/>
      <c r="X137" s="6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8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asianalliance_alligator</t>
        </is>
      </c>
      <c r="C3" t="inlineStr">
        <is>
          <t>Alligator</t>
        </is>
      </c>
      <c r="D3" s="6" t="inlineStr">
        <is>
          <t>MeleeInfantry</t>
        </is>
      </c>
      <c r="E3" s="6" t="n">
        <v>27000</v>
      </c>
      <c r="F3" s="6" t="n">
        <v>108</v>
      </c>
      <c r="G3" t="inlineStr">
        <is>
          <t>None</t>
        </is>
      </c>
      <c r="H3" s="6" t="n">
        <v>1</v>
      </c>
      <c r="I3" s="6" t="n">
        <v>0.75</v>
      </c>
      <c r="J3" s="6" t="n">
        <v>1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300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AsianCrocBite</t>
        </is>
      </c>
      <c r="C4" s="7" t="inlineStr">
        <is>
          <t>Armament@PRIMARY</t>
        </is>
      </c>
      <c r="L4" s="6" t="n">
        <v>16000</v>
      </c>
      <c r="M4" s="6" t="n">
        <v>39</v>
      </c>
      <c r="N4" s="6" t="n">
        <v>1</v>
      </c>
      <c r="O4" s="6" t="n"/>
      <c r="P4" s="6" t="n">
        <v>1345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^Warhead_Melee_Medium</t>
        </is>
      </c>
    </row>
    <row r="5">
      <c r="B5" s="7" t="inlineStr">
        <is>
          <t xml:space="preserve">  ↳ AsianCrocBite_elite</t>
        </is>
      </c>
      <c r="C5" s="7" t="inlineStr">
        <is>
          <t>Armament@ELITE</t>
        </is>
      </c>
      <c r="L5" s="6" t="n">
        <v>16000</v>
      </c>
      <c r="M5" s="6" t="n">
        <v>39</v>
      </c>
      <c r="N5" s="6" t="n">
        <v>2</v>
      </c>
      <c r="O5" s="6" t="n">
        <v>3</v>
      </c>
      <c r="P5" s="6" t="n">
        <v>1345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^Warhead_Melee_Medium</t>
        </is>
      </c>
    </row>
    <row r="6">
      <c r="A6" t="inlineStr">
        <is>
          <t>redalert2mod</t>
        </is>
      </c>
      <c r="B6" t="inlineStr">
        <is>
          <t>asianalliance_asdf</t>
        </is>
      </c>
      <c r="C6" t="inlineStr">
        <is>
          <t>ASDF</t>
        </is>
      </c>
      <c r="D6" s="6" t="inlineStr">
        <is>
          <t>SniperInfantry</t>
        </is>
      </c>
      <c r="E6" s="6" t="n">
        <v>39000</v>
      </c>
      <c r="F6" s="6" t="n">
        <v>58</v>
      </c>
      <c r="G6" t="inlineStr">
        <is>
          <t>Flak</t>
        </is>
      </c>
      <c r="H6" s="6" t="n">
        <v>0.75</v>
      </c>
      <c r="I6" s="6" t="n">
        <v>0.75</v>
      </c>
      <c r="J6" s="6" t="n">
        <v>1.25</v>
      </c>
      <c r="K6" s="6" t="n">
        <v>0.0109</v>
      </c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357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ASDFGun</t>
        </is>
      </c>
      <c r="C7" s="7" t="inlineStr">
        <is>
          <t>Armament@PRIMARY</t>
        </is>
      </c>
      <c r="L7" s="6" t="n">
        <v>4000</v>
      </c>
      <c r="M7" s="6" t="n">
        <v>16</v>
      </c>
      <c r="N7" s="6" t="n">
        <v>3</v>
      </c>
      <c r="O7" s="6" t="n">
        <v>2</v>
      </c>
      <c r="P7" s="6" t="n">
        <v>5935</v>
      </c>
      <c r="Q7" s="6" t="n">
        <v>0.875</v>
      </c>
      <c r="R7">
        <f>M7+IF(N7&gt;1,N(O7)*(N7-1),0)</f>
        <v/>
      </c>
      <c r="S7">
        <f>IFERROR(L7*MAX(N7,1)/R7*IF(ISBLANK(K6),1,K6),0)</f>
        <v/>
      </c>
      <c r="AB7" s="7" t="inlineStr">
        <is>
          <t>^Warhead_Bullet_Light, ^Warhead_Bullet_Medium</t>
        </is>
      </c>
    </row>
    <row r="8">
      <c r="B8" s="7" t="inlineStr">
        <is>
          <t xml:space="preserve">  ↳ ASDFGun2</t>
        </is>
      </c>
      <c r="C8" s="7" t="inlineStr">
        <is>
          <t>Armament@Upgrade</t>
        </is>
      </c>
      <c r="L8" s="6" t="n">
        <v>6000</v>
      </c>
      <c r="M8" s="6" t="n">
        <v>16</v>
      </c>
      <c r="N8" s="6" t="n">
        <v>3</v>
      </c>
      <c r="O8" s="6" t="n">
        <v>2</v>
      </c>
      <c r="P8" s="6" t="n">
        <v>5935</v>
      </c>
      <c r="Q8" s="6" t="n">
        <v>1</v>
      </c>
      <c r="R8">
        <f>M8+IF(N8&gt;1,N(O8)*(N8-1),0)</f>
        <v/>
      </c>
      <c r="S8">
        <f>IFERROR(L8*MAX(N8,1)/R8*IF(ISBLANK(K6),1,K6),0)</f>
        <v/>
      </c>
      <c r="AB8" s="7" t="inlineStr">
        <is>
          <t>^Warhead_Railgun_Heavy, ^Warhead_Bullet_Light, ^Warhead_Bullet_Medium</t>
        </is>
      </c>
    </row>
    <row r="9">
      <c r="B9" s="7" t="inlineStr">
        <is>
          <t xml:space="preserve">  ↳ ASDFKamikazeTargeting</t>
        </is>
      </c>
      <c r="C9" s="7" t="inlineStr">
        <is>
          <t>Armament@SECONDARY</t>
        </is>
      </c>
      <c r="L9" s="6" t="n"/>
      <c r="M9" s="6" t="n">
        <v>100</v>
      </c>
      <c r="N9" s="6" t="n">
        <v>1</v>
      </c>
      <c r="O9" s="6" t="n"/>
      <c r="P9" s="6" t="n">
        <v>7250</v>
      </c>
      <c r="Q9" s="6" t="n">
        <v>1</v>
      </c>
      <c r="R9">
        <f>M9+IF(N9&gt;1,N(O9)*(N9-1),0)</f>
        <v/>
      </c>
      <c r="S9">
        <f>IFERROR(L9*MAX(N9,1)/R9*IF(ISBLANK(K6),1,K6),0)</f>
        <v/>
      </c>
      <c r="AB9" s="7" t="inlineStr"/>
    </row>
    <row r="10">
      <c r="B10" s="7" t="inlineStr">
        <is>
          <t xml:space="preserve">  ↳ ASDFGun</t>
        </is>
      </c>
      <c r="C10" s="7" t="inlineStr">
        <is>
          <t>Armament@GARRISONED</t>
        </is>
      </c>
      <c r="L10" s="6" t="n">
        <v>4000</v>
      </c>
      <c r="M10" s="6" t="n">
        <v>16</v>
      </c>
      <c r="N10" s="6" t="n">
        <v>3</v>
      </c>
      <c r="O10" s="6" t="n">
        <v>2</v>
      </c>
      <c r="P10" s="6" t="n">
        <v>5935</v>
      </c>
      <c r="Q10" s="6" t="n">
        <v>0.875</v>
      </c>
      <c r="R10">
        <f>M10+IF(N10&gt;1,N(O10)*(N10-1),0)</f>
        <v/>
      </c>
      <c r="S10">
        <f>IFERROR(L10*MAX(N10,1)/R10*IF(ISBLANK(K6),1,K6),0)</f>
        <v/>
      </c>
      <c r="AB10" s="7" t="inlineStr">
        <is>
          <t>^Warhead_Bullet_Light, ^Warhead_Bullet_Medium</t>
        </is>
      </c>
    </row>
    <row r="11">
      <c r="B11" s="7" t="inlineStr">
        <is>
          <t xml:space="preserve">  ↳ ASDFGun2</t>
        </is>
      </c>
      <c r="C11" s="7" t="inlineStr">
        <is>
          <t>Armament@UpgradeGARRISONED</t>
        </is>
      </c>
      <c r="L11" s="6" t="n">
        <v>6000</v>
      </c>
      <c r="M11" s="6" t="n">
        <v>16</v>
      </c>
      <c r="N11" s="6" t="n">
        <v>3</v>
      </c>
      <c r="O11" s="6" t="n">
        <v>2</v>
      </c>
      <c r="P11" s="6" t="n">
        <v>5935</v>
      </c>
      <c r="Q11" s="6" t="n">
        <v>1</v>
      </c>
      <c r="R11">
        <f>M11+IF(N11&gt;1,N(O11)*(N11-1),0)</f>
        <v/>
      </c>
      <c r="S11">
        <f>IFERROR(L11*MAX(N11,1)/R11*IF(ISBLANK(K6),1,K6),0)</f>
        <v/>
      </c>
      <c r="AB11" s="7" t="inlineStr">
        <is>
          <t>^Warhead_Railgun_Heavy, ^Warhead_Bullet_Light, ^Warhead_Bullet_Medium</t>
        </is>
      </c>
    </row>
    <row r="12">
      <c r="A12" t="inlineStr">
        <is>
          <t>redalert2mod</t>
        </is>
      </c>
      <c r="B12" t="inlineStr">
        <is>
          <t>asianalliance_asiancommando</t>
        </is>
      </c>
      <c r="C12" t="inlineStr">
        <is>
          <t>Asian Commando</t>
        </is>
      </c>
      <c r="D12" s="6" t="inlineStr">
        <is>
          <t>HeroInfantry</t>
        </is>
      </c>
      <c r="E12" s="6" t="n">
        <v>50000</v>
      </c>
      <c r="F12" s="6" t="n">
        <v>75</v>
      </c>
      <c r="G12" t="inlineStr">
        <is>
          <t>Heroic</t>
        </is>
      </c>
      <c r="H12" s="6" t="n">
        <v>0.3929</v>
      </c>
      <c r="I12" s="6" t="n">
        <v>1</v>
      </c>
      <c r="J12" s="6" t="n">
        <v>1</v>
      </c>
      <c r="K12" s="6" t="n"/>
      <c r="P12">
        <f>MAX(P13,P14,P15)</f>
        <v/>
      </c>
      <c r="S12">
        <f>S13+S14+S15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3000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AsianSniperLockdown</t>
        </is>
      </c>
      <c r="C13" s="7" t="inlineStr">
        <is>
          <t>Armament@lockdown</t>
        </is>
      </c>
      <c r="L13" s="6" t="n">
        <v>204000</v>
      </c>
      <c r="M13" s="6" t="n">
        <v>100</v>
      </c>
      <c r="N13" s="6" t="n">
        <v>1</v>
      </c>
      <c r="O13" s="6" t="n"/>
      <c r="P13" s="6" t="n">
        <v>9455</v>
      </c>
      <c r="Q13" s="6" t="n">
        <v>1.25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^Warhead_Tesla_Super, ^Warhead_CannonHE_Heavy</t>
        </is>
      </c>
    </row>
    <row r="14">
      <c r="B14" s="7" t="inlineStr">
        <is>
          <t xml:space="preserve">  ↳ AsianSniper</t>
        </is>
      </c>
      <c r="C14" s="7" t="inlineStr">
        <is>
          <t>Armament@PRIMARY</t>
        </is>
      </c>
      <c r="L14" s="6" t="n">
        <v>30000</v>
      </c>
      <c r="M14" s="6" t="n">
        <v>25</v>
      </c>
      <c r="N14" s="6" t="n">
        <v>1</v>
      </c>
      <c r="O14" s="6" t="n"/>
      <c r="P14" s="6" t="n">
        <v>9455</v>
      </c>
      <c r="Q14" s="6" t="n">
        <v>1.25</v>
      </c>
      <c r="R14">
        <f>M14+IF(N14&gt;1,N(O14)*(N14-1),0)</f>
        <v/>
      </c>
      <c r="S14">
        <f>IFERROR(L14*MAX(N14,1)/R14*IF(ISBLANK(K12),1,K12),0)</f>
        <v/>
      </c>
      <c r="AB14" s="7" t="inlineStr">
        <is>
          <t>^Warhead_CannonHE_Heavy</t>
        </is>
      </c>
    </row>
    <row r="15">
      <c r="B15" s="7" t="inlineStr">
        <is>
          <t xml:space="preserve">  ↳ AsianSniperAP</t>
        </is>
      </c>
      <c r="C15" s="7" t="inlineStr">
        <is>
          <t>Armament@PRIMARYUPGRADE</t>
        </is>
      </c>
      <c r="L15" s="6" t="n">
        <v>92000</v>
      </c>
      <c r="M15" s="6" t="n">
        <v>50</v>
      </c>
      <c r="N15" s="6" t="n">
        <v>1</v>
      </c>
      <c r="O15" s="6" t="n"/>
      <c r="P15" s="6" t="n">
        <v>9455</v>
      </c>
      <c r="Q15" s="6" t="n">
        <v>1.25</v>
      </c>
      <c r="R15">
        <f>M15+IF(N15&gt;1,N(O15)*(N15-1),0)</f>
        <v/>
      </c>
      <c r="S15">
        <f>IFERROR(L15*MAX(N15,1)/R15*IF(ISBLANK(K12),1,K12),0)</f>
        <v/>
      </c>
      <c r="AB15" s="7" t="inlineStr">
        <is>
          <t>^Warhead_CannonHE_Heavy</t>
        </is>
      </c>
    </row>
    <row r="16">
      <c r="B16" s="7" t="inlineStr">
        <is>
          <t xml:space="preserve">  ↳ AsianSniper</t>
        </is>
      </c>
      <c r="C16" s="7" t="inlineStr">
        <is>
          <t>Armament@GARRISONED</t>
        </is>
      </c>
      <c r="L16" s="6" t="n">
        <v>30000</v>
      </c>
      <c r="M16" s="6" t="n">
        <v>25</v>
      </c>
      <c r="N16" s="6" t="n">
        <v>1</v>
      </c>
      <c r="O16" s="6" t="n"/>
      <c r="P16" s="6" t="n">
        <v>9455</v>
      </c>
      <c r="Q16" s="6" t="n">
        <v>1.25</v>
      </c>
      <c r="R16">
        <f>M16+IF(N16&gt;1,N(O16)*(N16-1),0)</f>
        <v/>
      </c>
      <c r="S16">
        <f>IFERROR(L16*MAX(N16,1)/R16*IF(ISBLANK(K12),1,K12),0)</f>
        <v/>
      </c>
      <c r="AB16" s="7" t="inlineStr">
        <is>
          <t>^Warhead_CannonHE_Heavy</t>
        </is>
      </c>
    </row>
    <row r="17">
      <c r="B17" s="7" t="inlineStr">
        <is>
          <t xml:space="preserve">  ↳ AsianSniperAP</t>
        </is>
      </c>
      <c r="C17" s="7" t="inlineStr">
        <is>
          <t>Armament@GARRISONEDUPGRADE</t>
        </is>
      </c>
      <c r="L17" s="6" t="n">
        <v>92000</v>
      </c>
      <c r="M17" s="6" t="n">
        <v>50</v>
      </c>
      <c r="N17" s="6" t="n">
        <v>1</v>
      </c>
      <c r="O17" s="6" t="n"/>
      <c r="P17" s="6" t="n">
        <v>9455</v>
      </c>
      <c r="Q17" s="6" t="n">
        <v>1.25</v>
      </c>
      <c r="R17">
        <f>M17+IF(N17&gt;1,N(O17)*(N17-1),0)</f>
        <v/>
      </c>
      <c r="S17">
        <f>IFERROR(L17*MAX(N17,1)/R17*IF(ISBLANK(K12),1,K12),0)</f>
        <v/>
      </c>
      <c r="AB17" s="7" t="inlineStr">
        <is>
          <t>^Warhead_CannonHE_Heavy</t>
        </is>
      </c>
    </row>
    <row r="18">
      <c r="A18" t="inlineStr">
        <is>
          <t>redalert2mod</t>
        </is>
      </c>
      <c r="B18" t="inlineStr">
        <is>
          <t>asianalliance_asianflametrooper</t>
        </is>
      </c>
      <c r="C18" t="inlineStr">
        <is>
          <t>Asian Flame Trooper</t>
        </is>
      </c>
      <c r="D18" s="6" t="inlineStr">
        <is>
          <t>HeavyInfantry</t>
        </is>
      </c>
      <c r="E18" s="6" t="n">
        <v>26000</v>
      </c>
      <c r="F18" s="6" t="n">
        <v>53</v>
      </c>
      <c r="G18" t="inlineStr">
        <is>
          <t>Plate</t>
        </is>
      </c>
      <c r="H18" s="6" t="n">
        <v>1</v>
      </c>
      <c r="I18" s="6" t="n">
        <v>0.8</v>
      </c>
      <c r="J18" s="6" t="n">
        <v>1</v>
      </c>
      <c r="K18" s="6" t="n">
        <v>0.005</v>
      </c>
      <c r="P18">
        <f>MAX(P19,P20,P21)</f>
        <v/>
      </c>
      <c r="S18">
        <f>S19+S20+S21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400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AsianFlamerTroop</t>
        </is>
      </c>
      <c r="C19" s="7" t="inlineStr">
        <is>
          <t>Armament@PRIMARY</t>
        </is>
      </c>
      <c r="L19" s="6" t="n">
        <v>4000</v>
      </c>
      <c r="M19" s="6" t="n">
        <v>38</v>
      </c>
      <c r="N19" s="6" t="n">
        <v>6</v>
      </c>
      <c r="O19" s="6" t="n">
        <v>3</v>
      </c>
      <c r="P19" s="6" t="n">
        <v>4444</v>
      </c>
      <c r="Q19" s="6" t="n">
        <v>0.75</v>
      </c>
      <c r="R19">
        <f>M19+IF(N19&gt;1,N(O19)*(N19-1),0)</f>
        <v/>
      </c>
      <c r="S19">
        <f>IFERROR(L19*MAX(N19,1)/R19*IF(ISBLANK(K18),1,K18),0)</f>
        <v/>
      </c>
      <c r="AB19" s="7" t="inlineStr">
        <is>
          <t>^Warhead_Flame_Light</t>
        </is>
      </c>
    </row>
    <row r="20">
      <c r="B20" s="7" t="inlineStr">
        <is>
          <t xml:space="preserve">  ↳ AsianFlamerTroop2</t>
        </is>
      </c>
      <c r="C20" s="7" t="inlineStr">
        <is>
          <t>Armament@Upgrade</t>
        </is>
      </c>
      <c r="L20" s="6" t="n">
        <v>4000</v>
      </c>
      <c r="M20" s="6" t="n">
        <v>34</v>
      </c>
      <c r="N20" s="6" t="n">
        <v>6</v>
      </c>
      <c r="O20" s="6" t="n">
        <v>3</v>
      </c>
      <c r="P20" s="6" t="n">
        <v>5555</v>
      </c>
      <c r="Q20" s="6" t="n">
        <v>0.75</v>
      </c>
      <c r="R20">
        <f>M20+IF(N20&gt;1,N(O20)*(N20-1),0)</f>
        <v/>
      </c>
      <c r="S20">
        <f>IFERROR(L20*MAX(N20,1)/R20*IF(ISBLANK(K18),1,K18),0)</f>
        <v/>
      </c>
      <c r="AB20" s="7" t="inlineStr">
        <is>
          <t>^Warhead_Flame_Light</t>
        </is>
      </c>
    </row>
    <row r="21">
      <c r="B21" s="7" t="inlineStr">
        <is>
          <t xml:space="preserve">  ↳ AsianFlamerTurret</t>
        </is>
      </c>
      <c r="C21" s="7" t="inlineStr">
        <is>
          <t>Armament@ELITE</t>
        </is>
      </c>
      <c r="L21" s="6" t="n">
        <v>4000</v>
      </c>
      <c r="M21" s="6" t="n">
        <v>30</v>
      </c>
      <c r="N21" s="6" t="n">
        <v>6</v>
      </c>
      <c r="O21" s="6" t="n">
        <v>3</v>
      </c>
      <c r="P21" s="6" t="n">
        <v>6666</v>
      </c>
      <c r="Q21" s="6" t="n">
        <v>0.75</v>
      </c>
      <c r="R21">
        <f>M21+IF(N21&gt;1,N(O21)*(N21-1),0)</f>
        <v/>
      </c>
      <c r="S21">
        <f>IFERROR(L21*MAX(N21,1)/R21*IF(ISBLANK(K18),1,K18),0)</f>
        <v/>
      </c>
      <c r="AB21" s="7" t="inlineStr">
        <is>
          <t>^Warhead_Flame_Light</t>
        </is>
      </c>
    </row>
    <row r="22">
      <c r="B22" s="7" t="inlineStr">
        <is>
          <t xml:space="preserve">  ↳ AsianFlamerTroop</t>
        </is>
      </c>
      <c r="C22" s="7" t="inlineStr">
        <is>
          <t>Armament@GARRISONED</t>
        </is>
      </c>
      <c r="L22" s="6" t="n">
        <v>4000</v>
      </c>
      <c r="M22" s="6" t="n">
        <v>38</v>
      </c>
      <c r="N22" s="6" t="n">
        <v>6</v>
      </c>
      <c r="O22" s="6" t="n">
        <v>3</v>
      </c>
      <c r="P22" s="6" t="n">
        <v>4444</v>
      </c>
      <c r="Q22" s="6" t="n">
        <v>0.75</v>
      </c>
      <c r="R22">
        <f>M22+IF(N22&gt;1,N(O22)*(N22-1),0)</f>
        <v/>
      </c>
      <c r="S22">
        <f>IFERROR(L22*MAX(N22,1)/R22*IF(ISBLANK(K18),1,K18),0)</f>
        <v/>
      </c>
      <c r="AB22" s="7" t="inlineStr">
        <is>
          <t>^Warhead_Flame_Light</t>
        </is>
      </c>
    </row>
    <row r="23">
      <c r="B23" s="7" t="inlineStr">
        <is>
          <t xml:space="preserve">  ↳ AsianFlamerTroop2</t>
        </is>
      </c>
      <c r="C23" s="7" t="inlineStr">
        <is>
          <t>Armament@GARRISONEDUpgrade</t>
        </is>
      </c>
      <c r="L23" s="6" t="n">
        <v>4000</v>
      </c>
      <c r="M23" s="6" t="n">
        <v>34</v>
      </c>
      <c r="N23" s="6" t="n">
        <v>6</v>
      </c>
      <c r="O23" s="6" t="n">
        <v>3</v>
      </c>
      <c r="P23" s="6" t="n">
        <v>5555</v>
      </c>
      <c r="Q23" s="6" t="n">
        <v>0.75</v>
      </c>
      <c r="R23">
        <f>M23+IF(N23&gt;1,N(O23)*(N23-1),0)</f>
        <v/>
      </c>
      <c r="S23">
        <f>IFERROR(L23*MAX(N23,1)/R23*IF(ISBLANK(K18),1,K18),0)</f>
        <v/>
      </c>
      <c r="AB23" s="7" t="inlineStr">
        <is>
          <t>^Warhead_Flame_Light</t>
        </is>
      </c>
    </row>
    <row r="24">
      <c r="B24" s="7" t="inlineStr">
        <is>
          <t xml:space="preserve">  ↳ AsianFlamerTurret</t>
        </is>
      </c>
      <c r="C24" s="7" t="inlineStr">
        <is>
          <t>Armament@GARRISONEDE</t>
        </is>
      </c>
      <c r="L24" s="6" t="n">
        <v>4000</v>
      </c>
      <c r="M24" s="6" t="n">
        <v>30</v>
      </c>
      <c r="N24" s="6" t="n">
        <v>6</v>
      </c>
      <c r="O24" s="6" t="n">
        <v>3</v>
      </c>
      <c r="P24" s="6" t="n">
        <v>6666</v>
      </c>
      <c r="Q24" s="6" t="n">
        <v>0.75</v>
      </c>
      <c r="R24">
        <f>M24+IF(N24&gt;1,N(O24)*(N24-1),0)</f>
        <v/>
      </c>
      <c r="S24">
        <f>IFERROR(L24*MAX(N24,1)/R24*IF(ISBLANK(K18),1,K18),0)</f>
        <v/>
      </c>
      <c r="AB24" s="7" t="inlineStr">
        <is>
          <t>^Warhead_Flame_Light</t>
        </is>
      </c>
    </row>
    <row r="25">
      <c r="A25" t="inlineStr">
        <is>
          <t>redalert2mod</t>
        </is>
      </c>
      <c r="B25" t="inlineStr">
        <is>
          <t>asianalliance_asianmilitia</t>
        </is>
      </c>
      <c r="C25" t="inlineStr">
        <is>
          <t>Asian Militia</t>
        </is>
      </c>
      <c r="D25" s="6" t="inlineStr">
        <is>
          <t>ScoutInfantry</t>
        </is>
      </c>
      <c r="E25" s="6" t="n">
        <v>24000</v>
      </c>
      <c r="F25" s="6" t="n">
        <v>53</v>
      </c>
      <c r="G25" t="inlineStr">
        <is>
          <t>None</t>
        </is>
      </c>
      <c r="H25" s="6" t="n">
        <v>1</v>
      </c>
      <c r="I25" s="6" t="n">
        <v>1</v>
      </c>
      <c r="J25" s="6" t="n">
        <v>1</v>
      </c>
      <c r="K25" s="6" t="n">
        <v>0.0083</v>
      </c>
      <c r="P25">
        <f>MAX(P26,P27,P28,P29)</f>
        <v/>
      </c>
      <c r="S25">
        <f>S26+S27+S28+S29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(((E25/20000)+(F25/60)+(S25/60)+((P25/5000)*J25))*100/4+(((E25/20000)*(F25/60))+(((P25/5000)*J25)*(S25/60)))*100/2+((E25/20000)*(F25/60)*((P25/5000)*J25)*(S25/60))*100)*(H25/1.0)/3</f>
        <v/>
      </c>
      <c r="X25" s="6" t="n">
        <v>110</v>
      </c>
      <c r="Y25">
        <f>IFERROR(W25-X25,"")</f>
        <v/>
      </c>
      <c r="Z25">
        <f>IFERROR(ABS(Y25)/MAX(X25,1),"")</f>
        <v/>
      </c>
      <c r="AA25">
        <f>IFERROR(ROUND(((3*X25-(((E25/20000)+(F25/60)+(S25/60))*100/4+((E25/20000)*(F25/60))*100/2)*(H25/1.0))/(100/4+((S25/60))*100/2+((E25/20000)*(F25/60)*(S25/60))*100)*(H25/1.0)*5000)/J25,-1),"")</f>
        <v/>
      </c>
    </row>
    <row r="26">
      <c r="B26" s="7" t="inlineStr">
        <is>
          <t xml:space="preserve">  ↳ asianalliance_asianmilitia_shotgun</t>
        </is>
      </c>
      <c r="C26" s="7" t="inlineStr">
        <is>
          <t>Armament@PRIMARY</t>
        </is>
      </c>
      <c r="L26" s="6" t="n">
        <v>6000</v>
      </c>
      <c r="M26" s="6" t="n">
        <v>50</v>
      </c>
      <c r="N26" s="6" t="n">
        <v>1</v>
      </c>
      <c r="O26" s="6" t="n"/>
      <c r="P26" s="6" t="n">
        <v>4500</v>
      </c>
      <c r="Q26" s="6" t="n">
        <v>0.75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^Warhead_Bullet_Light</t>
        </is>
      </c>
    </row>
    <row r="27">
      <c r="B27" s="7" t="inlineStr">
        <is>
          <t xml:space="preserve">  ↳ asianalliance_asianmilitia_shotgun_elite</t>
        </is>
      </c>
      <c r="C27" s="7" t="inlineStr">
        <is>
          <t>Armament@ELITE</t>
        </is>
      </c>
      <c r="L27" s="6" t="n">
        <v>6000</v>
      </c>
      <c r="M27" s="6" t="n">
        <v>50</v>
      </c>
      <c r="N27" s="6" t="n">
        <v>2</v>
      </c>
      <c r="O27" s="6" t="n">
        <v>3</v>
      </c>
      <c r="P27" s="6" t="n">
        <v>5500</v>
      </c>
      <c r="Q27" s="6" t="n">
        <v>0.75</v>
      </c>
      <c r="R27">
        <f>M27+IF(N27&gt;1,N(O27)*(N27-1),0)</f>
        <v/>
      </c>
      <c r="S27">
        <f>IFERROR(L27*MAX(N27,1)/R27*IF(ISBLANK(K25),1,K25),0)</f>
        <v/>
      </c>
      <c r="AB27" s="7" t="inlineStr">
        <is>
          <t>^Warhead_Bullet_Light</t>
        </is>
      </c>
    </row>
    <row r="28">
      <c r="B28" s="7" t="inlineStr">
        <is>
          <t xml:space="preserve">  ↳ asianalliance_asianmilitia_grenade</t>
        </is>
      </c>
      <c r="C28" s="7" t="inlineStr">
        <is>
          <t>Armament@GRENADE</t>
        </is>
      </c>
      <c r="L28" s="6" t="n">
        <v>8000</v>
      </c>
      <c r="M28" s="6" t="n">
        <v>92</v>
      </c>
      <c r="N28" s="6" t="n">
        <v>1</v>
      </c>
      <c r="O28" s="6" t="n"/>
      <c r="P28" s="6" t="n">
        <v>4500</v>
      </c>
      <c r="Q28" s="6" t="n">
        <v>1</v>
      </c>
      <c r="R28">
        <f>M28+IF(N28&gt;1,N(O28)*(N28-1),0)</f>
        <v/>
      </c>
      <c r="S28">
        <f>IFERROR(L28*MAX(N28,1)/R28*IF(ISBLANK(K25),1,K25),0)</f>
        <v/>
      </c>
      <c r="AB28" s="7" t="inlineStr">
        <is>
          <t>^Warhead_Concussion_Medium, ^Warhead_CannonHE_Medium</t>
        </is>
      </c>
    </row>
    <row r="29">
      <c r="B29" s="7" t="inlineStr">
        <is>
          <t xml:space="preserve">  ↳ asianalliance_asianmilitia_grenade_elite</t>
        </is>
      </c>
      <c r="C29" s="7" t="inlineStr">
        <is>
          <t>Armament@GRENADEELITE</t>
        </is>
      </c>
      <c r="L29" s="6" t="n">
        <v>8000</v>
      </c>
      <c r="M29" s="6" t="n">
        <v>92</v>
      </c>
      <c r="N29" s="6" t="n">
        <v>2</v>
      </c>
      <c r="O29" s="6" t="n">
        <v>3</v>
      </c>
      <c r="P29" s="6" t="n">
        <v>5500</v>
      </c>
      <c r="Q29" s="6" t="n">
        <v>1</v>
      </c>
      <c r="R29">
        <f>M29+IF(N29&gt;1,N(O29)*(N29-1),0)</f>
        <v/>
      </c>
      <c r="S29">
        <f>IFERROR(L29*MAX(N29,1)/R29*IF(ISBLANK(K25),1,K25),0)</f>
        <v/>
      </c>
      <c r="AB29" s="7" t="inlineStr">
        <is>
          <t>^Warhead_Concussion_Medium, ^Warhead_CannonHE_Medium</t>
        </is>
      </c>
    </row>
    <row r="30">
      <c r="B30" s="7" t="inlineStr">
        <is>
          <t xml:space="preserve">  ↳ asianalliance_asianmilitia_shotgun</t>
        </is>
      </c>
      <c r="C30" s="7" t="inlineStr">
        <is>
          <t>Armament@GARRISONED</t>
        </is>
      </c>
      <c r="L30" s="6" t="n">
        <v>6000</v>
      </c>
      <c r="M30" s="6" t="n">
        <v>50</v>
      </c>
      <c r="N30" s="6" t="n">
        <v>1</v>
      </c>
      <c r="O30" s="6" t="n"/>
      <c r="P30" s="6" t="n">
        <v>4500</v>
      </c>
      <c r="Q30" s="6" t="n">
        <v>0.75</v>
      </c>
      <c r="R30">
        <f>M30+IF(N30&gt;1,N(O30)*(N30-1),0)</f>
        <v/>
      </c>
      <c r="S30">
        <f>IFERROR(L30*MAX(N30,1)/R30*IF(ISBLANK(K25),1,K25),0)</f>
        <v/>
      </c>
      <c r="AB30" s="7" t="inlineStr">
        <is>
          <t>^Warhead_Bullet_Light</t>
        </is>
      </c>
    </row>
    <row r="31">
      <c r="B31" s="7" t="inlineStr">
        <is>
          <t xml:space="preserve">  ↳ asianalliance_asianmilitia_shotgun_elite</t>
        </is>
      </c>
      <c r="C31" s="7" t="inlineStr">
        <is>
          <t>Armament@GARRISONEDELITE</t>
        </is>
      </c>
      <c r="L31" s="6" t="n">
        <v>6000</v>
      </c>
      <c r="M31" s="6" t="n">
        <v>50</v>
      </c>
      <c r="N31" s="6" t="n">
        <v>2</v>
      </c>
      <c r="O31" s="6" t="n">
        <v>3</v>
      </c>
      <c r="P31" s="6" t="n">
        <v>5500</v>
      </c>
      <c r="Q31" s="6" t="n">
        <v>0.75</v>
      </c>
      <c r="R31">
        <f>M31+IF(N31&gt;1,N(O31)*(N31-1),0)</f>
        <v/>
      </c>
      <c r="S31">
        <f>IFERROR(L31*MAX(N31,1)/R31*IF(ISBLANK(K25),1,K25),0)</f>
        <v/>
      </c>
      <c r="AB31" s="7" t="inlineStr">
        <is>
          <t>^Warhead_Bullet_Light</t>
        </is>
      </c>
    </row>
    <row r="32">
      <c r="B32" s="7" t="inlineStr">
        <is>
          <t xml:space="preserve">  ↳ asianalliance_asianmilitia_grenade</t>
        </is>
      </c>
      <c r="C32" s="7" t="inlineStr">
        <is>
          <t>Armament@GRENADEG</t>
        </is>
      </c>
      <c r="L32" s="6" t="n">
        <v>8000</v>
      </c>
      <c r="M32" s="6" t="n">
        <v>92</v>
      </c>
      <c r="N32" s="6" t="n">
        <v>1</v>
      </c>
      <c r="O32" s="6" t="n"/>
      <c r="P32" s="6" t="n">
        <v>4500</v>
      </c>
      <c r="Q32" s="6" t="n">
        <v>1</v>
      </c>
      <c r="R32">
        <f>M32+IF(N32&gt;1,N(O32)*(N32-1),0)</f>
        <v/>
      </c>
      <c r="S32">
        <f>IFERROR(L32*MAX(N32,1)/R32*IF(ISBLANK(K25),1,K25),0)</f>
        <v/>
      </c>
      <c r="AB32" s="7" t="inlineStr">
        <is>
          <t>^Warhead_Concussion_Medium, ^Warhead_CannonHE_Medium</t>
        </is>
      </c>
    </row>
    <row r="33">
      <c r="B33" s="7" t="inlineStr">
        <is>
          <t xml:space="preserve">  ↳ asianalliance_asianmilitia_grenade_elite</t>
        </is>
      </c>
      <c r="C33" s="7" t="inlineStr">
        <is>
          <t>Armament@GRENADEGE</t>
        </is>
      </c>
      <c r="L33" s="6" t="n">
        <v>8000</v>
      </c>
      <c r="M33" s="6" t="n">
        <v>92</v>
      </c>
      <c r="N33" s="6" t="n">
        <v>2</v>
      </c>
      <c r="O33" s="6" t="n">
        <v>3</v>
      </c>
      <c r="P33" s="6" t="n">
        <v>5500</v>
      </c>
      <c r="Q33" s="6" t="n">
        <v>1</v>
      </c>
      <c r="R33">
        <f>M33+IF(N33&gt;1,N(O33)*(N33-1),0)</f>
        <v/>
      </c>
      <c r="S33">
        <f>IFERROR(L33*MAX(N33,1)/R33*IF(ISBLANK(K25),1,K25),0)</f>
        <v/>
      </c>
      <c r="AB33" s="7" t="inlineStr">
        <is>
          <t>^Warhead_Concussion_Medium, ^Warhead_CannonHE_Medium</t>
        </is>
      </c>
    </row>
    <row r="34">
      <c r="A34" t="inlineStr">
        <is>
          <t>redalert2mod</t>
        </is>
      </c>
      <c r="B34" t="inlineStr">
        <is>
          <t>asianalliance_asiantankkiller</t>
        </is>
      </c>
      <c r="C34" t="inlineStr">
        <is>
          <t>Asian Tank Killer</t>
        </is>
      </c>
      <c r="D34" s="6" t="inlineStr">
        <is>
          <t>AntiTankAntiAirInfantry</t>
        </is>
      </c>
      <c r="E34" s="6" t="n">
        <v>17000</v>
      </c>
      <c r="F34" s="6" t="n">
        <v>51</v>
      </c>
      <c r="G34" t="inlineStr">
        <is>
          <t>Flak</t>
        </is>
      </c>
      <c r="H34" s="6" t="n">
        <v>1</v>
      </c>
      <c r="I34" s="6" t="n">
        <v>0.5</v>
      </c>
      <c r="J34" s="6" t="n">
        <v>1</v>
      </c>
      <c r="K34" s="6" t="n"/>
      <c r="P34">
        <f>MAX(P35,P36,P37,P38)</f>
        <v/>
      </c>
      <c r="S34">
        <f>S35+S36+S37+S38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300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AsianTankKillerRocket</t>
        </is>
      </c>
      <c r="C35" s="7" t="inlineStr">
        <is>
          <t>Armament@PRIMARY</t>
        </is>
      </c>
      <c r="L35" s="6" t="n">
        <v>34000</v>
      </c>
      <c r="M35" s="6" t="n">
        <v>75</v>
      </c>
      <c r="N35" s="6" t="n">
        <v>1</v>
      </c>
      <c r="O35" s="6" t="n"/>
      <c r="P35" s="6" t="n">
        <v>6460</v>
      </c>
      <c r="Q35" s="6" t="n">
        <v>0.75</v>
      </c>
      <c r="R35">
        <f>M35+IF(N35&gt;1,N(O35)*(N35-1),0)</f>
        <v/>
      </c>
      <c r="S35">
        <f>IFERROR(L35*MAX(N35,1)/R35*IF(ISBLANK(K34),1,K34),0)</f>
        <v/>
      </c>
      <c r="AB35" s="7" t="inlineStr">
        <is>
          <t>^Warhead_MissileAP_Light</t>
        </is>
      </c>
    </row>
    <row r="36">
      <c r="B36" s="7" t="inlineStr">
        <is>
          <t xml:space="preserve">  ↳ AsianTankKillerRocket_upgrade</t>
        </is>
      </c>
      <c r="C36" s="7" t="inlineStr">
        <is>
          <t>Armament@Upgrade</t>
        </is>
      </c>
      <c r="L36" s="6" t="n">
        <v>34000</v>
      </c>
      <c r="M36" s="6" t="n">
        <v>75</v>
      </c>
      <c r="N36" s="6" t="n">
        <v>1</v>
      </c>
      <c r="O36" s="6" t="n"/>
      <c r="P36" s="6" t="n">
        <v>6460</v>
      </c>
      <c r="Q36" s="6" t="n">
        <v>0.75</v>
      </c>
      <c r="R36">
        <f>M36+IF(N36&gt;1,N(O36)*(N36-1),0)</f>
        <v/>
      </c>
      <c r="S36">
        <f>IFERROR(L36*MAX(N36,1)/R36*IF(ISBLANK(K34),1,K34),0)</f>
        <v/>
      </c>
      <c r="AB36" s="7" t="inlineStr">
        <is>
          <t>^Warhead_MissileAP_Light</t>
        </is>
      </c>
    </row>
    <row r="37">
      <c r="B37" s="7" t="inlineStr">
        <is>
          <t xml:space="preserve">  ↳ AsianTankKillerRocket_elite</t>
        </is>
      </c>
      <c r="C37" s="7" t="inlineStr">
        <is>
          <t>Armament@PRIMARYELITE</t>
        </is>
      </c>
      <c r="L37" s="6" t="n">
        <v>68000</v>
      </c>
      <c r="M37" s="6" t="n">
        <v>75</v>
      </c>
      <c r="N37" s="6" t="n">
        <v>1</v>
      </c>
      <c r="O37" s="6" t="n"/>
      <c r="P37" s="6" t="n">
        <v>7460</v>
      </c>
      <c r="Q37" s="6" t="n">
        <v>0.75</v>
      </c>
      <c r="R37">
        <f>M37+IF(N37&gt;1,N(O37)*(N37-1),0)</f>
        <v/>
      </c>
      <c r="S37">
        <f>IFERROR(L37*MAX(N37,1)/R37*IF(ISBLANK(K34),1,K34),0)</f>
        <v/>
      </c>
      <c r="AB37" s="7" t="inlineStr">
        <is>
          <t>^Warhead_MissileAP_Light</t>
        </is>
      </c>
    </row>
    <row r="38">
      <c r="B38" s="7" t="inlineStr">
        <is>
          <t xml:space="preserve">  ↳ AsianTankKillerRocket_upgrade_elite</t>
        </is>
      </c>
      <c r="C38" s="7" t="inlineStr">
        <is>
          <t>Armament@PRIMARYELITEUpgrade</t>
        </is>
      </c>
      <c r="L38" s="6" t="n">
        <v>68000</v>
      </c>
      <c r="M38" s="6" t="n">
        <v>75</v>
      </c>
      <c r="N38" s="6" t="n">
        <v>1</v>
      </c>
      <c r="O38" s="6" t="n"/>
      <c r="P38" s="6" t="n">
        <v>7460</v>
      </c>
      <c r="Q38" s="6" t="n">
        <v>0.75</v>
      </c>
      <c r="R38">
        <f>M38+IF(N38&gt;1,N(O38)*(N38-1),0)</f>
        <v/>
      </c>
      <c r="S38">
        <f>IFERROR(L38*MAX(N38,1)/R38*IF(ISBLANK(K34),1,K34),0)</f>
        <v/>
      </c>
      <c r="AB38" s="7" t="inlineStr">
        <is>
          <t>^Warhead_MissileAP_Light</t>
        </is>
      </c>
    </row>
    <row r="39">
      <c r="B39" s="7" t="inlineStr">
        <is>
          <t xml:space="preserve">  ↳ AsianTankKillerRocket</t>
        </is>
      </c>
      <c r="C39" s="7" t="inlineStr">
        <is>
          <t>Armament@GARRISONED</t>
        </is>
      </c>
      <c r="L39" s="6" t="n">
        <v>34000</v>
      </c>
      <c r="M39" s="6" t="n">
        <v>75</v>
      </c>
      <c r="N39" s="6" t="n">
        <v>1</v>
      </c>
      <c r="O39" s="6" t="n"/>
      <c r="P39" s="6" t="n">
        <v>6460</v>
      </c>
      <c r="Q39" s="6" t="n">
        <v>0.75</v>
      </c>
      <c r="R39">
        <f>M39+IF(N39&gt;1,N(O39)*(N39-1),0)</f>
        <v/>
      </c>
      <c r="S39">
        <f>IFERROR(L39*MAX(N39,1)/R39*IF(ISBLANK(K34),1,K34),0)</f>
        <v/>
      </c>
      <c r="AB39" s="7" t="inlineStr">
        <is>
          <t>^Warhead_MissileAP_Light</t>
        </is>
      </c>
    </row>
    <row r="40">
      <c r="B40" s="7" t="inlineStr">
        <is>
          <t xml:space="preserve">  ↳ AsianTankKillerRocket_upgrade</t>
        </is>
      </c>
      <c r="C40" s="7" t="inlineStr">
        <is>
          <t>Armament@GARRISONEDUpgrade</t>
        </is>
      </c>
      <c r="L40" s="6" t="n">
        <v>34000</v>
      </c>
      <c r="M40" s="6" t="n">
        <v>75</v>
      </c>
      <c r="N40" s="6" t="n">
        <v>1</v>
      </c>
      <c r="O40" s="6" t="n"/>
      <c r="P40" s="6" t="n">
        <v>6460</v>
      </c>
      <c r="Q40" s="6" t="n">
        <v>0.75</v>
      </c>
      <c r="R40">
        <f>M40+IF(N40&gt;1,N(O40)*(N40-1),0)</f>
        <v/>
      </c>
      <c r="S40">
        <f>IFERROR(L40*MAX(N40,1)/R40*IF(ISBLANK(K34),1,K34),0)</f>
        <v/>
      </c>
      <c r="AB40" s="7" t="inlineStr">
        <is>
          <t>^Warhead_MissileAP_Light</t>
        </is>
      </c>
    </row>
    <row r="41">
      <c r="B41" s="7" t="inlineStr">
        <is>
          <t xml:space="preserve">  ↳ AsianTankKillerRocket_elite</t>
        </is>
      </c>
      <c r="C41" s="7" t="inlineStr">
        <is>
          <t>Armament@GARRISONEDELITE</t>
        </is>
      </c>
      <c r="L41" s="6" t="n">
        <v>68000</v>
      </c>
      <c r="M41" s="6" t="n">
        <v>75</v>
      </c>
      <c r="N41" s="6" t="n">
        <v>1</v>
      </c>
      <c r="O41" s="6" t="n"/>
      <c r="P41" s="6" t="n">
        <v>7460</v>
      </c>
      <c r="Q41" s="6" t="n">
        <v>0.75</v>
      </c>
      <c r="R41">
        <f>M41+IF(N41&gt;1,N(O41)*(N41-1),0)</f>
        <v/>
      </c>
      <c r="S41">
        <f>IFERROR(L41*MAX(N41,1)/R41*IF(ISBLANK(K34),1,K34),0)</f>
        <v/>
      </c>
      <c r="AB41" s="7" t="inlineStr">
        <is>
          <t>^Warhead_MissileAP_Light</t>
        </is>
      </c>
    </row>
    <row r="42">
      <c r="B42" s="7" t="inlineStr">
        <is>
          <t xml:space="preserve">  ↳ AsianTankKillerRocket_upgrade_elite</t>
        </is>
      </c>
      <c r="C42" s="7" t="inlineStr">
        <is>
          <t>Armament@GARRISONEDELITEUpgrade</t>
        </is>
      </c>
      <c r="L42" s="6" t="n">
        <v>68000</v>
      </c>
      <c r="M42" s="6" t="n">
        <v>75</v>
      </c>
      <c r="N42" s="6" t="n">
        <v>1</v>
      </c>
      <c r="O42" s="6" t="n"/>
      <c r="P42" s="6" t="n">
        <v>7460</v>
      </c>
      <c r="Q42" s="6" t="n">
        <v>0.75</v>
      </c>
      <c r="R42">
        <f>M42+IF(N42&gt;1,N(O42)*(N42-1),0)</f>
        <v/>
      </c>
      <c r="S42">
        <f>IFERROR(L42*MAX(N42,1)/R42*IF(ISBLANK(K34),1,K34),0)</f>
        <v/>
      </c>
      <c r="AB42" s="7" t="inlineStr">
        <is>
          <t>^Warhead_MissileAP_Light</t>
        </is>
      </c>
    </row>
    <row r="43">
      <c r="A43" t="inlineStr">
        <is>
          <t>redalert2mod</t>
        </is>
      </c>
      <c r="B43" t="inlineStr">
        <is>
          <t>asianalliance_engineer</t>
        </is>
      </c>
      <c r="C43" t="inlineStr">
        <is>
          <t>Engineer</t>
        </is>
      </c>
      <c r="D43" s="6" t="inlineStr">
        <is>
          <t>Infantry</t>
        </is>
      </c>
      <c r="E43" s="6" t="n">
        <v>5000</v>
      </c>
      <c r="F43" s="6" t="n">
        <v>50</v>
      </c>
      <c r="G43" t="inlineStr">
        <is>
          <t>None</t>
        </is>
      </c>
      <c r="H43" s="6" t="n">
        <v>1</v>
      </c>
      <c r="I43" s="6" t="n">
        <v>1</v>
      </c>
      <c r="J43" s="6" t="n">
        <v>1</v>
      </c>
      <c r="K43" s="6" t="n"/>
      <c r="X43" s="6" t="n">
        <v>500</v>
      </c>
    </row>
    <row r="44">
      <c r="B44" s="7" t="inlineStr">
        <is>
          <t xml:space="preserve">  ↳ DefuseKit</t>
        </is>
      </c>
      <c r="C44" s="7" t="inlineStr">
        <is>
          <t>Armament@defuse</t>
        </is>
      </c>
      <c r="L44" s="6" t="n"/>
      <c r="M44" s="6" t="n">
        <v>20</v>
      </c>
      <c r="N44" s="6" t="n">
        <v>1</v>
      </c>
      <c r="O44" s="6" t="n"/>
      <c r="P44" s="6" t="n">
        <v>1536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^RemovesIvanBombs, ^RemovesTerrorDrone</t>
        </is>
      </c>
    </row>
    <row r="45">
      <c r="B45" s="7" t="inlineStr">
        <is>
          <t xml:space="preserve">  ↳ LeechDisinfect</t>
        </is>
      </c>
      <c r="C45" s="7" t="inlineStr">
        <is>
          <t>Armament@leechdisinfect</t>
        </is>
      </c>
      <c r="L45" s="6" t="n"/>
      <c r="M45" s="6" t="n">
        <v>100</v>
      </c>
      <c r="N45" s="6" t="n">
        <v>1</v>
      </c>
      <c r="O45" s="6" t="n"/>
      <c r="P45" s="6" t="n">
        <v>1536</v>
      </c>
      <c r="Q45" s="6" t="n">
        <v>1</v>
      </c>
      <c r="R45">
        <f>M45+IF(N45&gt;1,N(O45)*(N45-1),0)</f>
        <v/>
      </c>
      <c r="S45">
        <f>IFERROR(L45*MAX(N45,1)/R45*IF(ISBLANK(K43),1,K43),0)</f>
        <v/>
      </c>
      <c r="AB45" s="7" t="inlineStr"/>
    </row>
    <row r="46">
      <c r="A46" t="inlineStr">
        <is>
          <t>redalert2mod</t>
        </is>
      </c>
      <c r="B46" t="inlineStr">
        <is>
          <t>asianalliance_fanatic</t>
        </is>
      </c>
      <c r="C46" t="inlineStr">
        <is>
          <t>Fanatic</t>
        </is>
      </c>
      <c r="D46" s="6" t="inlineStr">
        <is>
          <t>CloseCombatInfantry</t>
        </is>
      </c>
      <c r="E46" s="6" t="n">
        <v>100000</v>
      </c>
      <c r="F46" s="6" t="n">
        <v>75</v>
      </c>
      <c r="G46" t="inlineStr">
        <is>
          <t>Plate</t>
        </is>
      </c>
      <c r="H46" s="6" t="n">
        <v>1</v>
      </c>
      <c r="I46" s="6" t="n">
        <v>1</v>
      </c>
      <c r="J46" s="6" t="n">
        <v>1</v>
      </c>
      <c r="K46" s="6" t="n">
        <v>0.01</v>
      </c>
      <c r="P46">
        <f>MAX(P47,P48,P49)</f>
        <v/>
      </c>
      <c r="S46">
        <f>S47+S48+S49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(((E46/50000)+(F46/75)+(S46/250)+((P46/3500)*J46))*200/4+(((E46/50000)*(F46/75))+(((P46/3500)*J46)*(S46/250)))*200/2+((E46/50000)*(F46/75)*((P46/3500)*J46)*(S46/250))*200)*(H46/1.0)/3</f>
        <v/>
      </c>
      <c r="X46" s="6" t="n">
        <v>500</v>
      </c>
      <c r="Y46">
        <f>IFERROR(W46-X46,"")</f>
        <v/>
      </c>
      <c r="Z46">
        <f>IFERROR(ABS(Y46)/MAX(X46,1),"")</f>
        <v/>
      </c>
      <c r="AA46">
        <f>IFERROR(ROUND(((3*X46-(((E46/50000)+(F46/75)+(S46/250))*200/4+((E46/50000)*(F46/75))*200/2)*(H46/1.0))/(200/4+((S46/250))*200/2+((E46/50000)*(F46/75)*(S46/250))*200)*(H46/1.0)*3500)/J46,-1),"")</f>
        <v/>
      </c>
    </row>
    <row r="47">
      <c r="B47" s="7" t="inlineStr">
        <is>
          <t xml:space="preserve">  ↳ asianalliance_fanatic_shotgun</t>
        </is>
      </c>
      <c r="C47" s="7" t="inlineStr">
        <is>
          <t>Armament@PRIMARY</t>
        </is>
      </c>
      <c r="L47" s="6" t="n">
        <v>4000</v>
      </c>
      <c r="M47" s="6" t="n">
        <v>70</v>
      </c>
      <c r="N47" s="6" t="n">
        <v>10</v>
      </c>
      <c r="O47" s="6" t="n">
        <v>0</v>
      </c>
      <c r="P47" s="6" t="n">
        <v>3500</v>
      </c>
      <c r="Q47" s="6" t="n">
        <v>0.875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^Warhead_Bullet_Light, ^Warhead_Bullet_Medium</t>
        </is>
      </c>
    </row>
    <row r="48">
      <c r="B48" s="7" t="inlineStr">
        <is>
          <t xml:space="preserve">  ↳ asianalliance_fanatic_shotgun_upgrade</t>
        </is>
      </c>
      <c r="C48" s="7" t="inlineStr">
        <is>
          <t>Armament@Upgrade</t>
        </is>
      </c>
      <c r="L48" s="6" t="n">
        <v>4000</v>
      </c>
      <c r="M48" s="6" t="n">
        <v>70</v>
      </c>
      <c r="N48" s="6" t="n">
        <v>13</v>
      </c>
      <c r="O48" s="6" t="n">
        <v>0</v>
      </c>
      <c r="P48" s="6" t="n">
        <v>3500</v>
      </c>
      <c r="Q48" s="6" t="n">
        <v>0.875</v>
      </c>
      <c r="R48">
        <f>M48+IF(N48&gt;1,N(O48)*(N48-1),0)</f>
        <v/>
      </c>
      <c r="S48">
        <f>IFERROR(L48*MAX(N48,1)/R48*IF(ISBLANK(K46),1,K46),0)</f>
        <v/>
      </c>
      <c r="AB48" s="7" t="inlineStr">
        <is>
          <t>^Warhead_Bullet_Light, ^Warhead_Bullet_Medium</t>
        </is>
      </c>
    </row>
    <row r="49">
      <c r="B49" s="7" t="inlineStr">
        <is>
          <t xml:space="preserve">  ↳ asianalliance_fanatic_shotgun_elite</t>
        </is>
      </c>
      <c r="C49" s="7" t="inlineStr">
        <is>
          <t>Armament@ELITE</t>
        </is>
      </c>
      <c r="L49" s="6" t="n">
        <v>4000</v>
      </c>
      <c r="M49" s="6" t="n">
        <v>70</v>
      </c>
      <c r="N49" s="6" t="n">
        <v>20</v>
      </c>
      <c r="O49" s="6" t="n">
        <v>0</v>
      </c>
      <c r="P49" s="6" t="n">
        <v>3500</v>
      </c>
      <c r="Q49" s="6" t="n">
        <v>0.875</v>
      </c>
      <c r="R49">
        <f>M49+IF(N49&gt;1,N(O49)*(N49-1),0)</f>
        <v/>
      </c>
      <c r="S49">
        <f>IFERROR(L49*MAX(N49,1)/R49*IF(ISBLANK(K46),1,K46),0)</f>
        <v/>
      </c>
      <c r="AB49" s="7" t="inlineStr">
        <is>
          <t>^Warhead_Bullet_Light, ^Warhead_Bullet_Medium</t>
        </is>
      </c>
    </row>
    <row r="50">
      <c r="B50" s="7" t="inlineStr">
        <is>
          <t xml:space="preserve">  ↳ asianalliance_fanatic_shotgun</t>
        </is>
      </c>
      <c r="C50" s="7" t="inlineStr">
        <is>
          <t>Armament@GARRISONED</t>
        </is>
      </c>
      <c r="L50" s="6" t="n">
        <v>4000</v>
      </c>
      <c r="M50" s="6" t="n">
        <v>70</v>
      </c>
      <c r="N50" s="6" t="n">
        <v>10</v>
      </c>
      <c r="O50" s="6" t="n">
        <v>0</v>
      </c>
      <c r="P50" s="6" t="n">
        <v>3500</v>
      </c>
      <c r="Q50" s="6" t="n">
        <v>0.875</v>
      </c>
      <c r="R50">
        <f>M50+IF(N50&gt;1,N(O50)*(N50-1),0)</f>
        <v/>
      </c>
      <c r="S50">
        <f>IFERROR(L50*MAX(N50,1)/R50*IF(ISBLANK(K46),1,K46),0)</f>
        <v/>
      </c>
      <c r="AB50" s="7" t="inlineStr">
        <is>
          <t>^Warhead_Bullet_Light, ^Warhead_Bullet_Medium</t>
        </is>
      </c>
    </row>
    <row r="51">
      <c r="B51" s="7" t="inlineStr">
        <is>
          <t xml:space="preserve">  ↳ asianalliance_fanatic_shotgun_upgrade</t>
        </is>
      </c>
      <c r="C51" s="7" t="inlineStr">
        <is>
          <t>Armament@GARRISONEDUpgrade</t>
        </is>
      </c>
      <c r="L51" s="6" t="n">
        <v>4000</v>
      </c>
      <c r="M51" s="6" t="n">
        <v>70</v>
      </c>
      <c r="N51" s="6" t="n">
        <v>13</v>
      </c>
      <c r="O51" s="6" t="n">
        <v>0</v>
      </c>
      <c r="P51" s="6" t="n">
        <v>3500</v>
      </c>
      <c r="Q51" s="6" t="n">
        <v>0.875</v>
      </c>
      <c r="R51">
        <f>M51+IF(N51&gt;1,N(O51)*(N51-1),0)</f>
        <v/>
      </c>
      <c r="S51">
        <f>IFERROR(L51*MAX(N51,1)/R51*IF(ISBLANK(K46),1,K46),0)</f>
        <v/>
      </c>
      <c r="AB51" s="7" t="inlineStr">
        <is>
          <t>^Warhead_Bullet_Light, ^Warhead_Bullet_Medium</t>
        </is>
      </c>
    </row>
    <row r="52">
      <c r="B52" s="7" t="inlineStr">
        <is>
          <t xml:space="preserve">  ↳ asianalliance_fanatic_shotgun_elite</t>
        </is>
      </c>
      <c r="C52" s="7" t="inlineStr">
        <is>
          <t>Armament@GARRISONEDELITE</t>
        </is>
      </c>
      <c r="L52" s="6" t="n">
        <v>4000</v>
      </c>
      <c r="M52" s="6" t="n">
        <v>70</v>
      </c>
      <c r="N52" s="6" t="n">
        <v>20</v>
      </c>
      <c r="O52" s="6" t="n">
        <v>0</v>
      </c>
      <c r="P52" s="6" t="n">
        <v>3500</v>
      </c>
      <c r="Q52" s="6" t="n">
        <v>0.875</v>
      </c>
      <c r="R52">
        <f>M52+IF(N52&gt;1,N(O52)*(N52-1),0)</f>
        <v/>
      </c>
      <c r="S52">
        <f>IFERROR(L52*MAX(N52,1)/R52*IF(ISBLANK(K46),1,K46),0)</f>
        <v/>
      </c>
      <c r="AB52" s="7" t="inlineStr">
        <is>
          <t>^Warhead_Bullet_Light, ^Warhead_Bullet_Medium</t>
        </is>
      </c>
    </row>
    <row r="53">
      <c r="A53" t="inlineStr">
        <is>
          <t>redalert2mod</t>
        </is>
      </c>
      <c r="B53" t="inlineStr">
        <is>
          <t>asianalliance_japanesesamurai</t>
        </is>
      </c>
      <c r="C53" t="inlineStr">
        <is>
          <t>Japanese Samurai</t>
        </is>
      </c>
      <c r="D53" s="6" t="inlineStr">
        <is>
          <t>MeleeInfantry</t>
        </is>
      </c>
      <c r="E53" s="6" t="n">
        <v>40000</v>
      </c>
      <c r="F53" s="6" t="n">
        <v>72</v>
      </c>
      <c r="G53" t="inlineStr">
        <is>
          <t>Plate</t>
        </is>
      </c>
      <c r="H53" s="6" t="n">
        <v>0.75</v>
      </c>
      <c r="I53" s="6" t="n">
        <v>1</v>
      </c>
      <c r="J53" s="6" t="n">
        <v>1</v>
      </c>
      <c r="K53" s="6" t="n"/>
      <c r="P53">
        <f>MAX(P54,P55,P56)</f>
        <v/>
      </c>
      <c r="S53">
        <f>S54+S55+S56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350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AsianSamuraiSword1</t>
        </is>
      </c>
      <c r="C54" s="7" t="inlineStr">
        <is>
          <t>Armament@Sword1</t>
        </is>
      </c>
      <c r="L54" s="6" t="n">
        <v>20000</v>
      </c>
      <c r="M54" s="6" t="n">
        <v>40</v>
      </c>
      <c r="N54" s="6" t="n">
        <v>1</v>
      </c>
      <c r="O54" s="6" t="n"/>
      <c r="P54" s="6" t="n">
        <v>1579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^Warhead_Melee_Medium</t>
        </is>
      </c>
    </row>
    <row r="55">
      <c r="B55" s="7" t="inlineStr">
        <is>
          <t xml:space="preserve">  ↳ AsianSamuraiSword2</t>
        </is>
      </c>
      <c r="C55" s="7" t="inlineStr">
        <is>
          <t>Armament@Sword2</t>
        </is>
      </c>
      <c r="L55" s="6" t="n">
        <v>20000</v>
      </c>
      <c r="M55" s="6" t="n">
        <v>40</v>
      </c>
      <c r="N55" s="6" t="n">
        <v>2</v>
      </c>
      <c r="O55" s="6" t="n">
        <v>3</v>
      </c>
      <c r="P55" s="6" t="n">
        <v>1579</v>
      </c>
      <c r="Q55" s="6" t="n">
        <v>1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^Warhead_Melee_Medium</t>
        </is>
      </c>
    </row>
    <row r="56">
      <c r="B56" s="7" t="inlineStr">
        <is>
          <t xml:space="preserve">  ↳ AsianSamuraiSword3</t>
        </is>
      </c>
      <c r="C56" s="7" t="inlineStr">
        <is>
          <t>Armament@Sword3</t>
        </is>
      </c>
      <c r="L56" s="6" t="n">
        <v>20000</v>
      </c>
      <c r="M56" s="6" t="n">
        <v>40</v>
      </c>
      <c r="N56" s="6" t="n">
        <v>3</v>
      </c>
      <c r="O56" s="6" t="n">
        <v>3</v>
      </c>
      <c r="P56" s="6" t="n">
        <v>1579</v>
      </c>
      <c r="Q56" s="6" t="n">
        <v>1</v>
      </c>
      <c r="R56">
        <f>M56+IF(N56&gt;1,N(O56)*(N56-1),0)</f>
        <v/>
      </c>
      <c r="S56">
        <f>IFERROR(L56*MAX(N56,1)/R56*IF(ISBLANK(K53),1,K53),0)</f>
        <v/>
      </c>
      <c r="AB56" s="7" t="inlineStr">
        <is>
          <t>^Warhead_Melee_Medium</t>
        </is>
      </c>
    </row>
    <row r="57">
      <c r="A57" t="inlineStr">
        <is>
          <t>redalert2mod</t>
        </is>
      </c>
      <c r="B57" t="inlineStr">
        <is>
          <t>asianalliance_plasmatrooper</t>
        </is>
      </c>
      <c r="C57" t="inlineStr">
        <is>
          <t>Plasma Trooper</t>
        </is>
      </c>
      <c r="D57" s="6" t="inlineStr">
        <is>
          <t>HeavyInfantry</t>
        </is>
      </c>
      <c r="E57" s="6" t="n">
        <v>64000</v>
      </c>
      <c r="F57" s="6" t="n">
        <v>42</v>
      </c>
      <c r="G57" t="inlineStr">
        <is>
          <t>Plate</t>
        </is>
      </c>
      <c r="H57" s="6" t="n">
        <v>0.75</v>
      </c>
      <c r="I57" s="6" t="n">
        <v>0.8</v>
      </c>
      <c r="J57" s="6" t="n">
        <v>1</v>
      </c>
      <c r="K57" s="6" t="n"/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500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AsianSinglePlasma</t>
        </is>
      </c>
      <c r="C58" s="7" t="inlineStr">
        <is>
          <t>Armament@PRIMARY</t>
        </is>
      </c>
      <c r="L58" s="6" t="n">
        <v>16000</v>
      </c>
      <c r="M58" s="6" t="n">
        <v>34</v>
      </c>
      <c r="N58" s="6" t="n">
        <v>1</v>
      </c>
      <c r="O58" s="6" t="n"/>
      <c r="P58" s="6" t="n">
        <v>5190</v>
      </c>
      <c r="Q58" s="6" t="n">
        <v>1.125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^Warhead_CannonHE_Medium, ^Warhead_CannonHE_Heavy</t>
        </is>
      </c>
    </row>
    <row r="59">
      <c r="B59" s="7" t="inlineStr">
        <is>
          <t xml:space="preserve">  ↳ AsianSinglePlasma_elite</t>
        </is>
      </c>
      <c r="C59" s="7" t="inlineStr">
        <is>
          <t>Armament@ELITE</t>
        </is>
      </c>
      <c r="L59" s="6" t="n">
        <v>16000</v>
      </c>
      <c r="M59" s="6" t="n">
        <v>34</v>
      </c>
      <c r="N59" s="6" t="n">
        <v>2</v>
      </c>
      <c r="O59" s="6" t="n">
        <v>3</v>
      </c>
      <c r="P59" s="6" t="n">
        <v>5836</v>
      </c>
      <c r="Q59" s="6" t="n">
        <v>1.125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^Warhead_CannonHE_Medium, ^Warhead_CannonHE_Heavy</t>
        </is>
      </c>
    </row>
    <row r="60">
      <c r="B60" s="7" t="inlineStr">
        <is>
          <t xml:space="preserve">  ↳ AsianSinglePlasma</t>
        </is>
      </c>
      <c r="C60" s="7" t="inlineStr">
        <is>
          <t>Armament@GARRISONED</t>
        </is>
      </c>
      <c r="L60" s="6" t="n">
        <v>16000</v>
      </c>
      <c r="M60" s="6" t="n">
        <v>34</v>
      </c>
      <c r="N60" s="6" t="n">
        <v>1</v>
      </c>
      <c r="O60" s="6" t="n"/>
      <c r="P60" s="6" t="n">
        <v>5190</v>
      </c>
      <c r="Q60" s="6" t="n">
        <v>1.125</v>
      </c>
      <c r="R60">
        <f>M60+IF(N60&gt;1,N(O60)*(N60-1),0)</f>
        <v/>
      </c>
      <c r="S60">
        <f>IFERROR(L60*MAX(N60,1)/R60*IF(ISBLANK(K57),1,K57),0)</f>
        <v/>
      </c>
      <c r="AB60" s="7" t="inlineStr">
        <is>
          <t>^Warhead_CannonHE_Medium, ^Warhead_CannonHE_Heavy</t>
        </is>
      </c>
    </row>
    <row r="61">
      <c r="B61" s="7" t="inlineStr">
        <is>
          <t xml:space="preserve">  ↳ AsianSinglePlasma_elite</t>
        </is>
      </c>
      <c r="C61" s="7" t="inlineStr">
        <is>
          <t>Armament@GARRISONEDELITE</t>
        </is>
      </c>
      <c r="L61" s="6" t="n">
        <v>16000</v>
      </c>
      <c r="M61" s="6" t="n">
        <v>34</v>
      </c>
      <c r="N61" s="6" t="n">
        <v>2</v>
      </c>
      <c r="O61" s="6" t="n">
        <v>3</v>
      </c>
      <c r="P61" s="6" t="n">
        <v>5836</v>
      </c>
      <c r="Q61" s="6" t="n">
        <v>1.125</v>
      </c>
      <c r="R61">
        <f>M61+IF(N61&gt;1,N(O61)*(N61-1),0)</f>
        <v/>
      </c>
      <c r="S61">
        <f>IFERROR(L61*MAX(N61,1)/R61*IF(ISBLANK(K57),1,K57),0)</f>
        <v/>
      </c>
      <c r="AB61" s="7" t="inlineStr">
        <is>
          <t>^Warhead_CannonHE_Medium, ^Warhead_CannonHE_Heavy</t>
        </is>
      </c>
    </row>
    <row r="62">
      <c r="A62" t="inlineStr">
        <is>
          <t>redalert2mod</t>
        </is>
      </c>
      <c r="B62" t="inlineStr">
        <is>
          <t>asianalliance_shinobi</t>
        </is>
      </c>
      <c r="C62" t="inlineStr">
        <is>
          <t>Shinobi</t>
        </is>
      </c>
      <c r="D62" s="6" t="inlineStr">
        <is>
          <t>SniperInfantry</t>
        </is>
      </c>
      <c r="E62" s="6" t="n">
        <v>20000</v>
      </c>
      <c r="F62" s="6" t="n">
        <v>60</v>
      </c>
      <c r="G62" t="inlineStr">
        <is>
          <t>Flak</t>
        </is>
      </c>
      <c r="H62" s="6" t="n">
        <v>1</v>
      </c>
      <c r="I62" s="6" t="n">
        <v>0.75</v>
      </c>
      <c r="J62" s="6" t="n">
        <v>1</v>
      </c>
      <c r="K62" s="6" t="n"/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750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AsianNinjaStar</t>
        </is>
      </c>
      <c r="C63" s="7" t="inlineStr">
        <is>
          <t>Armament@PRIMARY</t>
        </is>
      </c>
      <c r="L63" s="6" t="n">
        <v>20000</v>
      </c>
      <c r="M63" s="6" t="n">
        <v>25</v>
      </c>
      <c r="N63" s="6" t="n">
        <v>1</v>
      </c>
      <c r="O63" s="6" t="n"/>
      <c r="P63" s="6" t="n">
        <v>4560</v>
      </c>
      <c r="Q63" s="6" t="n">
        <v>1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^Warhead_Melee_Medium</t>
        </is>
      </c>
    </row>
    <row r="64">
      <c r="B64" s="7" t="inlineStr">
        <is>
          <t xml:space="preserve">  ↳ AsianNinjaStar_elite</t>
        </is>
      </c>
      <c r="C64" s="7" t="inlineStr">
        <is>
          <t>Armament@ELITE</t>
        </is>
      </c>
      <c r="L64" s="6" t="n">
        <v>20000</v>
      </c>
      <c r="M64" s="6" t="n">
        <v>25</v>
      </c>
      <c r="N64" s="6" t="n">
        <v>2</v>
      </c>
      <c r="O64" s="6" t="n">
        <v>3</v>
      </c>
      <c r="P64" s="6" t="n">
        <v>5560</v>
      </c>
      <c r="Q64" s="6" t="n">
        <v>1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^Warhead_Melee_Medium</t>
        </is>
      </c>
    </row>
    <row r="65">
      <c r="B65" s="7" t="inlineStr">
        <is>
          <t xml:space="preserve">  ↳ AsianNinjaStar</t>
        </is>
      </c>
      <c r="C65" s="7" t="inlineStr">
        <is>
          <t>Armament@GARRISONED</t>
        </is>
      </c>
      <c r="L65" s="6" t="n">
        <v>20000</v>
      </c>
      <c r="M65" s="6" t="n">
        <v>25</v>
      </c>
      <c r="N65" s="6" t="n">
        <v>1</v>
      </c>
      <c r="O65" s="6" t="n"/>
      <c r="P65" s="6" t="n">
        <v>4560</v>
      </c>
      <c r="Q65" s="6" t="n">
        <v>1</v>
      </c>
      <c r="R65">
        <f>M65+IF(N65&gt;1,N(O65)*(N65-1),0)</f>
        <v/>
      </c>
      <c r="S65">
        <f>IFERROR(L65*MAX(N65,1)/R65*IF(ISBLANK(K62),1,K62),0)</f>
        <v/>
      </c>
      <c r="AB65" s="7" t="inlineStr">
        <is>
          <t>^Warhead_Melee_Medium</t>
        </is>
      </c>
    </row>
    <row r="66">
      <c r="B66" s="7" t="inlineStr">
        <is>
          <t xml:space="preserve">  ↳ AsianNinjaStar_elite</t>
        </is>
      </c>
      <c r="C66" s="7" t="inlineStr">
        <is>
          <t>Armament@GARRISONEDELITE</t>
        </is>
      </c>
      <c r="L66" s="6" t="n">
        <v>20000</v>
      </c>
      <c r="M66" s="6" t="n">
        <v>25</v>
      </c>
      <c r="N66" s="6" t="n">
        <v>2</v>
      </c>
      <c r="O66" s="6" t="n">
        <v>3</v>
      </c>
      <c r="P66" s="6" t="n">
        <v>5560</v>
      </c>
      <c r="Q66" s="6" t="n">
        <v>1</v>
      </c>
      <c r="R66">
        <f>M66+IF(N66&gt;1,N(O66)*(N66-1),0)</f>
        <v/>
      </c>
      <c r="S66">
        <f>IFERROR(L66*MAX(N66,1)/R66*IF(ISBLANK(K62),1,K62),0)</f>
        <v/>
      </c>
      <c r="AB66" s="7" t="inlineStr">
        <is>
          <t>^Warhead_Melee_Medium</t>
        </is>
      </c>
    </row>
    <row r="67">
      <c r="A67" t="inlineStr">
        <is>
          <t>redalert2mod</t>
        </is>
      </c>
      <c r="B67" t="inlineStr">
        <is>
          <t>asianalliance_veteranarcher</t>
        </is>
      </c>
      <c r="C67" t="inlineStr">
        <is>
          <t>Veteran Archer</t>
        </is>
      </c>
      <c r="D67" s="6" t="inlineStr">
        <is>
          <t>AntiTankAntiAirInfantry</t>
        </is>
      </c>
      <c r="E67" s="6" t="n">
        <v>14000</v>
      </c>
      <c r="F67" s="6" t="n">
        <v>68</v>
      </c>
      <c r="G67" t="inlineStr">
        <is>
          <t>Flak</t>
        </is>
      </c>
      <c r="H67" s="6" t="n">
        <v>1</v>
      </c>
      <c r="I67" s="6" t="n">
        <v>0.5</v>
      </c>
      <c r="J67" s="6" t="n">
        <v>1</v>
      </c>
      <c r="K67" s="6" t="n"/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(((E67/20000)+(F67/70)+(S67/200)+((P67/7000)*J67))*500/4+(((E67/20000)*(F67/70))+(((P67/7000)*J67)*(S67/200)))*500/2+((E67/20000)*(F67/70)*((P67/7000)*J67)*(S67/200))*500)*(H67/1.0)/3</f>
        <v/>
      </c>
      <c r="X67" s="6" t="n">
        <v>450</v>
      </c>
      <c r="Y67">
        <f>IFERROR(W67-X67,"")</f>
        <v/>
      </c>
      <c r="Z67">
        <f>IFERROR(ABS(Y67)/MAX(X67,1),"")</f>
        <v/>
      </c>
      <c r="AA67">
        <f>IFERROR(ROUND(((3*X67-(((E67/20000)+(F67/70)+(S67/200))*500/4+((E67/20000)*(F67/70))*500/2)*(H67/1.0))/(500/4+((S67/200))*500/2+((E67/20000)*(F67/70)*(S67/200))*500)*(H67/1.0)*7000)/J67,-1),"")</f>
        <v/>
      </c>
    </row>
    <row r="68">
      <c r="B68" s="7" t="inlineStr">
        <is>
          <t xml:space="preserve">  ↳ AsianMaidenBow</t>
        </is>
      </c>
      <c r="C68" s="7" t="inlineStr">
        <is>
          <t>Armament@PRIMARY</t>
        </is>
      </c>
      <c r="L68" s="6" t="n">
        <v>12000</v>
      </c>
      <c r="M68" s="6" t="n">
        <v>68</v>
      </c>
      <c r="N68" s="6" t="n">
        <v>3</v>
      </c>
      <c r="O68" s="6" t="n">
        <v>0</v>
      </c>
      <c r="P68" s="6" t="n">
        <v>6740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AsianPhotonCannon, ^Grenade, ^ArrowWeapon</t>
        </is>
      </c>
    </row>
    <row r="69">
      <c r="B69" s="7" t="inlineStr">
        <is>
          <t xml:space="preserve">  ↳ AsianMaidenBow_elite</t>
        </is>
      </c>
      <c r="C69" s="7" t="inlineStr">
        <is>
          <t>Armament@ELITE</t>
        </is>
      </c>
      <c r="L69" s="6" t="n">
        <v>12000</v>
      </c>
      <c r="M69" s="6" t="n">
        <v>68</v>
      </c>
      <c r="N69" s="6" t="n">
        <v>6</v>
      </c>
      <c r="O69" s="6" t="n">
        <v>0</v>
      </c>
      <c r="P69" s="6" t="n">
        <v>7740</v>
      </c>
      <c r="Q69" s="6" t="n">
        <v>1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AsianMaidenBow</t>
        </is>
      </c>
    </row>
    <row r="70">
      <c r="B70" s="7" t="inlineStr">
        <is>
          <t xml:space="preserve">  ↳ AsianMaidenBow</t>
        </is>
      </c>
      <c r="C70" s="7" t="inlineStr">
        <is>
          <t>Armament@GARRISONED</t>
        </is>
      </c>
      <c r="L70" s="6" t="n">
        <v>12000</v>
      </c>
      <c r="M70" s="6" t="n">
        <v>68</v>
      </c>
      <c r="N70" s="6" t="n">
        <v>3</v>
      </c>
      <c r="O70" s="6" t="n">
        <v>0</v>
      </c>
      <c r="P70" s="6" t="n">
        <v>6740</v>
      </c>
      <c r="Q70" s="6" t="n">
        <v>1</v>
      </c>
      <c r="R70">
        <f>M70+IF(N70&gt;1,N(O70)*(N70-1),0)</f>
        <v/>
      </c>
      <c r="S70">
        <f>IFERROR(L70*MAX(N70,1)/R70*IF(ISBLANK(K67),1,K67),0)</f>
        <v/>
      </c>
      <c r="AB70" s="7" t="inlineStr">
        <is>
          <t>AsianPhotonCannon, ^Grenade, ^ArrowWeapon</t>
        </is>
      </c>
    </row>
    <row r="71">
      <c r="B71" s="7" t="inlineStr">
        <is>
          <t xml:space="preserve">  ↳ AsianMaidenBow_elite</t>
        </is>
      </c>
      <c r="C71" s="7" t="inlineStr">
        <is>
          <t>Armament@GARRISONEDELITE</t>
        </is>
      </c>
      <c r="L71" s="6" t="n">
        <v>12000</v>
      </c>
      <c r="M71" s="6" t="n">
        <v>68</v>
      </c>
      <c r="N71" s="6" t="n">
        <v>6</v>
      </c>
      <c r="O71" s="6" t="n">
        <v>0</v>
      </c>
      <c r="P71" s="6" t="n">
        <v>7740</v>
      </c>
      <c r="Q71" s="6" t="n">
        <v>1</v>
      </c>
      <c r="R71">
        <f>M71+IF(N71&gt;1,N(O71)*(N71-1),0)</f>
        <v/>
      </c>
      <c r="S71">
        <f>IFERROR(L71*MAX(N71,1)/R71*IF(ISBLANK(K67),1,K67),0)</f>
        <v/>
      </c>
      <c r="AB71" s="7" t="inlineStr">
        <is>
          <t>AsianMaidenBow</t>
        </is>
      </c>
    </row>
    <row r="72">
      <c r="A72" s="4" t="inlineStr">
        <is>
          <t>VEHICLES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t="inlineStr">
        <is>
          <t>redalert2mod</t>
        </is>
      </c>
      <c r="B73" t="inlineStr">
        <is>
          <t>asianalliance_asianflametank</t>
        </is>
      </c>
      <c r="C73" t="inlineStr">
        <is>
          <t>Asian Flame Tank</t>
        </is>
      </c>
      <c r="D73" s="6" t="inlineStr">
        <is>
          <t>LineBreaker</t>
        </is>
      </c>
      <c r="E73" s="6" t="n">
        <v>85000</v>
      </c>
      <c r="F73" s="6" t="n">
        <v>85</v>
      </c>
      <c r="G73" t="inlineStr">
        <is>
          <t>Superheavy</t>
        </is>
      </c>
      <c r="H73" s="6" t="n">
        <v>0.8683999999999999</v>
      </c>
      <c r="I73" s="6" t="n">
        <v>1</v>
      </c>
      <c r="J73" s="6" t="n">
        <v>1</v>
      </c>
      <c r="K73" s="6" t="n">
        <v>0.0075</v>
      </c>
      <c r="P73">
        <f>MAX(P74,P75)</f>
        <v/>
      </c>
      <c r="S73">
        <f>S74+S75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(((E73/750000)+(F73/80)+(S73/1600)+((P73/2500)*J73))*1600/4+(((E73/750000)*(F73/80))+(((P73/2500)*J73)*(S73/1600)))*1600/2+((E73/750000)*(F73/80)*((P73/2500)*J73)*(S73/1600))*1600)*(H73/1.0)/3</f>
        <v/>
      </c>
      <c r="X73" s="6" t="n">
        <v>1300</v>
      </c>
      <c r="Y73">
        <f>IFERROR(W73-X73,"")</f>
        <v/>
      </c>
      <c r="Z73">
        <f>IFERROR(ABS(Y73)/MAX(X73,1),"")</f>
        <v/>
      </c>
      <c r="AA73">
        <f>IFERROR(ROUND(((3*X73-(((E73/750000)+(F73/80)+(S73/1600))*1600/4+((E73/750000)*(F73/80))*1600/2)*(H73/1.0))/(1600/4+((S73/1600))*1600/2+((E73/750000)*(F73/80)*(S73/1600))*1600)*(H73/1.0)*2500)/J73,-1),"")</f>
        <v/>
      </c>
    </row>
    <row r="74">
      <c r="B74" s="7" t="inlineStr">
        <is>
          <t xml:space="preserve">  ↳ AsianFlamerTank</t>
        </is>
      </c>
      <c r="C74" s="7" t="inlineStr">
        <is>
          <t>Armament@AG</t>
        </is>
      </c>
      <c r="L74" s="6" t="n">
        <v>4000</v>
      </c>
      <c r="M74" s="6" t="n">
        <v>25</v>
      </c>
      <c r="N74" s="6" t="n">
        <v>6</v>
      </c>
      <c r="O74" s="6" t="n">
        <v>3</v>
      </c>
      <c r="P74" s="6" t="n">
        <v>3700</v>
      </c>
      <c r="Q74" s="6" t="n">
        <v>0.75</v>
      </c>
      <c r="R74">
        <f>M74+IF(N74&gt;1,N(O74)*(N74-1),0)</f>
        <v/>
      </c>
      <c r="S74">
        <f>IFERROR(L74*MAX(N74,1)/R74*IF(ISBLANK(K73),1,K73),0)</f>
        <v/>
      </c>
      <c r="AB74" s="7" t="inlineStr">
        <is>
          <t>^Warhead_Flame_Light</t>
        </is>
      </c>
    </row>
    <row r="75">
      <c r="B75" s="7" t="inlineStr">
        <is>
          <t xml:space="preserve">  ↳ AsianFlamerTank_elite</t>
        </is>
      </c>
      <c r="C75" s="7" t="inlineStr">
        <is>
          <t>Armament@ELITE</t>
        </is>
      </c>
      <c r="L75" s="6" t="n">
        <v>4000</v>
      </c>
      <c r="M75" s="6" t="n">
        <v>25</v>
      </c>
      <c r="N75" s="6" t="n">
        <v>12</v>
      </c>
      <c r="O75" s="6" t="n">
        <v>3</v>
      </c>
      <c r="P75" s="6" t="n">
        <v>4700</v>
      </c>
      <c r="Q75" s="6" t="n">
        <v>0.75</v>
      </c>
      <c r="R75">
        <f>M75+IF(N75&gt;1,N(O75)*(N75-1),0)</f>
        <v/>
      </c>
      <c r="S75">
        <f>IFERROR(L75*MAX(N75,1)/R75*IF(ISBLANK(K73),1,K73),0)</f>
        <v/>
      </c>
      <c r="AB75" s="7" t="inlineStr">
        <is>
          <t>^Warhead_Flame_Light</t>
        </is>
      </c>
    </row>
    <row r="76">
      <c r="A76" t="inlineStr">
        <is>
          <t>redalert2mod</t>
        </is>
      </c>
      <c r="B76" t="inlineStr">
        <is>
          <t>asianalliance_asianmobileconstructionvehicle</t>
        </is>
      </c>
      <c r="C76" t="inlineStr">
        <is>
          <t>Asian Mobile Construction Vehicle</t>
        </is>
      </c>
      <c r="D76" s="6" t="inlineStr">
        <is>
          <t>SupportVehicle</t>
        </is>
      </c>
      <c r="E76" s="6" t="n">
        <v>300000</v>
      </c>
      <c r="F76" s="6" t="n">
        <v>75</v>
      </c>
      <c r="G76" t="inlineStr">
        <is>
          <t>Medium</t>
        </is>
      </c>
      <c r="H76" s="6" t="n">
        <v>0.7857</v>
      </c>
      <c r="I76" s="6" t="n">
        <v>1</v>
      </c>
      <c r="J76" s="6" t="n">
        <v>1</v>
      </c>
      <c r="K76" s="6" t="n"/>
      <c r="X76" s="6" t="n">
        <v>5000</v>
      </c>
    </row>
    <row r="77">
      <c r="A77" t="inlineStr">
        <is>
          <t>redalert2mod</t>
        </is>
      </c>
      <c r="B77" t="inlineStr">
        <is>
          <t>asianalliance_dragonfly</t>
        </is>
      </c>
      <c r="C77" t="inlineStr">
        <is>
          <t>Dragonfly</t>
        </is>
      </c>
      <c r="D77" s="6" t="inlineStr">
        <is>
          <t>SupportVehicle</t>
        </is>
      </c>
      <c r="E77" s="6" t="n">
        <v>32500</v>
      </c>
      <c r="F77" s="6" t="n">
        <v>100</v>
      </c>
      <c r="G77" t="inlineStr">
        <is>
          <t>Light</t>
        </is>
      </c>
      <c r="H77" s="6" t="n">
        <v>1</v>
      </c>
      <c r="I77" s="6" t="n">
        <v>1.25</v>
      </c>
      <c r="J77" s="6" t="n">
        <v>1.25</v>
      </c>
      <c r="K77" s="6" t="n"/>
      <c r="X77" s="6" t="n">
        <v>1200</v>
      </c>
    </row>
    <row r="78">
      <c r="A78" t="inlineStr">
        <is>
          <t>redalert2mod</t>
        </is>
      </c>
      <c r="B78" t="inlineStr">
        <is>
          <t>asianalliance_droneminer</t>
        </is>
      </c>
      <c r="C78" t="inlineStr">
        <is>
          <t>Drone Miner</t>
        </is>
      </c>
      <c r="D78" s="6" t="inlineStr">
        <is>
          <t>Harvester</t>
        </is>
      </c>
      <c r="E78" s="6" t="n">
        <v>25000</v>
      </c>
      <c r="F78" s="6" t="n">
        <v>125</v>
      </c>
      <c r="G78" t="inlineStr">
        <is>
          <t>Plate</t>
        </is>
      </c>
      <c r="H78" s="6" t="n">
        <v>1</v>
      </c>
      <c r="I78" s="6" t="n">
        <v>1</v>
      </c>
      <c r="J78" s="6" t="n">
        <v>1</v>
      </c>
      <c r="K78" s="6" t="n"/>
      <c r="X78" s="6" t="n">
        <v>250</v>
      </c>
    </row>
    <row r="79">
      <c r="A79" t="inlineStr">
        <is>
          <t>redalert2mod</t>
        </is>
      </c>
      <c r="B79" t="inlineStr">
        <is>
          <t>asianalliance_heavyrailguntank</t>
        </is>
      </c>
      <c r="C79" t="inlineStr">
        <is>
          <t>Heavy Railgun Tank</t>
        </is>
      </c>
      <c r="D79" s="6" t="inlineStr">
        <is>
          <t>FireSupport</t>
        </is>
      </c>
      <c r="E79" s="6" t="n">
        <v>250000</v>
      </c>
      <c r="F79" s="6" t="n">
        <v>50</v>
      </c>
      <c r="G79" t="inlineStr">
        <is>
          <t>Light</t>
        </is>
      </c>
      <c r="H79" s="6" t="n">
        <v>0.4853</v>
      </c>
      <c r="I79" s="6" t="n">
        <v>1</v>
      </c>
      <c r="J79" s="6" t="n">
        <v>1</v>
      </c>
      <c r="K79" s="6" t="n"/>
      <c r="P79">
        <f>MAX(P80,P81)</f>
        <v/>
      </c>
      <c r="S79">
        <f>S80+S81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(((E79/120000)+(F79/90)+(S79/2100)+((P79/10000)*J79))*1400/4+(((E79/120000)*(F79/90))+(((P79/10000)*J79)*(S79/2100)))*1400/2+((E79/120000)*(F79/90)*((P79/10000)*J79)*(S79/2100))*1400)*(H79/0.6735)/3</f>
        <v/>
      </c>
      <c r="X79" s="6" t="n">
        <v>2200</v>
      </c>
      <c r="Y79">
        <f>IFERROR(W79-X79,"")</f>
        <v/>
      </c>
      <c r="Z79">
        <f>IFERROR(ABS(Y79)/MAX(X79,1),"")</f>
        <v/>
      </c>
      <c r="AA79">
        <f>IFERROR(ROUND(((3*X79-(((E79/120000)+(F79/90)+(S79/2100))*1400/4+((E79/120000)*(F79/90))*1400/2)*(H79/0.6735))/(1400/4+((S79/2100))*1400/2+((E79/120000)*(F79/90)*(S79/2100))*1400)*(H79/0.6735)*10000)/J79,-1),"")</f>
        <v/>
      </c>
    </row>
    <row r="80">
      <c r="B80" s="7" t="inlineStr">
        <is>
          <t xml:space="preserve">  ↳ AsianRailTank2</t>
        </is>
      </c>
      <c r="C80" s="7" t="inlineStr">
        <is>
          <t>Armament@PRIMARY</t>
        </is>
      </c>
      <c r="L80" s="6" t="n">
        <v>36000</v>
      </c>
      <c r="M80" s="6" t="n">
        <v>75</v>
      </c>
      <c r="N80" s="6" t="n">
        <v>1</v>
      </c>
      <c r="O80" s="6" t="n"/>
      <c r="P80" s="6" t="n">
        <v>10000</v>
      </c>
      <c r="Q80" s="6" t="n">
        <v>1.25</v>
      </c>
      <c r="R80">
        <f>M80+IF(N80&gt;1,N(O80)*(N80-1),0)</f>
        <v/>
      </c>
      <c r="S80">
        <f>IFERROR(L80*MAX(N80,1)/R80*IF(ISBLANK(K79),1,K79),0)</f>
        <v/>
      </c>
      <c r="AB80" s="7" t="inlineStr">
        <is>
          <t>^Warhead_Railgun_Heavy</t>
        </is>
      </c>
    </row>
    <row r="81">
      <c r="B81" s="7" t="inlineStr">
        <is>
          <t xml:space="preserve">  ↳ AsianRailTank3</t>
        </is>
      </c>
      <c r="C81" s="7" t="inlineStr">
        <is>
          <t>Armament@ELITE</t>
        </is>
      </c>
      <c r="L81" s="6" t="n">
        <v>48000</v>
      </c>
      <c r="M81" s="6" t="n">
        <v>90</v>
      </c>
      <c r="N81" s="6" t="n">
        <v>1</v>
      </c>
      <c r="O81" s="6" t="n"/>
      <c r="P81" s="6" t="n">
        <v>11111</v>
      </c>
      <c r="Q81" s="6" t="n">
        <v>1.25</v>
      </c>
      <c r="R81">
        <f>M81+IF(N81&gt;1,N(O81)*(N81-1),0)</f>
        <v/>
      </c>
      <c r="S81">
        <f>IFERROR(L81*MAX(N81,1)/R81*IF(ISBLANK(K79),1,K79),0)</f>
        <v/>
      </c>
      <c r="AB81" s="7" t="inlineStr">
        <is>
          <t>^Warhead_Railgun_Heavy</t>
        </is>
      </c>
    </row>
    <row r="82">
      <c r="A82" t="inlineStr">
        <is>
          <t>redalert2mod</t>
        </is>
      </c>
      <c r="B82" t="inlineStr">
        <is>
          <t>asianalliance_howitzer</t>
        </is>
      </c>
      <c r="C82" t="inlineStr">
        <is>
          <t>Howitzer</t>
        </is>
      </c>
      <c r="D82" s="6" t="inlineStr">
        <is>
          <t>ArtilleryTank</t>
        </is>
      </c>
      <c r="E82" s="6" t="n">
        <v>40000</v>
      </c>
      <c r="F82" s="6" t="n">
        <v>60</v>
      </c>
      <c r="G82" t="inlineStr">
        <is>
          <t>Medium</t>
        </is>
      </c>
      <c r="H82" s="6" t="n">
        <v>0.375</v>
      </c>
      <c r="I82" s="6" t="n">
        <v>1</v>
      </c>
      <c r="J82" s="6" t="n">
        <v>1</v>
      </c>
      <c r="K82" s="6" t="n"/>
      <c r="P82">
        <f>MAX(P83,P84)</f>
        <v/>
      </c>
      <c r="S82">
        <f>S83+S84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(((E82/140000)+(F82/85)+(S82/525)+((P82/12000)*J82))*700/4+(((E82/140000)*(F82/85))+(((P82/12000)*J82)*(S82/525)))*700/2+((E82/140000)*(F82/85)*((P82/12000)*J82)*(S82/525))*700)*(H82/1.0)/3</f>
        <v/>
      </c>
      <c r="X82" s="6" t="n">
        <v>1600</v>
      </c>
      <c r="Y82">
        <f>IFERROR(W82-X82,"")</f>
        <v/>
      </c>
      <c r="Z82">
        <f>IFERROR(ABS(Y82)/MAX(X82,1),"")</f>
        <v/>
      </c>
      <c r="AA82">
        <f>IFERROR(ROUND(((3*X82-(((E82/140000)+(F82/85)+(S82/525))*700/4+((E82/140000)*(F82/85))*700/2)*(H82/1.0))/(700/4+((S82/525))*700/2+((E82/140000)*(F82/85)*(S82/525))*700)*(H82/1.0)*12000)/J82,-1),"")</f>
        <v/>
      </c>
    </row>
    <row r="83">
      <c r="B83" s="7" t="inlineStr">
        <is>
          <t xml:space="preserve">  ↳ AsianHowitzerCannon</t>
        </is>
      </c>
      <c r="C83" s="7" t="inlineStr">
        <is>
          <t>Armament</t>
        </is>
      </c>
      <c r="L83" s="6" t="n">
        <v>40000</v>
      </c>
      <c r="M83" s="6" t="n">
        <v>160</v>
      </c>
      <c r="N83" s="6" t="n">
        <v>1</v>
      </c>
      <c r="O83" s="6" t="n"/>
      <c r="P83" s="6" t="n">
        <v>16000</v>
      </c>
      <c r="Q83" s="6" t="n">
        <v>1.125</v>
      </c>
      <c r="R83">
        <f>M83+IF(N83&gt;1,N(O83)*(N83-1),0)</f>
        <v/>
      </c>
      <c r="S83">
        <f>IFERROR(L83*MAX(N83,1)/R83*IF(ISBLANK(K82),1,K82),0)</f>
        <v/>
      </c>
      <c r="AB83" s="7" t="inlineStr">
        <is>
          <t>^Warhead_CannonHE_Medium, ^Warhead_CannonHE_Heavy</t>
        </is>
      </c>
    </row>
    <row r="84">
      <c r="B84" s="7" t="inlineStr">
        <is>
          <t xml:space="preserve">  ↳ AsianHowitzerCannon_elite</t>
        </is>
      </c>
      <c r="C84" s="7" t="inlineStr">
        <is>
          <t>Armament@ELITE</t>
        </is>
      </c>
      <c r="L84" s="6" t="n">
        <v>40000</v>
      </c>
      <c r="M84" s="6" t="n">
        <v>160</v>
      </c>
      <c r="N84" s="6" t="n">
        <v>1</v>
      </c>
      <c r="O84" s="6" t="n"/>
      <c r="P84" s="6" t="n">
        <v>20000</v>
      </c>
      <c r="Q84" s="6" t="n">
        <v>1.125</v>
      </c>
      <c r="R84">
        <f>M84+IF(N84&gt;1,N(O84)*(N84-1),0)</f>
        <v/>
      </c>
      <c r="S84">
        <f>IFERROR(L84*MAX(N84,1)/R84*IF(ISBLANK(K82),1,K82),0)</f>
        <v/>
      </c>
      <c r="AB84" s="7" t="inlineStr">
        <is>
          <t>^Warhead_CannonHE_Medium, ^Warhead_CannonHE_Heavy</t>
        </is>
      </c>
    </row>
    <row r="85">
      <c r="A85" t="inlineStr">
        <is>
          <t>redalert2mod</t>
        </is>
      </c>
      <c r="B85" t="inlineStr">
        <is>
          <t>asianalliance_lynxtank</t>
        </is>
      </c>
      <c r="C85" t="inlineStr">
        <is>
          <t>Lynx Tank</t>
        </is>
      </c>
      <c r="D85" s="6" t="inlineStr">
        <is>
          <t>MainBattleTank</t>
        </is>
      </c>
      <c r="E85" s="6" t="n">
        <v>120000</v>
      </c>
      <c r="F85" s="6" t="n">
        <v>90</v>
      </c>
      <c r="G85" t="inlineStr">
        <is>
          <t>Heavy</t>
        </is>
      </c>
      <c r="H85" s="6" t="n">
        <v>1</v>
      </c>
      <c r="I85" s="6" t="n">
        <v>1</v>
      </c>
      <c r="J85" s="6" t="n">
        <v>1</v>
      </c>
      <c r="K85" s="6" t="n"/>
      <c r="P85">
        <f>MAX(P86,P87,P88,P89)</f>
        <v/>
      </c>
      <c r="S85">
        <f>S86+S87+S88+S89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(((E85/240000)+(F85/95)+(S85/600)+((P85/5500)*J85))*800/4+(((E85/240000)*(F85/95))+(((P85/5500)*J85)*(S85/600)))*800/2+((E85/240000)*(F85/95)*((P85/5500)*J85)*(S85/600))*800)*(H85/1.0)/3</f>
        <v/>
      </c>
      <c r="X85" s="6" t="n">
        <v>850</v>
      </c>
      <c r="Y85">
        <f>IFERROR(W85-X85,"")</f>
        <v/>
      </c>
      <c r="Z85">
        <f>IFERROR(ABS(Y85)/MAX(X85,1),"")</f>
        <v/>
      </c>
      <c r="AA85">
        <f>IFERROR(ROUND(((3*X85-(((E85/240000)+(F85/95)+(S85/600))*800/4+((E85/240000)*(F85/95))*800/2)*(H85/1.0))/(800/4+((S85/600))*800/2+((E85/240000)*(F85/95)*(S85/600))*800)*(H85/1.0)*5500)/J85,-1),"")</f>
        <v/>
      </c>
    </row>
    <row r="86">
      <c r="B86" s="7" t="inlineStr">
        <is>
          <t xml:space="preserve">  ↳ AsianLynxTankCannon</t>
        </is>
      </c>
      <c r="C86" s="7" t="inlineStr">
        <is>
          <t>Armament</t>
        </is>
      </c>
      <c r="L86" s="6" t="n">
        <v>12000</v>
      </c>
      <c r="M86" s="6" t="n">
        <v>55</v>
      </c>
      <c r="N86" s="6" t="n">
        <v>1</v>
      </c>
      <c r="O86" s="6" t="n"/>
      <c r="P86" s="6" t="n">
        <v>5357</v>
      </c>
      <c r="Q86" s="6" t="n">
        <v>1</v>
      </c>
      <c r="R86">
        <f>M86+IF(N86&gt;1,N(O86)*(N86-1),0)</f>
        <v/>
      </c>
      <c r="S86">
        <f>IFERROR(L86*MAX(N86,1)/R86*IF(ISBLANK(K85),1,K85),0)</f>
        <v/>
      </c>
      <c r="AB86" s="7" t="inlineStr">
        <is>
          <t>^Warhead_CannonHE_Medium</t>
        </is>
      </c>
    </row>
    <row r="87">
      <c r="B87" s="7" t="inlineStr">
        <is>
          <t xml:space="preserve">  ↳ AsianLynxTankCannon_elite</t>
        </is>
      </c>
      <c r="C87" s="7" t="inlineStr">
        <is>
          <t>Armament@elite</t>
        </is>
      </c>
      <c r="L87" s="6" t="n">
        <v>12000</v>
      </c>
      <c r="M87" s="6" t="n">
        <v>55</v>
      </c>
      <c r="N87" s="6" t="n">
        <v>2</v>
      </c>
      <c r="O87" s="6" t="n">
        <v>3</v>
      </c>
      <c r="P87" s="6" t="n">
        <v>6357</v>
      </c>
      <c r="Q87" s="6" t="n">
        <v>1</v>
      </c>
      <c r="R87">
        <f>M87+IF(N87&gt;1,N(O87)*(N87-1),0)</f>
        <v/>
      </c>
      <c r="S87">
        <f>IFERROR(L87*MAX(N87,1)/R87*IF(ISBLANK(K85),1,K85),0)</f>
        <v/>
      </c>
      <c r="AB87" s="7" t="inlineStr">
        <is>
          <t>^Warhead_CannonHE_Medium</t>
        </is>
      </c>
    </row>
    <row r="88">
      <c r="B88" s="7" t="inlineStr">
        <is>
          <t xml:space="preserve">  ↳ AsianLynxMG</t>
        </is>
      </c>
      <c r="C88" s="7" t="inlineStr">
        <is>
          <t>Armament@MG</t>
        </is>
      </c>
      <c r="L88" s="6" t="n">
        <v>4000</v>
      </c>
      <c r="M88" s="6" t="n">
        <v>51</v>
      </c>
      <c r="N88" s="6" t="n">
        <v>3</v>
      </c>
      <c r="O88" s="6" t="n">
        <v>2</v>
      </c>
      <c r="P88" s="6" t="n">
        <v>5357</v>
      </c>
      <c r="Q88" s="6" t="n">
        <v>0.875</v>
      </c>
      <c r="R88">
        <f>M88+IF(N88&gt;1,N(O88)*(N88-1),0)</f>
        <v/>
      </c>
      <c r="S88">
        <f>IFERROR(L88*MAX(N88,1)/R88*IF(ISBLANK(K85),1,K85),0)</f>
        <v/>
      </c>
      <c r="AB88" s="7" t="inlineStr">
        <is>
          <t>^Warhead_Bullet_Light, ^Warhead_Bullet_Medium</t>
        </is>
      </c>
    </row>
    <row r="89">
      <c r="B89" s="7" t="inlineStr">
        <is>
          <t xml:space="preserve">  ↳ AsianLynxMG_elite</t>
        </is>
      </c>
      <c r="C89" s="7" t="inlineStr">
        <is>
          <t>Armament@MGelite</t>
        </is>
      </c>
      <c r="L89" s="6" t="n">
        <v>4000</v>
      </c>
      <c r="M89" s="6" t="n">
        <v>51</v>
      </c>
      <c r="N89" s="6" t="n">
        <v>6</v>
      </c>
      <c r="O89" s="6" t="n">
        <v>2</v>
      </c>
      <c r="P89" s="6" t="n">
        <v>6357</v>
      </c>
      <c r="Q89" s="6" t="n">
        <v>0.875</v>
      </c>
      <c r="R89">
        <f>M89+IF(N89&gt;1,N(O89)*(N89-1),0)</f>
        <v/>
      </c>
      <c r="S89">
        <f>IFERROR(L89*MAX(N89,1)/R89*IF(ISBLANK(K85),1,K85),0)</f>
        <v/>
      </c>
      <c r="AB89" s="7" t="inlineStr">
        <is>
          <t>^Warhead_Bullet_Light, ^Warhead_Bullet_Medium</t>
        </is>
      </c>
    </row>
    <row r="90">
      <c r="A90" t="inlineStr">
        <is>
          <t>redalert2mod</t>
        </is>
      </c>
      <c r="B90" t="inlineStr">
        <is>
          <t>asianalliance_oiltruck</t>
        </is>
      </c>
      <c r="C90" t="inlineStr">
        <is>
          <t>Oil Truck</t>
        </is>
      </c>
      <c r="D90" s="6" t="inlineStr">
        <is>
          <t>Vehicle</t>
        </is>
      </c>
      <c r="E90" s="6" t="n">
        <v>20000</v>
      </c>
      <c r="F90" s="6" t="n">
        <v>100</v>
      </c>
      <c r="G90" t="inlineStr">
        <is>
          <t>Light</t>
        </is>
      </c>
      <c r="H90" s="6" t="n">
        <v>0.4459</v>
      </c>
      <c r="I90" s="6" t="n">
        <v>1</v>
      </c>
      <c r="J90" s="6" t="n">
        <v>1</v>
      </c>
      <c r="K90" s="6" t="n"/>
      <c r="X90" s="6" t="n">
        <v>1000</v>
      </c>
    </row>
    <row r="91">
      <c r="B91" s="7" t="inlineStr">
        <is>
          <t xml:space="preserve">  ↳ DemoTruckTargeting</t>
        </is>
      </c>
      <c r="C91" s="7" t="inlineStr">
        <is>
          <t>Armament@PRIMARY</t>
        </is>
      </c>
      <c r="L91" s="6" t="n"/>
      <c r="M91" s="6" t="n"/>
      <c r="N91" s="6" t="n">
        <v>1</v>
      </c>
      <c r="O91" s="6" t="n"/>
      <c r="P91" s="6" t="n">
        <v>2000</v>
      </c>
      <c r="Q91" s="6" t="n">
        <v>1</v>
      </c>
      <c r="R91">
        <f>M91+IF(N91&gt;1,N(O91)*(N91-1),0)</f>
        <v/>
      </c>
      <c r="S91">
        <f>IFERROR(L91*MAX(N91,1)/R91*IF(ISBLANK(K90),1,K90),0)</f>
        <v/>
      </c>
      <c r="AB91" s="7" t="inlineStr"/>
    </row>
    <row r="92">
      <c r="A92" t="inlineStr">
        <is>
          <t>redalert2mod</t>
        </is>
      </c>
      <c r="B92" t="inlineStr">
        <is>
          <t>asianalliance_pulverizer</t>
        </is>
      </c>
      <c r="C92" t="inlineStr">
        <is>
          <t>Pulverizer</t>
        </is>
      </c>
      <c r="D92" s="6" t="inlineStr">
        <is>
          <t>AntiAirVehicle</t>
        </is>
      </c>
      <c r="E92" s="6" t="n">
        <v>85000</v>
      </c>
      <c r="F92" s="6" t="n">
        <v>65</v>
      </c>
      <c r="G92" t="inlineStr">
        <is>
          <t>Medium</t>
        </is>
      </c>
      <c r="H92" s="6" t="n">
        <v>1</v>
      </c>
      <c r="I92" s="6" t="n">
        <v>1</v>
      </c>
      <c r="J92" s="6" t="n">
        <v>1.25</v>
      </c>
      <c r="K92" s="6" t="n"/>
      <c r="P92">
        <f>MAX(P93,P94)</f>
        <v/>
      </c>
      <c r="S92">
        <f>S93+S94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(((E92/170000)+(F92/110)+(S92/1250)+((P92/6000)*J92))*1000/4+(((E92/170000)*(F92/110))+(((P92/6000)*J92)*(S92/1250)))*1000/2+((E92/170000)*(F92/110)*((P92/6000)*J92)*(S92/1250))*1000)*(H92/1.0)/3</f>
        <v/>
      </c>
      <c r="X92" s="6" t="n">
        <v>1400</v>
      </c>
      <c r="Y92">
        <f>IFERROR(W92-X92,"")</f>
        <v/>
      </c>
      <c r="Z92">
        <f>IFERROR(ABS(Y92)/MAX(X92,1),"")</f>
        <v/>
      </c>
      <c r="AA92">
        <f>IFERROR(ROUND(((3*X92-(((E92/170000)+(F92/110)+(S92/1250))*1000/4+((E92/170000)*(F92/110))*1000/2)*(H92/1.0))/(1000/4+((S92/1250))*1000/2+((E92/170000)*(F92/110)*(S92/1250))*1000)*(H92/1.0)*6000)/J92,-1),"")</f>
        <v/>
      </c>
    </row>
    <row r="93">
      <c r="B93" s="7" t="inlineStr">
        <is>
          <t xml:space="preserve">  ↳ AsianPulverizerGatling</t>
        </is>
      </c>
      <c r="C93" s="7" t="inlineStr">
        <is>
          <t>Armament@1</t>
        </is>
      </c>
      <c r="L93" s="6" t="n">
        <v>6000</v>
      </c>
      <c r="M93" s="6" t="n">
        <v>12</v>
      </c>
      <c r="N93" s="6" t="n">
        <v>1</v>
      </c>
      <c r="O93" s="6" t="n"/>
      <c r="P93" s="6" t="n">
        <v>5517</v>
      </c>
      <c r="Q93" s="6" t="n">
        <v>1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^Warhead_Bullet_Light, ^Warhead_CannonHE_Heavy, ^Warhead_Bullet_Medium</t>
        </is>
      </c>
    </row>
    <row r="94">
      <c r="B94" s="7" t="inlineStr">
        <is>
          <t xml:space="preserve">  ↳ AsianPulverizerGatling</t>
        </is>
      </c>
      <c r="C94" s="7" t="inlineStr">
        <is>
          <t>Armament@2</t>
        </is>
      </c>
      <c r="L94" s="6" t="n">
        <v>6000</v>
      </c>
      <c r="M94" s="6" t="n">
        <v>12</v>
      </c>
      <c r="N94" s="6" t="n">
        <v>1</v>
      </c>
      <c r="O94" s="6" t="n"/>
      <c r="P94" s="6" t="n">
        <v>5517</v>
      </c>
      <c r="Q94" s="6" t="n">
        <v>1</v>
      </c>
      <c r="R94">
        <f>M94+IF(N94&gt;1,N(O94)*(N94-1),0)</f>
        <v/>
      </c>
      <c r="S94">
        <f>IFERROR(L94*MAX(N94,1)/R94*IF(ISBLANK(K92),1,K92),0)</f>
        <v/>
      </c>
      <c r="AB94" s="7" t="inlineStr">
        <is>
          <t>^Warhead_Bullet_Light, ^Warhead_CannonHE_Heavy, ^Warhead_Bullet_Medium</t>
        </is>
      </c>
    </row>
    <row r="95">
      <c r="A95" t="inlineStr">
        <is>
          <t>redalert2mod</t>
        </is>
      </c>
      <c r="B95" t="inlineStr">
        <is>
          <t>asianalliance_pulverizermecha</t>
        </is>
      </c>
      <c r="C95" t="inlineStr">
        <is>
          <t>Pulverizer Mecha</t>
        </is>
      </c>
      <c r="D95" s="6" t="inlineStr">
        <is>
          <t>Dreadnought</t>
        </is>
      </c>
      <c r="E95" s="6" t="n">
        <v>285000</v>
      </c>
      <c r="F95" s="6" t="n">
        <v>55</v>
      </c>
      <c r="G95" t="inlineStr">
        <is>
          <t>Superheavy</t>
        </is>
      </c>
      <c r="H95" s="6" t="n">
        <v>0.75</v>
      </c>
      <c r="I95" s="6" t="n">
        <v>1</v>
      </c>
      <c r="J95" s="6" t="n">
        <v>1.25</v>
      </c>
      <c r="K95" s="6" t="n"/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(((E95/1150000)+(F95/50)+(S95/3750)+((P95/7000)*J95))*3000/4+(((E95/1150000)*(F95/50))+(((P95/7000)*J95)*(S95/3750)))*3000/2+((E95/1150000)*(F95/50)*((P95/7000)*J95)*(S95/3750))*3000)*(H95/0.75)/3</f>
        <v/>
      </c>
      <c r="X95" s="6" t="n">
        <v>3000</v>
      </c>
      <c r="Y95">
        <f>IFERROR(W95-X95,"")</f>
        <v/>
      </c>
      <c r="Z95">
        <f>IFERROR(ABS(Y95)/MAX(X95,1),"")</f>
        <v/>
      </c>
      <c r="AA95">
        <f>IFERROR(ROUND(((3*X95-(((E95/1150000)+(F95/50)+(S95/3750))*3000/4+((E95/1150000)*(F95/50))*3000/2)*(H95/0.75))/(3000/4+((S95/3750))*3000/2+((E95/1150000)*(F95/50)*(S95/3750))*3000)*(H95/0.75)*7000)/J95,-1),"")</f>
        <v/>
      </c>
    </row>
    <row r="96">
      <c r="B96" s="7" t="inlineStr">
        <is>
          <t xml:space="preserve">  ↳ AsianPulverizerMechaGatling</t>
        </is>
      </c>
      <c r="C96" s="7" t="inlineStr">
        <is>
          <t>Armament@1</t>
        </is>
      </c>
      <c r="L96" s="6" t="n">
        <v>10000</v>
      </c>
      <c r="M96" s="6" t="n">
        <v>15</v>
      </c>
      <c r="N96" s="6" t="n">
        <v>1</v>
      </c>
      <c r="O96" s="6" t="n"/>
      <c r="P96" s="6" t="n">
        <v>7020</v>
      </c>
      <c r="Q96" s="6" t="n">
        <v>1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^Warhead_Bullet_Light, ^Warhead_CannonHE_Heavy, ^Warhead_Bullet_Medium</t>
        </is>
      </c>
    </row>
    <row r="97">
      <c r="B97" s="7" t="inlineStr">
        <is>
          <t xml:space="preserve">  ↳ AsianPulverizerMechaGatling</t>
        </is>
      </c>
      <c r="C97" s="7" t="inlineStr">
        <is>
          <t>Armament@2</t>
        </is>
      </c>
      <c r="L97" s="6" t="n">
        <v>10000</v>
      </c>
      <c r="M97" s="6" t="n">
        <v>15</v>
      </c>
      <c r="N97" s="6" t="n">
        <v>1</v>
      </c>
      <c r="O97" s="6" t="n"/>
      <c r="P97" s="6" t="n">
        <v>7020</v>
      </c>
      <c r="Q97" s="6" t="n">
        <v>1</v>
      </c>
      <c r="R97">
        <f>M97+IF(N97&gt;1,N(O97)*(N97-1),0)</f>
        <v/>
      </c>
      <c r="S97">
        <f>IFERROR(L97*MAX(N97,1)/R97*IF(ISBLANK(K95),1,K95),0)</f>
        <v/>
      </c>
      <c r="AB97" s="7" t="inlineStr">
        <is>
          <t>^Warhead_Bullet_Light, ^Warhead_CannonHE_Heavy, ^Warhead_Bullet_Medium</t>
        </is>
      </c>
    </row>
    <row r="98">
      <c r="A98" t="inlineStr">
        <is>
          <t>redalert2mod</t>
        </is>
      </c>
      <c r="B98" t="inlineStr">
        <is>
          <t>asianalliance_quasar</t>
        </is>
      </c>
      <c r="C98" t="inlineStr">
        <is>
          <t>Quasar</t>
        </is>
      </c>
      <c r="D98" s="6" t="inlineStr">
        <is>
          <t>LightTank</t>
        </is>
      </c>
      <c r="E98" s="6" t="n">
        <v>55000</v>
      </c>
      <c r="F98" s="6" t="n">
        <v>125</v>
      </c>
      <c r="G98" t="inlineStr">
        <is>
          <t>Medium</t>
        </is>
      </c>
      <c r="H98" s="6" t="n">
        <v>1</v>
      </c>
      <c r="I98" s="6" t="n">
        <v>1</v>
      </c>
      <c r="J98" s="6" t="n">
        <v>1</v>
      </c>
      <c r="K98" s="6" t="n"/>
      <c r="P98">
        <f>MAX(P99,P100,P101,P102)</f>
        <v/>
      </c>
      <c r="S98">
        <f>S99+S100+S101+S102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(((E98/100000)+(F98/125)+(S98/200)+((P98/5000)*J98))*400/4+(((E98/100000)*(F98/125))+(((P98/5000)*J98)*(S98/200)))*400/2+((E98/100000)*(F98/125)*((P98/5000)*J98)*(S98/200))*400)*(H98/1.0)/3</f>
        <v/>
      </c>
      <c r="X98" s="6" t="n">
        <v>900</v>
      </c>
      <c r="Y98">
        <f>IFERROR(W98-X98,"")</f>
        <v/>
      </c>
      <c r="Z98">
        <f>IFERROR(ABS(Y98)/MAX(X98,1),"")</f>
        <v/>
      </c>
      <c r="AA98">
        <f>IFERROR(ROUND(((3*X98-(((E98/100000)+(F98/125)+(S98/200))*400/4+((E98/100000)*(F98/125))*400/2)*(H98/1.0))/(400/4+((S98/200))*400/2+((E98/100000)*(F98/125)*(S98/200))*400)*(H98/1.0)*5000)/J98,-1),"")</f>
        <v/>
      </c>
    </row>
    <row r="99">
      <c r="B99" s="7" t="inlineStr">
        <is>
          <t xml:space="preserve">  ↳ AsianQuasarAG</t>
        </is>
      </c>
      <c r="C99" s="7" t="inlineStr">
        <is>
          <t>Armament@AG</t>
        </is>
      </c>
      <c r="L99" s="6" t="n">
        <v>8000</v>
      </c>
      <c r="M99" s="6" t="n">
        <v>33</v>
      </c>
      <c r="N99" s="6" t="n">
        <v>1</v>
      </c>
      <c r="O99" s="6" t="n"/>
      <c r="P99" s="6" t="n">
        <v>6000</v>
      </c>
      <c r="Q99" s="6" t="n">
        <v>1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AsianPhotonCannon</t>
        </is>
      </c>
    </row>
    <row r="100">
      <c r="B100" s="7" t="inlineStr">
        <is>
          <t xml:space="preserve">  ↳ AsianQuasarAG_EMP</t>
        </is>
      </c>
      <c r="C100" s="7" t="inlineStr">
        <is>
          <t>Armament@UpgradeAG</t>
        </is>
      </c>
      <c r="L100" s="6" t="n">
        <v>8000</v>
      </c>
      <c r="M100" s="6" t="n">
        <v>33</v>
      </c>
      <c r="N100" s="6" t="n">
        <v>1</v>
      </c>
      <c r="O100" s="6" t="n"/>
      <c r="P100" s="6" t="n">
        <v>6000</v>
      </c>
      <c r="Q100" s="6" t="n">
        <v>1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AsianQuasarAG</t>
        </is>
      </c>
    </row>
    <row r="101">
      <c r="B101" s="7" t="inlineStr">
        <is>
          <t xml:space="preserve">  ↳ AsianQuasar_AA</t>
        </is>
      </c>
      <c r="C101" s="7" t="inlineStr">
        <is>
          <t>Armament@AA</t>
        </is>
      </c>
      <c r="L101" s="6" t="n">
        <v>8000</v>
      </c>
      <c r="M101" s="6" t="n">
        <v>33</v>
      </c>
      <c r="N101" s="6" t="n">
        <v>1</v>
      </c>
      <c r="O101" s="6" t="n"/>
      <c r="P101" s="6" t="n">
        <v>9000</v>
      </c>
      <c r="Q101" s="6" t="n">
        <v>1</v>
      </c>
      <c r="R101">
        <f>M101+IF(N101&gt;1,N(O101)*(N101-1),0)</f>
        <v/>
      </c>
      <c r="S101">
        <f>IFERROR(L101*MAX(N101,1)/R101*IF(ISBLANK(K98),1,K98),0)</f>
        <v/>
      </c>
      <c r="AB101" s="7" t="inlineStr">
        <is>
          <t>AsianPhotonCannon</t>
        </is>
      </c>
    </row>
    <row r="102">
      <c r="B102" s="7" t="inlineStr">
        <is>
          <t xml:space="preserve">  ↳ AsianQuasar_EMP_AA</t>
        </is>
      </c>
      <c r="C102" s="7" t="inlineStr">
        <is>
          <t>Armament@UpgradeAA</t>
        </is>
      </c>
      <c r="L102" s="6" t="n">
        <v>8000</v>
      </c>
      <c r="M102" s="6" t="n">
        <v>33</v>
      </c>
      <c r="N102" s="6" t="n">
        <v>1</v>
      </c>
      <c r="O102" s="6" t="n"/>
      <c r="P102" s="6" t="n">
        <v>9000</v>
      </c>
      <c r="Q102" s="6" t="n">
        <v>1</v>
      </c>
      <c r="R102">
        <f>M102+IF(N102&gt;1,N(O102)*(N102-1),0)</f>
        <v/>
      </c>
      <c r="S102">
        <f>IFERROR(L102*MAX(N102,1)/R102*IF(ISBLANK(K98),1,K98),0)</f>
        <v/>
      </c>
      <c r="AB102" s="7" t="inlineStr">
        <is>
          <t>AsianQuasar_AA</t>
        </is>
      </c>
    </row>
    <row r="103">
      <c r="A103" t="inlineStr">
        <is>
          <t>redalert2mod</t>
        </is>
      </c>
      <c r="B103" t="inlineStr">
        <is>
          <t>asianalliance_railguntank</t>
        </is>
      </c>
      <c r="C103" t="inlineStr">
        <is>
          <t>Railgun Tank</t>
        </is>
      </c>
      <c r="D103" s="6" t="inlineStr">
        <is>
          <t>FireSupport</t>
        </is>
      </c>
      <c r="E103" s="6" t="n">
        <v>160000</v>
      </c>
      <c r="F103" s="6" t="n">
        <v>65</v>
      </c>
      <c r="G103" t="inlineStr">
        <is>
          <t>Light</t>
        </is>
      </c>
      <c r="H103" s="6" t="n">
        <v>0.4853</v>
      </c>
      <c r="I103" s="6" t="n">
        <v>1</v>
      </c>
      <c r="J103" s="6" t="n">
        <v>1</v>
      </c>
      <c r="K103" s="6" t="n"/>
      <c r="P103">
        <f>MAX(P104,P105)</f>
        <v/>
      </c>
      <c r="S103">
        <f>S104+S105</f>
        <v/>
      </c>
      <c r="T103">
        <f>(E103/100000+F103/100+(P103/1000)*J103/5+S103/200)*200*I103*H103</f>
        <v/>
      </c>
      <c r="U103">
        <f>((E103*F103/25000)+((P103/1000)*J103*S103/2.5))*I103*H103</f>
        <v/>
      </c>
      <c r="V103">
        <f>(E103*F103*(P103/1000)*J103*S103*I103*H103)/12500000</f>
        <v/>
      </c>
      <c r="W103">
        <f>(((E103/120000)+(F103/90)+(S103/2100)+((P103/10000)*J103))*1400/4+(((E103/120000)*(F103/90))+(((P103/10000)*J103)*(S103/2100)))*1400/2+((E103/120000)*(F103/90)*((P103/10000)*J103)*(S103/2100))*1400)*(H103/0.6735)/3</f>
        <v/>
      </c>
      <c r="X103" s="6" t="n">
        <v>1500</v>
      </c>
      <c r="Y103">
        <f>IFERROR(W103-X103,"")</f>
        <v/>
      </c>
      <c r="Z103">
        <f>IFERROR(ABS(Y103)/MAX(X103,1),"")</f>
        <v/>
      </c>
      <c r="AA103">
        <f>IFERROR(ROUND(((3*X103-(((E103/120000)+(F103/90)+(S103/2100))*1400/4+((E103/120000)*(F103/90))*1400/2)*(H103/0.6735))/(1400/4+((S103/2100))*1400/2+((E103/120000)*(F103/90)*(S103/2100))*1400)*(H103/0.6735)*10000)/J103,-1),"")</f>
        <v/>
      </c>
    </row>
    <row r="104">
      <c r="B104" s="7" t="inlineStr">
        <is>
          <t xml:space="preserve">  ↳ AsianRailTank</t>
        </is>
      </c>
      <c r="C104" s="7" t="inlineStr">
        <is>
          <t>Armament@PRIMARY</t>
        </is>
      </c>
      <c r="L104" s="6" t="n">
        <v>24000</v>
      </c>
      <c r="M104" s="6" t="n">
        <v>60</v>
      </c>
      <c r="N104" s="6" t="n">
        <v>1</v>
      </c>
      <c r="O104" s="6" t="n"/>
      <c r="P104" s="6" t="n">
        <v>8888</v>
      </c>
      <c r="Q104" s="6" t="n">
        <v>1.25</v>
      </c>
      <c r="R104">
        <f>M104+IF(N104&gt;1,N(O104)*(N104-1),0)</f>
        <v/>
      </c>
      <c r="S104">
        <f>IFERROR(L104*MAX(N104,1)/R104*IF(ISBLANK(K103),1,K103),0)</f>
        <v/>
      </c>
      <c r="AB104" s="7" t="inlineStr">
        <is>
          <t>^Warhead_Railgun_Heavy</t>
        </is>
      </c>
    </row>
    <row r="105">
      <c r="B105" s="7" t="inlineStr">
        <is>
          <t xml:space="preserve">  ↳ AsianRailTank2</t>
        </is>
      </c>
      <c r="C105" s="7" t="inlineStr">
        <is>
          <t>Armament@ELITE</t>
        </is>
      </c>
      <c r="L105" s="6" t="n">
        <v>36000</v>
      </c>
      <c r="M105" s="6" t="n">
        <v>75</v>
      </c>
      <c r="N105" s="6" t="n">
        <v>1</v>
      </c>
      <c r="O105" s="6" t="n"/>
      <c r="P105" s="6" t="n">
        <v>10000</v>
      </c>
      <c r="Q105" s="6" t="n">
        <v>1.25</v>
      </c>
      <c r="R105">
        <f>M105+IF(N105&gt;1,N(O105)*(N105-1),0)</f>
        <v/>
      </c>
      <c r="S105">
        <f>IFERROR(L105*MAX(N105,1)/R105*IF(ISBLANK(K103),1,K103),0)</f>
        <v/>
      </c>
      <c r="AB105" s="7" t="inlineStr">
        <is>
          <t>^Warhead_Railgun_Heavy</t>
        </is>
      </c>
    </row>
    <row r="106">
      <c r="A106" t="inlineStr">
        <is>
          <t>redalert2mod</t>
        </is>
      </c>
      <c r="B106" t="inlineStr">
        <is>
          <t>asianalliance_type89mlrs</t>
        </is>
      </c>
      <c r="C106" t="inlineStr">
        <is>
          <t>Type 89 MLRS</t>
        </is>
      </c>
      <c r="D106" s="6" t="inlineStr">
        <is>
          <t>MissileVehicle</t>
        </is>
      </c>
      <c r="E106" s="6" t="n">
        <v>40000</v>
      </c>
      <c r="F106" s="6" t="n">
        <v>80</v>
      </c>
      <c r="G106" t="inlineStr">
        <is>
          <t>Light</t>
        </is>
      </c>
      <c r="H106" s="6" t="n">
        <v>0.75</v>
      </c>
      <c r="I106" s="6" t="n">
        <v>1</v>
      </c>
      <c r="J106" s="6" t="n">
        <v>1.25</v>
      </c>
      <c r="K106" s="6" t="n"/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(((E106/160000)+(F106/100)+(S106/1200)+((P106/8000)*J106))*1200/4+(((E106/160000)*(F106/100))+(((P106/8000)*J106)*(S106/1200)))*1200/2+((E106/160000)*(F106/100)*((P106/8000)*J106)*(S106/1200))*1200)*(H106/1.0)/3</f>
        <v/>
      </c>
      <c r="X106" s="6" t="n">
        <v>1200</v>
      </c>
      <c r="Y106">
        <f>IFERROR(W106-X106,"")</f>
        <v/>
      </c>
      <c r="Z106">
        <f>IFERROR(ABS(Y106)/MAX(X106,1),"")</f>
        <v/>
      </c>
      <c r="AA106">
        <f>IFERROR(ROUND(((3*X106-(((E106/160000)+(F106/100)+(S106/1200))*1200/4+((E106/160000)*(F106/100))*1200/2)*(H106/1.0))/(1200/4+((S106/1200))*1200/2+((E106/160000)*(F106/100)*(S106/1200))*1200)*(H106/1.0)*8000)/J106,-1),"")</f>
        <v/>
      </c>
    </row>
    <row r="107">
      <c r="B107" s="7" t="inlineStr">
        <is>
          <t xml:space="preserve">  ↳ AsianMLRS</t>
        </is>
      </c>
      <c r="C107" s="7" t="inlineStr">
        <is>
          <t>Armament@PRIMARY</t>
        </is>
      </c>
      <c r="L107" s="6" t="n">
        <v>8000</v>
      </c>
      <c r="M107" s="6" t="n">
        <v>16</v>
      </c>
      <c r="N107" s="6" t="n">
        <v>1</v>
      </c>
      <c r="O107" s="6" t="n"/>
      <c r="P107" s="6" t="n">
        <v>8500</v>
      </c>
      <c r="Q107" s="6" t="n">
        <v>0.875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^Warhead_Demolition_Light, ^Warhead_MissileAP_Medium</t>
        </is>
      </c>
    </row>
    <row r="108">
      <c r="A108" t="inlineStr">
        <is>
          <t>redalert2mod</t>
        </is>
      </c>
      <c r="B108" t="inlineStr">
        <is>
          <t>asianalliance_viper</t>
        </is>
      </c>
      <c r="C108" t="inlineStr">
        <is>
          <t>Viper</t>
        </is>
      </c>
      <c r="D108" s="6" t="inlineStr">
        <is>
          <t>Artillery</t>
        </is>
      </c>
      <c r="E108" s="6" t="n">
        <v>25000</v>
      </c>
      <c r="F108" s="6" t="n">
        <v>125</v>
      </c>
      <c r="G108" t="inlineStr">
        <is>
          <t>Light</t>
        </is>
      </c>
      <c r="H108" s="6" t="n">
        <v>0.6875</v>
      </c>
      <c r="I108" s="6" t="n">
        <v>1</v>
      </c>
      <c r="J108" s="6" t="n">
        <v>1</v>
      </c>
      <c r="K108" s="6" t="n"/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(((E108/60000)+(F108/75)+(S108/500)+((P108/15000)*J108))*500/4+(((E108/60000)*(F108/75))+(((P108/15000)*J108)*(S108/500)))*500/2+((E108/60000)*(F108/75)*((P108/15000)*J108)*(S108/500))*500)*(H108/1.0)/3</f>
        <v/>
      </c>
      <c r="X108" s="6" t="n">
        <v>700</v>
      </c>
      <c r="Y108">
        <f>IFERROR(W108-X108,"")</f>
        <v/>
      </c>
      <c r="Z108">
        <f>IFERROR(ABS(Y108)/MAX(X108,1),"")</f>
        <v/>
      </c>
      <c r="AA108">
        <f>IFERROR(ROUND(((3*X108-(((E108/60000)+(F108/75)+(S108/500))*500/4+((E108/60000)*(F108/75))*500/2)*(H108/1.0))/(500/4+((S108/500))*500/2+((E108/60000)*(F108/75)*(S108/500))*500)*(H108/1.0)*15000)/J108,-1),"")</f>
        <v/>
      </c>
    </row>
    <row r="109">
      <c r="B109" s="7" t="inlineStr">
        <is>
          <t xml:space="preserve">  ↳ AsianChemical</t>
        </is>
      </c>
      <c r="C109" s="7" t="inlineStr">
        <is>
          <t>Armament@PRIMARY</t>
        </is>
      </c>
      <c r="L109" s="6" t="n">
        <v>24000</v>
      </c>
      <c r="M109" s="6" t="n">
        <v>60</v>
      </c>
      <c r="N109" s="6" t="n">
        <v>1</v>
      </c>
      <c r="O109" s="6" t="n"/>
      <c r="P109" s="6" t="n">
        <v>9000</v>
      </c>
      <c r="Q109" s="6" t="n">
        <v>0.75</v>
      </c>
      <c r="R109">
        <f>M109+IF(N109&gt;1,N(O109)*(N109-1),0)</f>
        <v/>
      </c>
      <c r="S109">
        <f>IFERROR(L109*MAX(N109,1)/R109*IF(ISBLANK(K108),1,K108),0)</f>
        <v/>
      </c>
      <c r="AB109" s="7" t="inlineStr">
        <is>
          <t>^Warhead_Demolition_Light</t>
        </is>
      </c>
    </row>
    <row r="110">
      <c r="B110" s="7" t="inlineStr">
        <is>
          <t xml:space="preserve">  ↳ AsianChemical_elite</t>
        </is>
      </c>
      <c r="C110" s="7" t="inlineStr">
        <is>
          <t>Armament@ELITE</t>
        </is>
      </c>
      <c r="L110" s="6" t="n">
        <v>24000</v>
      </c>
      <c r="M110" s="6" t="n">
        <v>60</v>
      </c>
      <c r="N110" s="6" t="n">
        <v>2</v>
      </c>
      <c r="O110" s="6" t="n">
        <v>3</v>
      </c>
      <c r="P110" s="6" t="n">
        <v>10000</v>
      </c>
      <c r="Q110" s="6" t="n">
        <v>0.75</v>
      </c>
      <c r="R110">
        <f>M110+IF(N110&gt;1,N(O110)*(N110-1),0)</f>
        <v/>
      </c>
      <c r="S110">
        <f>IFERROR(L110*MAX(N110,1)/R110*IF(ISBLANK(K108),1,K108),0)</f>
        <v/>
      </c>
      <c r="AB110" s="7" t="inlineStr">
        <is>
          <t>^Warhead_Demolition_Light</t>
        </is>
      </c>
    </row>
    <row r="111">
      <c r="A111" t="inlineStr">
        <is>
          <t>redalert2mod</t>
        </is>
      </c>
      <c r="B111" t="inlineStr">
        <is>
          <t>asianalliance_warturtle</t>
        </is>
      </c>
      <c r="C111" t="inlineStr">
        <is>
          <t>War Turtle</t>
        </is>
      </c>
      <c r="D111" s="6" t="inlineStr">
        <is>
          <t>LineBreaker</t>
        </is>
      </c>
      <c r="E111" s="6" t="n">
        <v>250000</v>
      </c>
      <c r="F111" s="6" t="n">
        <v>75</v>
      </c>
      <c r="G111" t="inlineStr">
        <is>
          <t>Superheavy</t>
        </is>
      </c>
      <c r="H111" s="6" t="n">
        <v>0.75</v>
      </c>
      <c r="I111" s="6" t="n">
        <v>1.25</v>
      </c>
      <c r="J111" s="6" t="n">
        <v>1</v>
      </c>
      <c r="K111" s="6" t="n"/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(((E111/750000)+(F111/80)+(S111/1600)+((P111/2500)*J111))*1600/4+(((E111/750000)*(F111/80))+(((P111/2500)*J111)*(S111/1600)))*1600/2+((E111/750000)*(F111/80)*((P111/2500)*J111)*(S111/1600))*1600)*(H111/1.0)/3</f>
        <v/>
      </c>
      <c r="X111" s="6" t="n">
        <v>5000</v>
      </c>
      <c r="Y111">
        <f>IFERROR(W111-X111,"")</f>
        <v/>
      </c>
      <c r="Z111">
        <f>IFERROR(ABS(Y111)/MAX(X111,1),"")</f>
        <v/>
      </c>
      <c r="AA111">
        <f>IFERROR(ROUND(((3*X111-(((E111/750000)+(F111/80)+(S111/1600))*1600/4+((E111/750000)*(F111/80))*1600/2)*(H111/1.0))/(1600/4+((S111/1600))*1600/2+((E111/750000)*(F111/80)*(S111/1600))*1600)*(H111/1.0)*2500)/J111,-1),"")</f>
        <v/>
      </c>
    </row>
    <row r="112">
      <c r="B112" s="7" t="inlineStr">
        <is>
          <t xml:space="preserve">  ↳ AsianGrenade</t>
        </is>
      </c>
      <c r="C112" s="7" t="inlineStr">
        <is>
          <t>Armament</t>
        </is>
      </c>
      <c r="L112" s="6" t="n">
        <v>8000</v>
      </c>
      <c r="M112" s="6" t="n">
        <v>92</v>
      </c>
      <c r="N112" s="6" t="n">
        <v>1</v>
      </c>
      <c r="O112" s="6" t="n"/>
      <c r="P112" s="6" t="n">
        <v>4567</v>
      </c>
      <c r="Q112" s="6" t="n">
        <v>1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^Warhead_Concussion_Medium, ^Warhead_CannonHE_Medium</t>
        </is>
      </c>
    </row>
    <row r="113">
      <c r="A113" t="inlineStr">
        <is>
          <t>redalert2mod</t>
        </is>
      </c>
      <c r="B113" t="inlineStr">
        <is>
          <t>ptnk.asian</t>
        </is>
      </c>
      <c r="C113" t="inlineStr">
        <is>
          <t>Plasma Tank</t>
        </is>
      </c>
      <c r="D113" s="6" t="inlineStr">
        <is>
          <t>MainBattleTank</t>
        </is>
      </c>
      <c r="E113" s="6" t="n">
        <v>130000</v>
      </c>
      <c r="F113" s="6" t="n">
        <v>50</v>
      </c>
      <c r="G113" t="inlineStr">
        <is>
          <t>Heavy</t>
        </is>
      </c>
      <c r="H113" s="6" t="n">
        <v>0.4853</v>
      </c>
      <c r="I113" s="6" t="n">
        <v>1</v>
      </c>
      <c r="J113" s="6" t="n">
        <v>1</v>
      </c>
      <c r="K113" s="6" t="n"/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(((E113/240000)+(F113/95)+(S113/600)+((P113/5500)*J113))*800/4+(((E113/240000)*(F113/95))+(((P113/5500)*J113)*(S113/600)))*800/2+((E113/240000)*(F113/95)*((P113/5500)*J113)*(S113/600))*800)*(H113/1.0)/3</f>
        <v/>
      </c>
      <c r="X113" s="6" t="n">
        <v>2400</v>
      </c>
      <c r="Y113">
        <f>IFERROR(W113-X113,"")</f>
        <v/>
      </c>
      <c r="Z113">
        <f>IFERROR(ABS(Y113)/MAX(X113,1),"")</f>
        <v/>
      </c>
      <c r="AA113">
        <f>IFERROR(ROUND(((3*X113-(((E113/240000)+(F113/95)+(S113/600))*800/4+((E113/240000)*(F113/95))*800/2)*(H113/1.0))/(800/4+((S113/600))*800/2+((E113/240000)*(F113/95)*(S113/600))*800)*(H113/1.0)*5500)/J113,-1),"")</f>
        <v/>
      </c>
    </row>
    <row r="114">
      <c r="B114" s="7" t="inlineStr">
        <is>
          <t xml:space="preserve">  ↳ AsianTwinPlasma</t>
        </is>
      </c>
      <c r="C114" s="7" t="inlineStr">
        <is>
          <t>Armament@PRIMARY</t>
        </is>
      </c>
      <c r="L114" s="6" t="n">
        <v>16000</v>
      </c>
      <c r="M114" s="6" t="n">
        <v>25</v>
      </c>
      <c r="N114" s="6" t="n">
        <v>2</v>
      </c>
      <c r="O114" s="6" t="n">
        <v>5</v>
      </c>
      <c r="P114" s="6" t="n">
        <v>7777</v>
      </c>
      <c r="Q114" s="6" t="n">
        <v>1.125</v>
      </c>
      <c r="R114">
        <f>M114+IF(N114&gt;1,N(O114)*(N114-1),0)</f>
        <v/>
      </c>
      <c r="S114">
        <f>IFERROR(L114*MAX(N114,1)/R114*IF(ISBLANK(K113),1,K113),0)</f>
        <v/>
      </c>
      <c r="AB114" s="7" t="inlineStr">
        <is>
          <t>^Warhead_CannonHE_Medium, ^Warhead_CannonHE_Heavy</t>
        </is>
      </c>
    </row>
    <row r="115">
      <c r="B115" s="7" t="inlineStr">
        <is>
          <t xml:space="preserve">  ↳ AsianTwinPlasma_elite</t>
        </is>
      </c>
      <c r="C115" s="7" t="inlineStr">
        <is>
          <t>Armament@ELITE</t>
        </is>
      </c>
      <c r="L115" s="6" t="n">
        <v>16000</v>
      </c>
      <c r="M115" s="6" t="n">
        <v>25</v>
      </c>
      <c r="N115" s="6" t="n">
        <v>4</v>
      </c>
      <c r="O115" s="6" t="n">
        <v>5</v>
      </c>
      <c r="P115" s="6" t="n">
        <v>8888</v>
      </c>
      <c r="Q115" s="6" t="n">
        <v>1.125</v>
      </c>
      <c r="R115">
        <f>M115+IF(N115&gt;1,N(O115)*(N115-1),0)</f>
        <v/>
      </c>
      <c r="S115">
        <f>IFERROR(L115*MAX(N115,1)/R115*IF(ISBLANK(K113),1,K113),0)</f>
        <v/>
      </c>
      <c r="AB115" s="7" t="inlineStr">
        <is>
          <t>^Warhead_CannonHE_Medium, ^Warhead_CannonHE_Heavy</t>
        </is>
      </c>
    </row>
    <row r="116">
      <c r="A116" s="4" t="inlineStr">
        <is>
          <t>AIRCRAFT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t="inlineStr">
        <is>
          <t>redalert2mod</t>
        </is>
      </c>
      <c r="B117" t="inlineStr">
        <is>
          <t>asianalliance_harbinger</t>
        </is>
      </c>
      <c r="C117" t="inlineStr">
        <is>
          <t>Harbinger</t>
        </is>
      </c>
      <c r="D117" s="6" t="inlineStr">
        <is>
          <t>Fighter</t>
        </is>
      </c>
      <c r="E117" s="6" t="n">
        <v>90000</v>
      </c>
      <c r="F117" s="6" t="n">
        <v>210</v>
      </c>
      <c r="G117" t="inlineStr">
        <is>
          <t>Fighter</t>
        </is>
      </c>
      <c r="H117" s="6" t="n">
        <v>0.5</v>
      </c>
      <c r="I117" s="6" t="n">
        <v>1</v>
      </c>
      <c r="J117" s="6" t="n">
        <v>1</v>
      </c>
      <c r="K117" s="6" t="n"/>
      <c r="P117">
        <f>MAX(P118)</f>
        <v/>
      </c>
      <c r="S117">
        <f>S118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(T117+U117+V117)/3</f>
        <v/>
      </c>
      <c r="X117" s="6" t="n">
        <v>2000</v>
      </c>
      <c r="Y117">
        <f>IFERROR(W117-X117,"")</f>
        <v/>
      </c>
      <c r="Z117">
        <f>IFERROR(ABS(Y117)/MAX(X117,1),"")</f>
        <v/>
      </c>
      <c r="AA117">
        <f>IFERROR((X117-(((E117/100000+F117/100+S117/200)*200*I117*H117)+((E117*F117/25000)*I117*H117))/3)/(((J117/5)*200*I117*H117)+((J117*S117/2.5)*I117*H117)+((E117*F117*J117*S117*I117*H117)/12500000))/3*1000,"")</f>
        <v/>
      </c>
    </row>
    <row r="118">
      <c r="B118" s="7" t="inlineStr">
        <is>
          <t xml:space="preserve">  ↳ AsianHarbingerPlasma</t>
        </is>
      </c>
      <c r="C118" s="7" t="inlineStr">
        <is>
          <t>Armament@PRIMARY</t>
        </is>
      </c>
      <c r="L118" s="6" t="n">
        <v>16000</v>
      </c>
      <c r="M118" s="6" t="n">
        <v>60</v>
      </c>
      <c r="N118" s="6" t="n">
        <v>2</v>
      </c>
      <c r="O118" s="6" t="n">
        <v>5</v>
      </c>
      <c r="P118" s="6" t="n">
        <v>7777</v>
      </c>
      <c r="Q118" s="6" t="n">
        <v>1</v>
      </c>
      <c r="R118">
        <f>M118+IF(N118&gt;1,N(O118)*(N118-1),0)</f>
        <v/>
      </c>
      <c r="S118">
        <f>IFERROR(L118*MAX(N118,1)/R118*IF(ISBLANK(K117),1,K117),0)</f>
        <v/>
      </c>
      <c r="AB118" s="7" t="inlineStr">
        <is>
          <t>^Warhead_CannonHE_Medium, ^Warhead_MissileAP_Medium</t>
        </is>
      </c>
    </row>
    <row r="119">
      <c r="A119" t="inlineStr">
        <is>
          <t>redalert2mod</t>
        </is>
      </c>
      <c r="B119" t="inlineStr">
        <is>
          <t>asianalliance_pelican</t>
        </is>
      </c>
      <c r="C119" t="inlineStr">
        <is>
          <t>Pelican</t>
        </is>
      </c>
      <c r="D119" s="6" t="inlineStr">
        <is>
          <t>Helicopter</t>
        </is>
      </c>
      <c r="E119" s="6" t="n">
        <v>40000</v>
      </c>
      <c r="F119" s="6" t="n">
        <v>125</v>
      </c>
      <c r="G119" t="inlineStr">
        <is>
          <t>Helicopter</t>
        </is>
      </c>
      <c r="H119" s="6" t="n">
        <v>1</v>
      </c>
      <c r="I119" s="6" t="n">
        <v>1</v>
      </c>
      <c r="J119" s="6" t="n">
        <v>1</v>
      </c>
      <c r="K119" s="6" t="n"/>
      <c r="P119">
        <f>MAX(P120,P121,P122,P123)</f>
        <v/>
      </c>
      <c r="S119">
        <f>S120+S121+S122+S123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AsianPelicanMissile</t>
        </is>
      </c>
      <c r="C120" s="7" t="inlineStr">
        <is>
          <t>Armament@PRIMARY</t>
        </is>
      </c>
      <c r="L120" s="6" t="n">
        <v>12000</v>
      </c>
      <c r="M120" s="6" t="n">
        <v>25</v>
      </c>
      <c r="N120" s="6" t="n">
        <v>2</v>
      </c>
      <c r="O120" s="6" t="n">
        <v>2</v>
      </c>
      <c r="P120" s="6" t="n">
        <v>6100</v>
      </c>
      <c r="Q120" s="6" t="n">
        <v>1</v>
      </c>
      <c r="R120">
        <f>M120+IF(N120&gt;1,N(O120)*(N120-1),0)</f>
        <v/>
      </c>
      <c r="S120">
        <f>IFERROR(L120*MAX(N120,1)/R120*IF(ISBLANK(K119),1,K119),0)</f>
        <v/>
      </c>
      <c r="AB120" s="7" t="inlineStr">
        <is>
          <t>^Warhead_Concussion_Light, ^Warhead_MissileAP_Heavy, ^Warhead_MissileAP_Medium</t>
        </is>
      </c>
    </row>
    <row r="121">
      <c r="B121" s="7" t="inlineStr">
        <is>
          <t xml:space="preserve">  ↳ AsianPelicanMissile_elite</t>
        </is>
      </c>
      <c r="C121" s="7" t="inlineStr">
        <is>
          <t>Armament@PRIMARYELITE</t>
        </is>
      </c>
      <c r="L121" s="6" t="n">
        <v>12000</v>
      </c>
      <c r="M121" s="6" t="n">
        <v>25</v>
      </c>
      <c r="N121" s="6" t="n">
        <v>4</v>
      </c>
      <c r="O121" s="6" t="n">
        <v>2</v>
      </c>
      <c r="P121" s="6" t="n">
        <v>7100</v>
      </c>
      <c r="Q121" s="6" t="n">
        <v>1</v>
      </c>
      <c r="R121">
        <f>M121+IF(N121&gt;1,N(O121)*(N121-1),0)</f>
        <v/>
      </c>
      <c r="S121">
        <f>IFERROR(L121*MAX(N121,1)/R121*IF(ISBLANK(K119),1,K119),0)</f>
        <v/>
      </c>
      <c r="AB121" s="7" t="inlineStr">
        <is>
          <t>^Warhead_Concussion_Light, ^Warhead_MissileAP_Heavy, ^Warhead_MissileAP_Medium</t>
        </is>
      </c>
    </row>
    <row r="122">
      <c r="B122" s="7" t="inlineStr">
        <is>
          <t xml:space="preserve">  ↳ AsianPelicanMG</t>
        </is>
      </c>
      <c r="C122" s="7" t="inlineStr">
        <is>
          <t>Armament@MG</t>
        </is>
      </c>
      <c r="L122" s="6" t="n">
        <v>6000</v>
      </c>
      <c r="M122" s="6" t="n">
        <v>18</v>
      </c>
      <c r="N122" s="6" t="n">
        <v>4</v>
      </c>
      <c r="O122" s="6" t="n">
        <v>3</v>
      </c>
      <c r="P122" s="6" t="n">
        <v>6100</v>
      </c>
      <c r="Q122" s="6" t="n">
        <v>1</v>
      </c>
      <c r="R122">
        <f>M122+IF(N122&gt;1,N(O122)*(N122-1),0)</f>
        <v/>
      </c>
      <c r="S122">
        <f>IFERROR(L122*MAX(N122,1)/R122*IF(ISBLANK(K119),1,K119),0)</f>
        <v/>
      </c>
      <c r="AB122" s="7" t="inlineStr">
        <is>
          <t>^Warhead_CannonHE_Heavy, ^Warhead_Bullet_Light, ^Warhead_Bullet_Medium</t>
        </is>
      </c>
    </row>
    <row r="123">
      <c r="B123" s="7" t="inlineStr">
        <is>
          <t xml:space="preserve">  ↳ AsianPelicanMG_elite</t>
        </is>
      </c>
      <c r="C123" s="7" t="inlineStr">
        <is>
          <t>Armament@MGelite</t>
        </is>
      </c>
      <c r="L123" s="6" t="n">
        <v>6000</v>
      </c>
      <c r="M123" s="6" t="n">
        <v>18</v>
      </c>
      <c r="N123" s="6" t="n">
        <v>8</v>
      </c>
      <c r="O123" s="6" t="n">
        <v>3</v>
      </c>
      <c r="P123" s="6" t="n">
        <v>7100</v>
      </c>
      <c r="Q123" s="6" t="n">
        <v>1</v>
      </c>
      <c r="R123">
        <f>M123+IF(N123&gt;1,N(O123)*(N123-1),0)</f>
        <v/>
      </c>
      <c r="S123">
        <f>IFERROR(L123*MAX(N123,1)/R123*IF(ISBLANK(K119),1,K119),0)</f>
        <v/>
      </c>
      <c r="AB123" s="7" t="inlineStr">
        <is>
          <t>^Warhead_CannonHE_Heavy, ^Warhead_Bullet_Light, ^Warhead_Bullet_Medium</t>
        </is>
      </c>
    </row>
    <row r="124">
      <c r="A124" t="inlineStr">
        <is>
          <t>redalert2mod</t>
        </is>
      </c>
      <c r="B124" t="inlineStr">
        <is>
          <t>asianalliance_phoenix</t>
        </is>
      </c>
      <c r="C124" t="inlineStr">
        <is>
          <t>Phoenix</t>
        </is>
      </c>
      <c r="D124" s="6" t="inlineStr">
        <is>
          <t>Bomber</t>
        </is>
      </c>
      <c r="E124" s="6" t="n">
        <v>90000</v>
      </c>
      <c r="F124" s="6" t="n">
        <v>180</v>
      </c>
      <c r="G124" t="inlineStr">
        <is>
          <t>Bomber</t>
        </is>
      </c>
      <c r="H124" s="6" t="n">
        <v>0.5</v>
      </c>
      <c r="I124" s="6" t="n">
        <v>1</v>
      </c>
      <c r="J124" s="6" t="n">
        <v>1</v>
      </c>
      <c r="K124" s="6" t="n"/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1800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AsianPhoenixRocket</t>
        </is>
      </c>
      <c r="C125" s="7" t="inlineStr">
        <is>
          <t>Armament@PRIMARY</t>
        </is>
      </c>
      <c r="L125" s="6" t="n">
        <v>60000</v>
      </c>
      <c r="M125" s="6" t="n">
        <v>65</v>
      </c>
      <c r="N125" s="6" t="n">
        <v>2</v>
      </c>
      <c r="O125" s="6" t="n">
        <v>2</v>
      </c>
      <c r="P125" s="6" t="n">
        <v>6500</v>
      </c>
      <c r="Q125" s="6" t="n">
        <v>1</v>
      </c>
      <c r="R125">
        <f>M125+IF(N125&gt;1,N(O125)*(N125-1),0)</f>
        <v/>
      </c>
      <c r="S125">
        <f>IFERROR(L125*MAX(N125,1)/R125*IF(ISBLANK(K124),1,K124),0)</f>
        <v/>
      </c>
      <c r="AB125" s="7" t="inlineStr">
        <is>
          <t>^Warhead_Flame_Medium, ^Warhead_Demolition_Light, ^Warhead_MissileAP_Heavy</t>
        </is>
      </c>
    </row>
    <row r="126">
      <c r="B126" s="7" t="inlineStr">
        <is>
          <t xml:space="preserve">  ↳ AsianPhoenixRocket_elite</t>
        </is>
      </c>
      <c r="C126" s="7" t="inlineStr">
        <is>
          <t>Armament@PRIMARYELITE</t>
        </is>
      </c>
      <c r="L126" s="6" t="n">
        <v>60000</v>
      </c>
      <c r="M126" s="6" t="n">
        <v>65</v>
      </c>
      <c r="N126" s="6" t="n">
        <v>4</v>
      </c>
      <c r="O126" s="6" t="n">
        <v>2</v>
      </c>
      <c r="P126" s="6" t="n">
        <v>7500</v>
      </c>
      <c r="Q126" s="6" t="n">
        <v>1</v>
      </c>
      <c r="R126">
        <f>M126+IF(N126&gt;1,N(O126)*(N126-1),0)</f>
        <v/>
      </c>
      <c r="S126">
        <f>IFERROR(L126*MAX(N126,1)/R126*IF(ISBLANK(K124),1,K124),0)</f>
        <v/>
      </c>
      <c r="AB126" s="7" t="inlineStr">
        <is>
          <t>^Warhead_Flame_Medium, ^Warhead_Demolition_Light, ^Warhead_MissileAP_Heavy</t>
        </is>
      </c>
    </row>
    <row r="127">
      <c r="A127" t="inlineStr">
        <is>
          <t>redalert2mod</t>
        </is>
      </c>
      <c r="B127" t="inlineStr">
        <is>
          <t>bomber_minebomb.asian</t>
        </is>
      </c>
      <c r="C127" t="inlineStr">
        <is>
          <t>Asian Stealth Bomber</t>
        </is>
      </c>
      <c r="D127" s="6" t="inlineStr">
        <is>
          <t>Aircraft</t>
        </is>
      </c>
      <c r="E127" s="6" t="n">
        <v>100000</v>
      </c>
      <c r="F127" s="6" t="n">
        <v>250</v>
      </c>
      <c r="G127" t="inlineStr">
        <is>
          <t>Bomber</t>
        </is>
      </c>
      <c r="H127" s="6" t="n">
        <v>1</v>
      </c>
      <c r="I127" s="6" t="n">
        <v>1</v>
      </c>
      <c r="J127" s="6" t="n">
        <v>1</v>
      </c>
      <c r="K127" s="6" t="n"/>
      <c r="X127" s="6" t="n">
        <v>5000</v>
      </c>
    </row>
    <row r="128">
      <c r="B128" s="7" t="inlineStr">
        <is>
          <t xml:space="preserve">  ↳ AsianMineBomb</t>
        </is>
      </c>
      <c r="C128" s="7" t="inlineStr">
        <is>
          <t>Armament</t>
        </is>
      </c>
      <c r="L128" s="6" t="n"/>
      <c r="M128" s="6" t="n">
        <v>125</v>
      </c>
      <c r="N128" s="6" t="n">
        <v>1</v>
      </c>
      <c r="O128" s="6" t="n"/>
      <c r="P128" s="6" t="n">
        <v>1250</v>
      </c>
      <c r="Q128" s="6" t="n">
        <v>1</v>
      </c>
      <c r="R128">
        <f>M128+IF(N128&gt;1,N(O128)*(N128-1),0)</f>
        <v/>
      </c>
      <c r="S128">
        <f>IFERROR(L128*MAX(N128,1)/R128*IF(ISBLANK(K127),1,K127),0)</f>
        <v/>
      </c>
      <c r="AB128" s="7" t="inlineStr"/>
    </row>
    <row r="129">
      <c r="A129" t="inlineStr">
        <is>
          <t>redalert2mod</t>
        </is>
      </c>
      <c r="B129" t="inlineStr">
        <is>
          <t>bomber_minebomb2.asian</t>
        </is>
      </c>
      <c r="C129" t="inlineStr">
        <is>
          <t>Asian Stealth Bomber</t>
        </is>
      </c>
      <c r="D129" s="6" t="inlineStr">
        <is>
          <t>Aircraft</t>
        </is>
      </c>
      <c r="E129" s="6" t="n">
        <v>100000</v>
      </c>
      <c r="F129" s="6" t="n">
        <v>250</v>
      </c>
      <c r="G129" t="inlineStr">
        <is>
          <t>Bomber</t>
        </is>
      </c>
      <c r="H129" s="6" t="n">
        <v>1</v>
      </c>
      <c r="I129" s="6" t="n">
        <v>1</v>
      </c>
      <c r="J129" s="6" t="n">
        <v>1</v>
      </c>
      <c r="K129" s="6" t="n"/>
      <c r="X129" s="6" t="n">
        <v>5000</v>
      </c>
    </row>
    <row r="130">
      <c r="B130" s="7" t="inlineStr">
        <is>
          <t xml:space="preserve">  ↳ AsianMineBomb2</t>
        </is>
      </c>
      <c r="C130" s="7" t="inlineStr">
        <is>
          <t>Armament</t>
        </is>
      </c>
      <c r="L130" s="6" t="n"/>
      <c r="M130" s="6" t="n">
        <v>100</v>
      </c>
      <c r="N130" s="6" t="n">
        <v>1</v>
      </c>
      <c r="O130" s="6" t="n"/>
      <c r="P130" s="6" t="n">
        <v>1024</v>
      </c>
      <c r="Q130" s="6" t="n">
        <v>1</v>
      </c>
      <c r="R130">
        <f>M130+IF(N130&gt;1,N(O130)*(N130-1),0)</f>
        <v/>
      </c>
      <c r="S130">
        <f>IFERROR(L130*MAX(N130,1)/R130*IF(ISBLANK(K129),1,K129),0)</f>
        <v/>
      </c>
      <c r="AB130" s="7" t="inlineStr"/>
    </row>
    <row r="131">
      <c r="A131" t="inlineStr">
        <is>
          <t>redalert2mod</t>
        </is>
      </c>
      <c r="B131" t="inlineStr">
        <is>
          <t>kami.asian</t>
        </is>
      </c>
      <c r="C131" t="inlineStr">
        <is>
          <t>Kamikaze</t>
        </is>
      </c>
      <c r="D131" s="6" t="inlineStr">
        <is>
          <t>Bomber</t>
        </is>
      </c>
      <c r="E131" s="6" t="n">
        <v>7500</v>
      </c>
      <c r="F131" s="6" t="n">
        <v>160</v>
      </c>
      <c r="G131" t="inlineStr">
        <is>
          <t>Bomber</t>
        </is>
      </c>
      <c r="H131" s="6" t="n">
        <v>1</v>
      </c>
      <c r="I131" s="6" t="n">
        <v>1</v>
      </c>
      <c r="J131" s="6" t="n">
        <v>1</v>
      </c>
      <c r="K131" s="6" t="n"/>
      <c r="X131" s="6" t="n">
        <v>90</v>
      </c>
    </row>
    <row r="132">
      <c r="B132" s="7" t="inlineStr">
        <is>
          <t xml:space="preserve">  ↳ AsianKamikazeImpactTargeting</t>
        </is>
      </c>
      <c r="C132" s="7" t="inlineStr">
        <is>
          <t>Armament@PRIMARY</t>
        </is>
      </c>
      <c r="L132" s="6" t="n"/>
      <c r="M132" s="6" t="n">
        <v>25</v>
      </c>
      <c r="N132" s="6" t="n">
        <v>1</v>
      </c>
      <c r="O132" s="6" t="n"/>
      <c r="P132" s="6" t="n">
        <v>7500</v>
      </c>
      <c r="Q132" s="6" t="n">
        <v>1</v>
      </c>
      <c r="R132">
        <f>M132+IF(N132&gt;1,N(O132)*(N132-1),0)</f>
        <v/>
      </c>
      <c r="S132">
        <f>IFERROR(L132*MAX(N132,1)/R132*IF(ISBLANK(K131),1,K131),0)</f>
        <v/>
      </c>
      <c r="AB132" s="7" t="inlineStr"/>
    </row>
    <row r="133">
      <c r="A133" t="inlineStr">
        <is>
          <t>redalert2mod</t>
        </is>
      </c>
      <c r="B133" t="inlineStr">
        <is>
          <t>kami_asdf.asian</t>
        </is>
      </c>
      <c r="C133" t="inlineStr">
        <is>
          <t>Airstrike Kamikaze</t>
        </is>
      </c>
      <c r="D133" s="6" t="inlineStr">
        <is>
          <t>Bomber</t>
        </is>
      </c>
      <c r="E133" s="6" t="n">
        <v>7500</v>
      </c>
      <c r="F133" s="6" t="n">
        <v>160</v>
      </c>
      <c r="G133" t="inlineStr">
        <is>
          <t>Bomber</t>
        </is>
      </c>
      <c r="H133" s="6" t="n">
        <v>1</v>
      </c>
      <c r="I133" s="6" t="n">
        <v>1</v>
      </c>
      <c r="J133" s="6" t="n">
        <v>1</v>
      </c>
      <c r="K133" s="6" t="n"/>
      <c r="X133" s="6" t="n">
        <v>50</v>
      </c>
    </row>
    <row r="134">
      <c r="B134" s="7" t="inlineStr">
        <is>
          <t xml:space="preserve">  ↳ AsianKamikazeImpactTargeting</t>
        </is>
      </c>
      <c r="C134" s="7" t="inlineStr">
        <is>
          <t>Armament@PRIMARY</t>
        </is>
      </c>
      <c r="L134" s="6" t="n"/>
      <c r="M134" s="6" t="n">
        <v>25</v>
      </c>
      <c r="N134" s="6" t="n">
        <v>1</v>
      </c>
      <c r="O134" s="6" t="n"/>
      <c r="P134" s="6" t="n">
        <v>7500</v>
      </c>
      <c r="Q134" s="6" t="n">
        <v>1</v>
      </c>
      <c r="R134">
        <f>M134+IF(N134&gt;1,N(O134)*(N134-1),0)</f>
        <v/>
      </c>
      <c r="S134">
        <f>IFERROR(L134*MAX(N134,1)/R134*IF(ISBLANK(K133),1,K133),0)</f>
        <v/>
      </c>
      <c r="AB134" s="7" t="inlineStr"/>
    </row>
    <row r="135">
      <c r="A135" t="inlineStr">
        <is>
          <t>redalert2mod</t>
        </is>
      </c>
      <c r="B135" t="inlineStr">
        <is>
          <t>kami_chemical.asian</t>
        </is>
      </c>
      <c r="C135" t="inlineStr">
        <is>
          <t>Chemical Attack Plane</t>
        </is>
      </c>
      <c r="D135" s="6" t="inlineStr">
        <is>
          <t>Bomber</t>
        </is>
      </c>
      <c r="E135" s="6" t="n">
        <v>15000</v>
      </c>
      <c r="F135" s="6" t="n">
        <v>160</v>
      </c>
      <c r="G135" t="inlineStr">
        <is>
          <t>Bomber</t>
        </is>
      </c>
      <c r="H135" s="6" t="n">
        <v>1</v>
      </c>
      <c r="I135" s="6" t="n">
        <v>1</v>
      </c>
      <c r="J135" s="6" t="n">
        <v>1</v>
      </c>
      <c r="K135" s="6" t="n"/>
      <c r="P135">
        <f>MAX(P136,P137)</f>
        <v/>
      </c>
      <c r="S135">
        <f>S136+S137</f>
        <v/>
      </c>
      <c r="T135">
        <f>(E135/100000+F135/100+(P135/1000)*J135/5+S135/200)*200*I135*H135</f>
        <v/>
      </c>
      <c r="U135">
        <f>((E135*F135/25000)+((P135/1000)*J135*S135/2.5))*I135*H135</f>
        <v/>
      </c>
      <c r="V135">
        <f>(E135*F135*(P135/1000)*J135*S135*I135*H135)/12500000</f>
        <v/>
      </c>
      <c r="W135">
        <f>(T135+U135+V135)/3</f>
        <v/>
      </c>
      <c r="X135" s="6" t="n">
        <v>225</v>
      </c>
      <c r="Y135">
        <f>IFERROR(W135-X135,"")</f>
        <v/>
      </c>
      <c r="Z135">
        <f>IFERROR(ABS(Y135)/MAX(X135,1),"")</f>
        <v/>
      </c>
      <c r="AA135">
        <f>IFERROR((X135-(((E135/100000+F135/100+S135/200)*200*I135*H135)+((E135*F135/25000)*I135*H135))/3)/(((J135/5)*200*I135*H135)+((J135*S135/2.5)*I135*H135)+((E135*F135*J135*S135*I135*H135)/12500000))/3*1000,"")</f>
        <v/>
      </c>
    </row>
    <row r="136">
      <c r="B136" s="7" t="inlineStr">
        <is>
          <t xml:space="preserve">  ↳ AsianKamikazeChaingun</t>
        </is>
      </c>
      <c r="C136" s="7" t="inlineStr">
        <is>
          <t>Armament@PRIMARY</t>
        </is>
      </c>
      <c r="L136" s="6" t="n">
        <v>4000</v>
      </c>
      <c r="M136" s="6" t="n">
        <v>12</v>
      </c>
      <c r="N136" s="6" t="n">
        <v>3</v>
      </c>
      <c r="O136" s="6" t="n">
        <v>2</v>
      </c>
      <c r="P136" s="6" t="n">
        <v>7000</v>
      </c>
      <c r="Q136" s="6" t="n">
        <v>0.875</v>
      </c>
      <c r="R136">
        <f>M136+IF(N136&gt;1,N(O136)*(N136-1),0)</f>
        <v/>
      </c>
      <c r="S136">
        <f>IFERROR(L136*MAX(N136,1)/R136*IF(ISBLANK(K135),1,K135),0)</f>
        <v/>
      </c>
      <c r="AB136" s="7" t="inlineStr">
        <is>
          <t>^Warhead_Bullet_Light, ^Warhead_Bullet_Medium</t>
        </is>
      </c>
    </row>
    <row r="137">
      <c r="B137" s="7" t="inlineStr">
        <is>
          <t xml:space="preserve">  ↳ AsianChemicalBombs</t>
        </is>
      </c>
      <c r="C137" s="7" t="inlineStr">
        <is>
          <t>Armament@Secondary</t>
        </is>
      </c>
      <c r="L137" s="6" t="n">
        <v>4000</v>
      </c>
      <c r="M137" s="6" t="n">
        <v>8</v>
      </c>
      <c r="N137" s="6" t="n">
        <v>1</v>
      </c>
      <c r="O137" s="6" t="n"/>
      <c r="P137" s="6" t="n">
        <v>3000</v>
      </c>
      <c r="Q137" s="6" t="n">
        <v>1</v>
      </c>
      <c r="R137">
        <f>M137+IF(N137&gt;1,N(O137)*(N137-1),0)</f>
        <v/>
      </c>
      <c r="S137">
        <f>IFERROR(L137*MAX(N137,1)/R137*IF(ISBLANK(K135),1,K135),0)</f>
        <v/>
      </c>
      <c r="AB137" s="7" t="inlineStr">
        <is>
          <t>^Warhead_CannonHE_Medium</t>
        </is>
      </c>
    </row>
    <row r="138">
      <c r="A138" s="4" t="inlineStr">
        <is>
          <t>NAVAL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t="inlineStr">
        <is>
          <t>redalert2mod</t>
        </is>
      </c>
      <c r="B139" t="inlineStr">
        <is>
          <t>gunb.asian</t>
        </is>
      </c>
      <c r="C139" t="inlineStr">
        <is>
          <t>Asian Gun Boat</t>
        </is>
      </c>
      <c r="D139" s="6" t="inlineStr">
        <is>
          <t>ScoutShip</t>
        </is>
      </c>
      <c r="E139" s="6" t="n">
        <v>90000</v>
      </c>
      <c r="F139" s="6" t="n">
        <v>90</v>
      </c>
      <c r="G139" t="inlineStr">
        <is>
          <t>Medium</t>
        </is>
      </c>
      <c r="H139" s="6" t="n">
        <v>0.7857</v>
      </c>
      <c r="I139" s="6" t="n">
        <v>1</v>
      </c>
      <c r="J139" s="6" t="n">
        <v>1</v>
      </c>
      <c r="K139" s="6" t="n"/>
      <c r="P139">
        <f>MAX(P140,P141,P142,P143,P144,P145)</f>
        <v/>
      </c>
      <c r="S139">
        <f>S140+S141+S142+S143+S144+S145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1400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AAGunBoatCannon</t>
        </is>
      </c>
      <c r="C140" s="7" t="inlineStr">
        <is>
          <t>Armament@PRIMARY</t>
        </is>
      </c>
      <c r="L140" s="6" t="n">
        <v>16000</v>
      </c>
      <c r="M140" s="6" t="n">
        <v>40</v>
      </c>
      <c r="N140" s="6" t="n">
        <v>1</v>
      </c>
      <c r="O140" s="6" t="n"/>
      <c r="P140" s="6" t="n">
        <v>9000</v>
      </c>
      <c r="Q140" s="6" t="n">
        <v>1.25</v>
      </c>
      <c r="R140">
        <f>M140+IF(N140&gt;1,N(O140)*(N140-1),0)</f>
        <v/>
      </c>
      <c r="S140">
        <f>IFERROR(L140*MAX(N140,1)/R140*IF(ISBLANK(K139),1,K139),0)</f>
        <v/>
      </c>
      <c r="AB140" s="7" t="inlineStr">
        <is>
          <t>^Warhead_CannonHE_Heavy</t>
        </is>
      </c>
    </row>
    <row r="141">
      <c r="B141" s="7" t="inlineStr">
        <is>
          <t xml:space="preserve">  ↳ AAGunBoatCannon_elite</t>
        </is>
      </c>
      <c r="C141" s="7" t="inlineStr">
        <is>
          <t>Armament@ELITE</t>
        </is>
      </c>
      <c r="L141" s="6" t="n">
        <v>16000</v>
      </c>
      <c r="M141" s="6" t="n">
        <v>40</v>
      </c>
      <c r="N141" s="6" t="n">
        <v>2</v>
      </c>
      <c r="O141" s="6" t="n">
        <v>3</v>
      </c>
      <c r="P141" s="6" t="n">
        <v>10000</v>
      </c>
      <c r="Q141" s="6" t="n">
        <v>1.25</v>
      </c>
      <c r="R141">
        <f>M141+IF(N141&gt;1,N(O141)*(N141-1),0)</f>
        <v/>
      </c>
      <c r="S141">
        <f>IFERROR(L141*MAX(N141,1)/R141*IF(ISBLANK(K139),1,K139),0)</f>
        <v/>
      </c>
      <c r="AB141" s="7" t="inlineStr">
        <is>
          <t>^Warhead_CannonHE_Heavy</t>
        </is>
      </c>
    </row>
    <row r="142">
      <c r="B142" s="7" t="inlineStr">
        <is>
          <t xml:space="preserve">  ↳ AAGunBoatFlak</t>
        </is>
      </c>
      <c r="C142" s="7" t="inlineStr">
        <is>
          <t>Armament@AA</t>
        </is>
      </c>
      <c r="L142" s="6" t="n">
        <v>8000</v>
      </c>
      <c r="M142" s="6" t="n">
        <v>18</v>
      </c>
      <c r="N142" s="6" t="n">
        <v>2</v>
      </c>
      <c r="O142" s="6" t="n">
        <v>3</v>
      </c>
      <c r="P142" s="6" t="n">
        <v>9000</v>
      </c>
      <c r="Q142" s="6" t="n">
        <v>1</v>
      </c>
      <c r="R142">
        <f>M142+IF(N142&gt;1,N(O142)*(N142-1),0)</f>
        <v/>
      </c>
      <c r="S142">
        <f>IFERROR(L142*MAX(N142,1)/R142*IF(ISBLANK(K139),1,K139),0)</f>
        <v/>
      </c>
      <c r="AB142" s="7" t="inlineStr">
        <is>
          <t>^Warhead_Flak_Medium</t>
        </is>
      </c>
    </row>
    <row r="143">
      <c r="B143" s="7" t="inlineStr">
        <is>
          <t xml:space="preserve">  ↳ AAGunBoatFlak_elite</t>
        </is>
      </c>
      <c r="C143" s="7" t="inlineStr">
        <is>
          <t>Armament@EliteAA</t>
        </is>
      </c>
      <c r="L143" s="6" t="n">
        <v>8000</v>
      </c>
      <c r="M143" s="6" t="n">
        <v>18</v>
      </c>
      <c r="N143" s="6" t="n">
        <v>4</v>
      </c>
      <c r="O143" s="6" t="n">
        <v>3</v>
      </c>
      <c r="P143" s="6" t="n">
        <v>10000</v>
      </c>
      <c r="Q143" s="6" t="n">
        <v>1</v>
      </c>
      <c r="R143">
        <f>M143+IF(N143&gt;1,N(O143)*(N143-1),0)</f>
        <v/>
      </c>
      <c r="S143">
        <f>IFERROR(L143*MAX(N143,1)/R143*IF(ISBLANK(K139),1,K139),0)</f>
        <v/>
      </c>
      <c r="AB143" s="7" t="inlineStr">
        <is>
          <t>^Warhead_Flak_Medium</t>
        </is>
      </c>
    </row>
    <row r="144">
      <c r="B144" s="7" t="inlineStr">
        <is>
          <t xml:space="preserve">  ↳ DepthCharge</t>
        </is>
      </c>
      <c r="C144" s="7" t="inlineStr">
        <is>
          <t>Armament@AntiSub</t>
        </is>
      </c>
      <c r="L144" s="6" t="n">
        <v>60000</v>
      </c>
      <c r="M144" s="6" t="n">
        <v>60</v>
      </c>
      <c r="N144" s="6" t="n">
        <v>1</v>
      </c>
      <c r="O144" s="6" t="n"/>
      <c r="P144" s="6" t="n">
        <v>6000</v>
      </c>
      <c r="Q144" s="6" t="n">
        <v>0.75</v>
      </c>
      <c r="R144">
        <f>M144+IF(N144&gt;1,N(O144)*(N144-1),0)</f>
        <v/>
      </c>
      <c r="S144">
        <f>IFERROR(L144*MAX(N144,1)/R144*IF(ISBLANK(K139),1,K139),0)</f>
        <v/>
      </c>
      <c r="AB144" s="7" t="inlineStr">
        <is>
          <t>^Warhead_Demolition_Light</t>
        </is>
      </c>
    </row>
    <row r="145">
      <c r="B145" s="7" t="inlineStr">
        <is>
          <t xml:space="preserve">  ↳ DepthCharge</t>
        </is>
      </c>
      <c r="C145" s="7" t="inlineStr">
        <is>
          <t>Armament@AntiSubElite</t>
        </is>
      </c>
      <c r="L145" s="6" t="n">
        <v>60000</v>
      </c>
      <c r="M145" s="6" t="n">
        <v>60</v>
      </c>
      <c r="N145" s="6" t="n">
        <v>1</v>
      </c>
      <c r="O145" s="6" t="n"/>
      <c r="P145" s="6" t="n">
        <v>6000</v>
      </c>
      <c r="Q145" s="6" t="n">
        <v>0.75</v>
      </c>
      <c r="R145">
        <f>M145+IF(N145&gt;1,N(O145)*(N145-1),0)</f>
        <v/>
      </c>
      <c r="S145">
        <f>IFERROR(L145*MAX(N145,1)/R145*IF(ISBLANK(K139),1,K139),0)</f>
        <v/>
      </c>
      <c r="AB145" s="7" t="inlineStr">
        <is>
          <t>^Warhead_Demolition_Light</t>
        </is>
      </c>
    </row>
    <row r="146">
      <c r="A146" t="inlineStr">
        <is>
          <t>redalert2mod</t>
        </is>
      </c>
      <c r="B146" t="inlineStr">
        <is>
          <t>karrier.asian</t>
        </is>
      </c>
      <c r="C146" t="inlineStr">
        <is>
          <t>Kamikaze Carrier</t>
        </is>
      </c>
      <c r="D146" s="6" t="inlineStr">
        <is>
          <t>ArtilleryShip</t>
        </is>
      </c>
      <c r="E146" s="6" t="n">
        <v>175000</v>
      </c>
      <c r="F146" s="6" t="n">
        <v>55</v>
      </c>
      <c r="G146" t="inlineStr">
        <is>
          <t>Heavy</t>
        </is>
      </c>
      <c r="H146" s="6" t="n">
        <v>0.4583</v>
      </c>
      <c r="I146" s="6" t="n">
        <v>1</v>
      </c>
      <c r="J146" s="6" t="n">
        <v>1</v>
      </c>
      <c r="K146" s="6" t="n"/>
      <c r="X146" s="6" t="n">
        <v>1750</v>
      </c>
    </row>
    <row r="147">
      <c r="B147" s="7" t="inlineStr">
        <is>
          <t xml:space="preserve">  ↳ KamikazeCarrierTarget</t>
        </is>
      </c>
      <c r="C147" s="7" t="inlineStr">
        <is>
          <t>Armament@PRIMARY</t>
        </is>
      </c>
      <c r="L147" s="6" t="n"/>
      <c r="M147" s="6" t="n">
        <v>25</v>
      </c>
      <c r="N147" s="6" t="n">
        <v>1</v>
      </c>
      <c r="O147" s="6" t="n"/>
      <c r="P147" s="6" t="n">
        <v>17500</v>
      </c>
      <c r="Q147" s="6" t="n">
        <v>1</v>
      </c>
      <c r="R147">
        <f>M147+IF(N147&gt;1,N(O147)*(N147-1),0)</f>
        <v/>
      </c>
      <c r="S147">
        <f>IFERROR(L147*MAX(N147,1)/R147*IF(ISBLANK(K146),1,K146),0)</f>
        <v/>
      </c>
      <c r="AB147" s="7" t="inlineStr"/>
    </row>
    <row r="148">
      <c r="A148" t="inlineStr">
        <is>
          <t>redalert2mod</t>
        </is>
      </c>
      <c r="B148" t="inlineStr">
        <is>
          <t>ksub.asian</t>
        </is>
      </c>
      <c r="C148" t="inlineStr">
        <is>
          <t>Kamikaze Submarine</t>
        </is>
      </c>
      <c r="D148" s="6" t="inlineStr">
        <is>
          <t>ScoutShip</t>
        </is>
      </c>
      <c r="E148" s="6" t="n">
        <v>25000</v>
      </c>
      <c r="F148" s="6" t="n">
        <v>125</v>
      </c>
      <c r="G148" t="inlineStr">
        <is>
          <t>Medium</t>
        </is>
      </c>
      <c r="H148" s="6" t="n">
        <v>0.7857</v>
      </c>
      <c r="I148" s="6" t="n">
        <v>1</v>
      </c>
      <c r="J148" s="6" t="n">
        <v>1</v>
      </c>
      <c r="K148" s="6" t="n"/>
      <c r="X148" s="6" t="n">
        <v>500</v>
      </c>
    </row>
    <row r="149">
      <c r="B149" s="7" t="inlineStr">
        <is>
          <t xml:space="preserve">  ↳ AsianDemoSubTargeting</t>
        </is>
      </c>
      <c r="C149" s="7" t="inlineStr">
        <is>
          <t>Armament@PRIMARY</t>
        </is>
      </c>
      <c r="L149" s="6" t="n"/>
      <c r="M149" s="6" t="n"/>
      <c r="N149" s="6" t="n">
        <v>1</v>
      </c>
      <c r="O149" s="6" t="n"/>
      <c r="P149" s="6" t="n">
        <v>1250</v>
      </c>
      <c r="Q149" s="6" t="n">
        <v>1</v>
      </c>
      <c r="R149">
        <f>M149+IF(N149&gt;1,N(O149)*(N149-1),0)</f>
        <v/>
      </c>
      <c r="S149">
        <f>IFERROR(L149*MAX(N149,1)/R149*IF(ISBLANK(K148),1,K148),0)</f>
        <v/>
      </c>
      <c r="AB149" s="7" t="inlineStr"/>
    </row>
    <row r="150">
      <c r="A150" t="inlineStr">
        <is>
          <t>redalert2mod</t>
        </is>
      </c>
      <c r="B150" t="inlineStr">
        <is>
          <t>lsub.asian</t>
        </is>
      </c>
      <c r="C150" t="inlineStr">
        <is>
          <t>Leviathan</t>
        </is>
      </c>
      <c r="D150" s="6" t="inlineStr">
        <is>
          <t>ScoutShip</t>
        </is>
      </c>
      <c r="E150" s="6" t="n">
        <v>240000</v>
      </c>
      <c r="F150" s="6" t="n">
        <v>60</v>
      </c>
      <c r="G150" t="inlineStr">
        <is>
          <t>Heavy</t>
        </is>
      </c>
      <c r="H150" s="6" t="n">
        <v>0.6346000000000001</v>
      </c>
      <c r="I150" s="6" t="n">
        <v>1</v>
      </c>
      <c r="J150" s="6" t="n">
        <v>1</v>
      </c>
      <c r="K150" s="6" t="n"/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2400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AsianSmallTorpedo</t>
        </is>
      </c>
      <c r="C151" s="7" t="inlineStr">
        <is>
          <t>Armament@Torp</t>
        </is>
      </c>
      <c r="L151" s="6" t="n">
        <v>24000</v>
      </c>
      <c r="M151" s="6" t="n">
        <v>120</v>
      </c>
      <c r="N151" s="6" t="n">
        <v>2</v>
      </c>
      <c r="O151" s="6" t="n">
        <v>8</v>
      </c>
      <c r="P151" s="6" t="n">
        <v>12000</v>
      </c>
      <c r="Q151" s="6" t="n">
        <v>1</v>
      </c>
      <c r="R151">
        <f>M151+IF(N151&gt;1,N(O151)*(N151-1),0)</f>
        <v/>
      </c>
      <c r="S151">
        <f>IFERROR(L151*MAX(N151,1)/R151*IF(ISBLANK(K150),1,K150),0)</f>
        <v/>
      </c>
      <c r="AB151" s="7" t="inlineStr">
        <is>
          <t>^Warhead_Demolition_Light, ^Warhead_MissileAP_Heavy</t>
        </is>
      </c>
    </row>
    <row r="152">
      <c r="A152" t="inlineStr">
        <is>
          <t>redalert2mod</t>
        </is>
      </c>
      <c r="B152" t="inlineStr">
        <is>
          <t>panth.asian</t>
        </is>
      </c>
      <c r="C152" t="inlineStr">
        <is>
          <t>Enforcer Transport</t>
        </is>
      </c>
      <c r="D152" s="6" t="inlineStr">
        <is>
          <t>ScoutShip</t>
        </is>
      </c>
      <c r="E152" s="6" t="n">
        <v>100000</v>
      </c>
      <c r="F152" s="6" t="n">
        <v>60</v>
      </c>
      <c r="G152" t="inlineStr">
        <is>
          <t>Heavy</t>
        </is>
      </c>
      <c r="H152" s="6" t="n">
        <v>0.7857</v>
      </c>
      <c r="I152" s="6" t="n">
        <v>1</v>
      </c>
      <c r="J152" s="6" t="n">
        <v>1</v>
      </c>
      <c r="K152" s="6" t="n"/>
      <c r="P152">
        <f>MAX(P153,P154)</f>
        <v/>
      </c>
      <c r="S152">
        <f>S153+S154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1000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RA2120mm</t>
        </is>
      </c>
      <c r="C153" s="7" t="inlineStr">
        <is>
          <t>Armament</t>
        </is>
      </c>
      <c r="L153" s="6" t="n">
        <v>10000</v>
      </c>
      <c r="M153" s="6" t="n">
        <v>54</v>
      </c>
      <c r="N153" s="6" t="n">
        <v>1</v>
      </c>
      <c r="O153" s="6" t="n"/>
      <c r="P153" s="6" t="n">
        <v>5374</v>
      </c>
      <c r="Q153" s="6" t="n">
        <v>1</v>
      </c>
      <c r="R153">
        <f>M153+IF(N153&gt;1,N(O153)*(N153-1),0)</f>
        <v/>
      </c>
      <c r="S153">
        <f>IFERROR(L153*MAX(N153,1)/R153*IF(ISBLANK(K152),1,K152),0)</f>
        <v/>
      </c>
      <c r="AB153" s="7" t="inlineStr">
        <is>
          <t>^Warhead_CannonHE_Medium</t>
        </is>
      </c>
    </row>
    <row r="154">
      <c r="B154" s="7" t="inlineStr">
        <is>
          <t xml:space="preserve">  ↳ RA2120mm_elite</t>
        </is>
      </c>
      <c r="C154" s="7" t="inlineStr">
        <is>
          <t>Armament@elite</t>
        </is>
      </c>
      <c r="L154" s="6" t="n">
        <v>10000</v>
      </c>
      <c r="M154" s="6" t="n">
        <v>54</v>
      </c>
      <c r="N154" s="6" t="n">
        <v>2</v>
      </c>
      <c r="O154" s="6" t="n">
        <v>3</v>
      </c>
      <c r="P154" s="6" t="n">
        <v>6374</v>
      </c>
      <c r="Q154" s="6" t="n">
        <v>1</v>
      </c>
      <c r="R154">
        <f>M154+IF(N154&gt;1,N(O154)*(N154-1),0)</f>
        <v/>
      </c>
      <c r="S154">
        <f>IFERROR(L154*MAX(N154,1)/R154*IF(ISBLANK(K152),1,K152),0)</f>
        <v/>
      </c>
      <c r="AB154" s="7" t="inlineStr">
        <is>
          <t>^Warhead_CannonHE_Medium</t>
        </is>
      </c>
    </row>
    <row r="155">
      <c r="A155" t="inlineStr">
        <is>
          <t>redalert2mod</t>
        </is>
      </c>
      <c r="B155" t="inlineStr">
        <is>
          <t>quasfrig.asian</t>
        </is>
      </c>
      <c r="C155" t="inlineStr">
        <is>
          <t>Quasar Frigate</t>
        </is>
      </c>
      <c r="D155" s="6" t="inlineStr">
        <is>
          <t>BattleShip</t>
        </is>
      </c>
      <c r="E155" s="6" t="n">
        <v>137500</v>
      </c>
      <c r="F155" s="6" t="n">
        <v>75</v>
      </c>
      <c r="G155" t="inlineStr">
        <is>
          <t>Heavy</t>
        </is>
      </c>
      <c r="H155" s="6" t="n">
        <v>0.6346000000000001</v>
      </c>
      <c r="I155" s="6" t="n">
        <v>1</v>
      </c>
      <c r="J155" s="6" t="n">
        <v>1</v>
      </c>
      <c r="K155" s="6" t="n"/>
      <c r="P155">
        <f>MAX(P156,P157,P158,P159)</f>
        <v/>
      </c>
      <c r="S155">
        <f>S156+S157+S158+S159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(T155+U155+V155)/3</f>
        <v/>
      </c>
      <c r="X155" s="6" t="n">
        <v>2000</v>
      </c>
      <c r="Y155">
        <f>IFERROR(W155-X155,"")</f>
        <v/>
      </c>
      <c r="Z155">
        <f>IFERROR(ABS(Y155)/MAX(X155,1),"")</f>
        <v/>
      </c>
      <c r="AA155">
        <f>IFERROR((X155-(((E155/100000+F155/100+S155/200)*200*I155*H155)+((E155*F155/25000)*I155*H155))/3)/(((J155/5)*200*I155*H155)+((J155*S155/2.5)*I155*H155)+((E155*F155*J155*S155*I155*H155)/12500000))/3*1000,"")</f>
        <v/>
      </c>
    </row>
    <row r="156">
      <c r="B156" s="7" t="inlineStr">
        <is>
          <t xml:space="preserve">  ↳ AsianQuasarBoatAG</t>
        </is>
      </c>
      <c r="C156" s="7" t="inlineStr">
        <is>
          <t>Armament@AG</t>
        </is>
      </c>
      <c r="L156" s="6" t="n">
        <v>8000</v>
      </c>
      <c r="M156" s="6" t="n">
        <v>22</v>
      </c>
      <c r="N156" s="6" t="n">
        <v>3</v>
      </c>
      <c r="O156" s="6" t="n">
        <v>3</v>
      </c>
      <c r="P156" s="6" t="n">
        <v>7168</v>
      </c>
      <c r="Q156" s="6" t="n">
        <v>1</v>
      </c>
      <c r="R156">
        <f>M156+IF(N156&gt;1,N(O156)*(N156-1),0)</f>
        <v/>
      </c>
      <c r="S156">
        <f>IFERROR(L156*MAX(N156,1)/R156*IF(ISBLANK(K155),1,K155),0)</f>
        <v/>
      </c>
      <c r="AB156" s="7" t="inlineStr">
        <is>
          <t>AsianPhotonCannon</t>
        </is>
      </c>
    </row>
    <row r="157">
      <c r="B157" s="7" t="inlineStr">
        <is>
          <t xml:space="preserve">  ↳ AsianQuasarBoatAG_EMP</t>
        </is>
      </c>
      <c r="C157" s="7" t="inlineStr">
        <is>
          <t>Armament@UpgradeAG</t>
        </is>
      </c>
      <c r="L157" s="6" t="n">
        <v>8000</v>
      </c>
      <c r="M157" s="6" t="n">
        <v>22</v>
      </c>
      <c r="N157" s="6" t="n">
        <v>3</v>
      </c>
      <c r="O157" s="6" t="n">
        <v>3</v>
      </c>
      <c r="P157" s="6" t="n">
        <v>7168</v>
      </c>
      <c r="Q157" s="6" t="n">
        <v>1</v>
      </c>
      <c r="R157">
        <f>M157+IF(N157&gt;1,N(O157)*(N157-1),0)</f>
        <v/>
      </c>
      <c r="S157">
        <f>IFERROR(L157*MAX(N157,1)/R157*IF(ISBLANK(K155),1,K155),0)</f>
        <v/>
      </c>
      <c r="AB157" s="7" t="inlineStr">
        <is>
          <t>AsianQuasarBoatAG</t>
        </is>
      </c>
    </row>
    <row r="158">
      <c r="B158" s="7" t="inlineStr">
        <is>
          <t xml:space="preserve">  ↳ AsianQuasarBoat_AA</t>
        </is>
      </c>
      <c r="C158" s="7" t="inlineStr">
        <is>
          <t>Armament@AA</t>
        </is>
      </c>
      <c r="L158" s="6" t="n">
        <v>8000</v>
      </c>
      <c r="M158" s="6" t="n">
        <v>22</v>
      </c>
      <c r="N158" s="6" t="n">
        <v>3</v>
      </c>
      <c r="O158" s="6" t="n">
        <v>3</v>
      </c>
      <c r="P158" s="6" t="n">
        <v>7168</v>
      </c>
      <c r="Q158" s="6" t="n">
        <v>1</v>
      </c>
      <c r="R158">
        <f>M158+IF(N158&gt;1,N(O158)*(N158-1),0)</f>
        <v/>
      </c>
      <c r="S158">
        <f>IFERROR(L158*MAX(N158,1)/R158*IF(ISBLANK(K155),1,K155),0)</f>
        <v/>
      </c>
      <c r="AB158" s="7" t="inlineStr">
        <is>
          <t>AsianPhotonCannon</t>
        </is>
      </c>
    </row>
    <row r="159">
      <c r="B159" s="7" t="inlineStr">
        <is>
          <t xml:space="preserve">  ↳ AsianQuasarBoat_EMP_AA</t>
        </is>
      </c>
      <c r="C159" s="7" t="inlineStr">
        <is>
          <t>Armament@UpgradeAA</t>
        </is>
      </c>
      <c r="L159" s="6" t="n">
        <v>8000</v>
      </c>
      <c r="M159" s="6" t="n">
        <v>22</v>
      </c>
      <c r="N159" s="6" t="n">
        <v>3</v>
      </c>
      <c r="O159" s="6" t="n">
        <v>3</v>
      </c>
      <c r="P159" s="6" t="n">
        <v>7168</v>
      </c>
      <c r="Q159" s="6" t="n">
        <v>1</v>
      </c>
      <c r="R159">
        <f>M159+IF(N159&gt;1,N(O159)*(N159-1),0)</f>
        <v/>
      </c>
      <c r="S159">
        <f>IFERROR(L159*MAX(N159,1)/R159*IF(ISBLANK(K155),1,K155),0)</f>
        <v/>
      </c>
      <c r="AB159" s="7" t="inlineStr">
        <is>
          <t>AsianQuasarBoat_AA</t>
        </is>
      </c>
    </row>
    <row r="160">
      <c r="A160" t="inlineStr">
        <is>
          <t>redalert2mod</t>
        </is>
      </c>
      <c r="B160" t="inlineStr">
        <is>
          <t>tsun.asian</t>
        </is>
      </c>
      <c r="C160" t="inlineStr">
        <is>
          <t>Tsunami Carrier</t>
        </is>
      </c>
      <c r="D160" s="6" t="inlineStr">
        <is>
          <t>ArtilleryShip</t>
        </is>
      </c>
      <c r="E160" s="6" t="n">
        <v>275000</v>
      </c>
      <c r="F160" s="6" t="n">
        <v>65</v>
      </c>
      <c r="G160" t="inlineStr">
        <is>
          <t>Superheavy</t>
        </is>
      </c>
      <c r="H160" s="6" t="n">
        <v>0.3587</v>
      </c>
      <c r="I160" s="6" t="n">
        <v>1</v>
      </c>
      <c r="J160" s="6" t="n">
        <v>1</v>
      </c>
      <c r="K160" s="6" t="n"/>
      <c r="X160" s="6" t="n">
        <v>4500</v>
      </c>
    </row>
    <row r="161">
      <c r="B161" s="7" t="inlineStr">
        <is>
          <t xml:space="preserve">  ↳ TsunamiCarrierTarget</t>
        </is>
      </c>
      <c r="C161" s="7" t="inlineStr">
        <is>
          <t>Armament@PRIMARY</t>
        </is>
      </c>
      <c r="L161" s="6" t="n"/>
      <c r="M161" s="6" t="n">
        <v>25</v>
      </c>
      <c r="N161" s="6" t="n">
        <v>1</v>
      </c>
      <c r="O161" s="6" t="n"/>
      <c r="P161" s="6" t="n">
        <v>17500</v>
      </c>
      <c r="Q161" s="6" t="n">
        <v>1</v>
      </c>
      <c r="R161">
        <f>M161+IF(N161&gt;1,N(O161)*(N161-1),0)</f>
        <v/>
      </c>
      <c r="S161">
        <f>IFERROR(L161*MAX(N161,1)/R161*IF(ISBLANK(K160),1,K160),0)</f>
        <v/>
      </c>
      <c r="AB161" s="7" t="inlineStr"/>
    </row>
    <row r="162">
      <c r="A162" s="4" t="inlineStr">
        <is>
          <t>BUILDINGS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t="inlineStr">
        <is>
          <t>redalert2mod</t>
        </is>
      </c>
      <c r="B163" t="inlineStr">
        <is>
          <t>asianalliance_advancedcommunicationcenter</t>
        </is>
      </c>
      <c r="C163" t="inlineStr">
        <is>
          <t>Advanced Communication Center</t>
        </is>
      </c>
      <c r="D163" s="6" t="inlineStr">
        <is>
          <t>Building</t>
        </is>
      </c>
      <c r="E163" s="6" t="n">
        <v>1000000</v>
      </c>
      <c r="F163" s="6" t="n"/>
      <c r="G163" t="inlineStr">
        <is>
          <t>Concrete</t>
        </is>
      </c>
      <c r="H163" s="6" t="n">
        <v>0.55</v>
      </c>
      <c r="I163" s="6" t="n">
        <v>1</v>
      </c>
      <c r="J163" s="6" t="n">
        <v>1</v>
      </c>
      <c r="K163" s="6" t="n"/>
      <c r="X163" s="6" t="n">
        <v>10000</v>
      </c>
    </row>
    <row r="164">
      <c r="A164" t="inlineStr">
        <is>
          <t>redalert2mod</t>
        </is>
      </c>
      <c r="B164" t="inlineStr">
        <is>
          <t>asianalliance_asianairforcecommand</t>
        </is>
      </c>
      <c r="C164" t="inlineStr">
        <is>
          <t>Asian Airforce Command</t>
        </is>
      </c>
      <c r="D164" s="6" t="inlineStr">
        <is>
          <t>Building</t>
        </is>
      </c>
      <c r="E164" s="6" t="n">
        <v>300000</v>
      </c>
      <c r="F164" s="6" t="n"/>
      <c r="G164" t="inlineStr">
        <is>
          <t>Wood</t>
        </is>
      </c>
      <c r="H164" s="6" t="n">
        <v>0.825</v>
      </c>
      <c r="I164" s="6" t="n">
        <v>1</v>
      </c>
      <c r="J164" s="6" t="n">
        <v>1</v>
      </c>
      <c r="K164" s="6" t="n"/>
      <c r="X164" s="6" t="n">
        <v>1500</v>
      </c>
    </row>
    <row r="165">
      <c r="A165" t="inlineStr">
        <is>
          <t>redalert2mod</t>
        </is>
      </c>
      <c r="B165" t="inlineStr">
        <is>
          <t>asianalliance_asianbarracks</t>
        </is>
      </c>
      <c r="C165" t="inlineStr">
        <is>
          <t>Asian Barracks</t>
        </is>
      </c>
      <c r="D165" s="6" t="inlineStr">
        <is>
          <t>Building</t>
        </is>
      </c>
      <c r="E165" s="6" t="n">
        <v>200000</v>
      </c>
      <c r="F165" s="6" t="n"/>
      <c r="G165" t="inlineStr">
        <is>
          <t>Wood</t>
        </is>
      </c>
      <c r="H165" s="6" t="n">
        <v>1</v>
      </c>
      <c r="I165" s="6" t="n">
        <v>1</v>
      </c>
      <c r="J165" s="6" t="n">
        <v>1</v>
      </c>
      <c r="K165" s="6" t="n"/>
      <c r="X165" s="6" t="n">
        <v>1000</v>
      </c>
    </row>
    <row r="166">
      <c r="A166" t="inlineStr">
        <is>
          <t>redalert2mod</t>
        </is>
      </c>
      <c r="B166" t="inlineStr">
        <is>
          <t>asianalliance_asianbattlelab</t>
        </is>
      </c>
      <c r="C166" t="inlineStr">
        <is>
          <t>Asian Battle Lab</t>
        </is>
      </c>
      <c r="D166" s="6" t="inlineStr">
        <is>
          <t>Building</t>
        </is>
      </c>
      <c r="E166" s="6" t="n">
        <v>500000</v>
      </c>
      <c r="F166" s="6" t="n"/>
      <c r="G166" t="inlineStr">
        <is>
          <t>Concrete</t>
        </is>
      </c>
      <c r="H166" s="6" t="n">
        <v>0.825</v>
      </c>
      <c r="I166" s="6" t="n">
        <v>1</v>
      </c>
      <c r="J166" s="6" t="n">
        <v>1</v>
      </c>
      <c r="K166" s="6" t="n"/>
      <c r="X166" s="6" t="n">
        <v>5000</v>
      </c>
    </row>
    <row r="167">
      <c r="A167" t="inlineStr">
        <is>
          <t>redalert2mod</t>
        </is>
      </c>
      <c r="B167" t="inlineStr">
        <is>
          <t>asianalliance_asianconstructionyard</t>
        </is>
      </c>
      <c r="C167" t="inlineStr">
        <is>
          <t>Asian Construction Yard</t>
        </is>
      </c>
      <c r="D167" s="6" t="inlineStr">
        <is>
          <t>Building</t>
        </is>
      </c>
      <c r="E167" s="6" t="n">
        <v>1000000</v>
      </c>
      <c r="F167" s="6" t="n"/>
      <c r="G167" t="inlineStr">
        <is>
          <t>Concrete</t>
        </is>
      </c>
      <c r="H167" s="6" t="n">
        <v>1</v>
      </c>
      <c r="I167" s="6" t="n">
        <v>1</v>
      </c>
      <c r="J167" s="6" t="n">
        <v>1</v>
      </c>
      <c r="K167" s="6" t="n"/>
      <c r="X167" s="6" t="n">
        <v>5000</v>
      </c>
    </row>
    <row r="168">
      <c r="A168" t="inlineStr">
        <is>
          <t>redalert2mod</t>
        </is>
      </c>
      <c r="B168" t="inlineStr">
        <is>
          <t>asianalliance_asianorerefinery</t>
        </is>
      </c>
      <c r="C168" t="inlineStr">
        <is>
          <t>Asian Ore Refinery</t>
        </is>
      </c>
      <c r="D168" s="6" t="inlineStr">
        <is>
          <t>Building</t>
        </is>
      </c>
      <c r="E168" s="6" t="n">
        <v>300000</v>
      </c>
      <c r="F168" s="6" t="n"/>
      <c r="G168" t="inlineStr">
        <is>
          <t>Concrete</t>
        </is>
      </c>
      <c r="H168" s="6" t="n">
        <v>1</v>
      </c>
      <c r="I168" s="6" t="n">
        <v>1</v>
      </c>
      <c r="J168" s="6" t="n">
        <v>1</v>
      </c>
      <c r="K168" s="6" t="n"/>
      <c r="X168" s="6" t="n">
        <v>3000</v>
      </c>
    </row>
    <row r="169">
      <c r="A169" t="inlineStr">
        <is>
          <t>redalert2mod</t>
        </is>
      </c>
      <c r="B169" t="inlineStr">
        <is>
          <t>asianalliance_asianpetrolplant</t>
        </is>
      </c>
      <c r="C169" t="inlineStr">
        <is>
          <t>Asian Petrol Plant</t>
        </is>
      </c>
      <c r="D169" s="6" t="inlineStr">
        <is>
          <t>Building</t>
        </is>
      </c>
      <c r="E169" s="6" t="n">
        <v>175000</v>
      </c>
      <c r="F169" s="6" t="n"/>
      <c r="G169" t="inlineStr">
        <is>
          <t>Wood</t>
        </is>
      </c>
      <c r="H169" s="6" t="n">
        <v>1</v>
      </c>
      <c r="I169" s="6" t="n">
        <v>1</v>
      </c>
      <c r="J169" s="6" t="n">
        <v>1</v>
      </c>
      <c r="K169" s="6" t="n"/>
      <c r="X169" s="6" t="n">
        <v>750</v>
      </c>
    </row>
    <row r="170">
      <c r="A170" t="inlineStr">
        <is>
          <t>redalert2mod</t>
        </is>
      </c>
      <c r="B170" t="inlineStr">
        <is>
          <t>asianalliance_asianradar</t>
        </is>
      </c>
      <c r="C170" t="inlineStr">
        <is>
          <t>Asian Radar</t>
        </is>
      </c>
      <c r="D170" s="6" t="inlineStr">
        <is>
          <t>Building</t>
        </is>
      </c>
      <c r="E170" s="6" t="n">
        <v>250000</v>
      </c>
      <c r="F170" s="6" t="n"/>
      <c r="G170" t="inlineStr">
        <is>
          <t>Wood</t>
        </is>
      </c>
      <c r="H170" s="6" t="n">
        <v>1</v>
      </c>
      <c r="I170" s="6" t="n">
        <v>1</v>
      </c>
      <c r="J170" s="6" t="n">
        <v>1</v>
      </c>
      <c r="K170" s="6" t="n"/>
      <c r="X170" s="6" t="n">
        <v>2500</v>
      </c>
    </row>
    <row r="171">
      <c r="A171" t="inlineStr">
        <is>
          <t>redalert2mod</t>
        </is>
      </c>
      <c r="B171" t="inlineStr">
        <is>
          <t>asianalliance_asiansentryflamer</t>
        </is>
      </c>
      <c r="C171" t="inlineStr">
        <is>
          <t>Asian Sentry Flamer</t>
        </is>
      </c>
      <c r="D171" s="6" t="inlineStr">
        <is>
          <t>BasicDefense</t>
        </is>
      </c>
      <c r="E171" s="6" t="n">
        <v>71000</v>
      </c>
      <c r="F171" s="6" t="n"/>
      <c r="G171" t="inlineStr">
        <is>
          <t>Concrete</t>
        </is>
      </c>
      <c r="H171" s="6" t="n">
        <v>1</v>
      </c>
      <c r="I171" s="6" t="n">
        <v>1</v>
      </c>
      <c r="J171" s="6" t="n">
        <v>1</v>
      </c>
      <c r="K171" s="6" t="n"/>
      <c r="X171" s="6" t="n">
        <v>800</v>
      </c>
    </row>
    <row r="172">
      <c r="B172" s="7" t="inlineStr">
        <is>
          <t xml:space="preserve">  ↳ AsianFlamerTurret</t>
        </is>
      </c>
      <c r="C172" s="7" t="inlineStr">
        <is>
          <t>Armament</t>
        </is>
      </c>
      <c r="L172" s="6" t="n">
        <v>4000</v>
      </c>
      <c r="M172" s="6" t="n">
        <v>30</v>
      </c>
      <c r="N172" s="6" t="n">
        <v>6</v>
      </c>
      <c r="O172" s="6" t="n">
        <v>3</v>
      </c>
      <c r="P172" s="6" t="n">
        <v>6666</v>
      </c>
      <c r="Q172" s="6" t="n">
        <v>0.75</v>
      </c>
      <c r="R172">
        <f>M172+IF(N172&gt;1,N(O172)*(N172-1),0)</f>
        <v/>
      </c>
      <c r="S172">
        <f>IFERROR(L172*MAX(N172,1)/R172*IF(ISBLANK(K171),1,K171),0)</f>
        <v/>
      </c>
      <c r="AB172" s="7" t="inlineStr">
        <is>
          <t>^Warhead_Flame_Light</t>
        </is>
      </c>
    </row>
    <row r="173">
      <c r="A173" t="inlineStr">
        <is>
          <t>redalert2mod</t>
        </is>
      </c>
      <c r="B173" t="inlineStr">
        <is>
          <t>asianalliance_asianservicedepot</t>
        </is>
      </c>
      <c r="C173" t="inlineStr">
        <is>
          <t>Asian Service Depot</t>
        </is>
      </c>
      <c r="D173" s="6" t="inlineStr">
        <is>
          <t>Building</t>
        </is>
      </c>
      <c r="E173" s="6" t="n">
        <v>250000</v>
      </c>
      <c r="F173" s="6" t="n"/>
      <c r="G173" t="inlineStr">
        <is>
          <t>Concrete</t>
        </is>
      </c>
      <c r="H173" s="6" t="n">
        <v>0.8683999999999999</v>
      </c>
      <c r="I173" s="6" t="n">
        <v>1</v>
      </c>
      <c r="J173" s="6" t="n">
        <v>1</v>
      </c>
      <c r="K173" s="6" t="n"/>
      <c r="X173" s="6" t="n">
        <v>1000</v>
      </c>
    </row>
    <row r="174">
      <c r="A174" t="inlineStr">
        <is>
          <t>redalert2mod</t>
        </is>
      </c>
      <c r="B174" t="inlineStr">
        <is>
          <t>asianalliance_asianwarfactory</t>
        </is>
      </c>
      <c r="C174" t="inlineStr">
        <is>
          <t>Asian War Factory</t>
        </is>
      </c>
      <c r="D174" s="6" t="inlineStr">
        <is>
          <t>Building</t>
        </is>
      </c>
      <c r="E174" s="6" t="n">
        <v>400000</v>
      </c>
      <c r="F174" s="6" t="n"/>
      <c r="G174" t="inlineStr">
        <is>
          <t>Concrete</t>
        </is>
      </c>
      <c r="H174" s="6" t="n">
        <v>1</v>
      </c>
      <c r="I174" s="6" t="n">
        <v>1</v>
      </c>
      <c r="J174" s="6" t="n">
        <v>1</v>
      </c>
      <c r="K174" s="6" t="n"/>
      <c r="X174" s="6" t="n">
        <v>2000</v>
      </c>
    </row>
    <row r="175">
      <c r="A175" t="inlineStr">
        <is>
          <t>redalert2mod</t>
        </is>
      </c>
      <c r="B175" t="inlineStr">
        <is>
          <t>asianalliance_chaosstorminductor</t>
        </is>
      </c>
      <c r="C175" t="inlineStr">
        <is>
          <t>Chaos Storm Inductor</t>
        </is>
      </c>
      <c r="D175" s="6" t="inlineStr">
        <is>
          <t>Building</t>
        </is>
      </c>
      <c r="E175" s="6" t="n">
        <v>1000000</v>
      </c>
      <c r="F175" s="6" t="n"/>
      <c r="G175" t="inlineStr">
        <is>
          <t>Concrete</t>
        </is>
      </c>
      <c r="H175" s="6" t="n">
        <v>0.55</v>
      </c>
      <c r="I175" s="6" t="n">
        <v>1</v>
      </c>
      <c r="J175" s="6" t="n">
        <v>1</v>
      </c>
      <c r="K175" s="6" t="n"/>
      <c r="X175" s="6" t="n">
        <v>5000</v>
      </c>
    </row>
    <row r="176">
      <c r="A176" t="inlineStr">
        <is>
          <t>redalert2mod</t>
        </is>
      </c>
      <c r="B176" t="inlineStr">
        <is>
          <t>asianalliance_chaostower</t>
        </is>
      </c>
      <c r="C176" t="inlineStr">
        <is>
          <t>Chaos Tower</t>
        </is>
      </c>
      <c r="D176" s="6" t="inlineStr">
        <is>
          <t>AdvancedDefense</t>
        </is>
      </c>
      <c r="E176" s="6" t="n">
        <v>100000</v>
      </c>
      <c r="F176" s="6" t="n"/>
      <c r="G176" t="inlineStr">
        <is>
          <t>Steel</t>
        </is>
      </c>
      <c r="H176" s="6" t="n">
        <v>0.4125</v>
      </c>
      <c r="I176" s="6" t="n">
        <v>1</v>
      </c>
      <c r="J176" s="6" t="n">
        <v>1</v>
      </c>
      <c r="K176" s="6" t="n"/>
      <c r="X176" s="6" t="n">
        <v>1000</v>
      </c>
    </row>
    <row r="177">
      <c r="B177" s="7" t="inlineStr">
        <is>
          <t xml:space="preserve">  ↳ AsianChaosTurret</t>
        </is>
      </c>
      <c r="C177" s="7" t="inlineStr">
        <is>
          <t>Armament</t>
        </is>
      </c>
      <c r="L177" s="6" t="n"/>
      <c r="M177" s="6" t="n">
        <v>125</v>
      </c>
      <c r="N177" s="6" t="n">
        <v>1</v>
      </c>
      <c r="O177" s="6" t="n"/>
      <c r="P177" s="6" t="n">
        <v>5000</v>
      </c>
      <c r="Q177" s="6" t="n">
        <v>1</v>
      </c>
      <c r="R177">
        <f>M177+IF(N177&gt;1,N(O177)*(N177-1),0)</f>
        <v/>
      </c>
      <c r="S177">
        <f>IFERROR(L177*MAX(N177,1)/R177*IF(ISBLANK(K176),1,K176),0)</f>
        <v/>
      </c>
      <c r="AB177" s="7" t="inlineStr"/>
    </row>
    <row r="178">
      <c r="A178" t="inlineStr">
        <is>
          <t>redalert2mod</t>
        </is>
      </c>
      <c r="B178" t="inlineStr">
        <is>
          <t>asianalliance_concretebarrier</t>
        </is>
      </c>
      <c r="C178" t="inlineStr">
        <is>
          <t>Concrete Barrier</t>
        </is>
      </c>
      <c r="D178" s="6" t="inlineStr">
        <is>
          <t>Building</t>
        </is>
      </c>
      <c r="E178" s="6" t="n">
        <v>100000</v>
      </c>
      <c r="F178" s="6" t="n"/>
      <c r="G178" t="inlineStr">
        <is>
          <t>Concrete</t>
        </is>
      </c>
      <c r="H178" s="6" t="n">
        <v>1</v>
      </c>
      <c r="I178" s="6" t="n">
        <v>1</v>
      </c>
      <c r="J178" s="6" t="n">
        <v>1</v>
      </c>
      <c r="K178" s="6" t="n"/>
      <c r="X178" s="6" t="n">
        <v>200</v>
      </c>
    </row>
    <row r="179">
      <c r="A179" t="inlineStr">
        <is>
          <t>redalert2mod</t>
        </is>
      </c>
      <c r="B179" t="inlineStr">
        <is>
          <t>asianalliance_hyperionprojector</t>
        </is>
      </c>
      <c r="C179" t="inlineStr">
        <is>
          <t>Hyperion Projector</t>
        </is>
      </c>
      <c r="D179" s="6" t="inlineStr">
        <is>
          <t>AntiAirDefense</t>
        </is>
      </c>
      <c r="E179" s="6" t="n">
        <v>100000</v>
      </c>
      <c r="F179" s="6" t="n"/>
      <c r="G179" t="inlineStr">
        <is>
          <t>Concrete</t>
        </is>
      </c>
      <c r="H179" s="6" t="n">
        <v>0.4125</v>
      </c>
      <c r="I179" s="6" t="n">
        <v>1</v>
      </c>
      <c r="J179" s="6" t="n">
        <v>1</v>
      </c>
      <c r="K179" s="6" t="n"/>
      <c r="X179" s="6" t="n">
        <v>1000</v>
      </c>
    </row>
    <row r="180">
      <c r="B180" s="7" t="inlineStr">
        <is>
          <t xml:space="preserve">  ↳ AAHyperionMagnet</t>
        </is>
      </c>
      <c r="C180" s="7" t="inlineStr">
        <is>
          <t>Armament@Normal</t>
        </is>
      </c>
      <c r="L180" s="6" t="n">
        <v>2000</v>
      </c>
      <c r="M180" s="6" t="n">
        <v>200</v>
      </c>
      <c r="N180" s="6" t="n">
        <v>100</v>
      </c>
      <c r="O180" s="6" t="n">
        <v>1</v>
      </c>
      <c r="P180" s="6" t="n">
        <v>9000</v>
      </c>
      <c r="Q180" s="6" t="n">
        <v>1.25</v>
      </c>
      <c r="R180">
        <f>M180+IF(N180&gt;1,N(O180)*(N180-1),0)</f>
        <v/>
      </c>
      <c r="S180">
        <f>IFERROR(L180*MAX(N180,1)/R180*IF(ISBLANK(K179),1,K179),0)</f>
        <v/>
      </c>
      <c r="AB180" s="7" t="inlineStr">
        <is>
          <t>^Warhead_Laser_Heavy</t>
        </is>
      </c>
    </row>
    <row r="181">
      <c r="A181" t="inlineStr">
        <is>
          <t>redalert2mod</t>
        </is>
      </c>
      <c r="B181" t="inlineStr">
        <is>
          <t>asianalliance_militaryacademy</t>
        </is>
      </c>
      <c r="C181" t="inlineStr">
        <is>
          <t>Military Academy</t>
        </is>
      </c>
      <c r="D181" s="6" t="inlineStr">
        <is>
          <t>Building</t>
        </is>
      </c>
      <c r="E181" s="6" t="n">
        <v>500000</v>
      </c>
      <c r="F181" s="6" t="n"/>
      <c r="G181" t="inlineStr">
        <is>
          <t>Concrete</t>
        </is>
      </c>
      <c r="H181" s="6" t="n">
        <v>0.55</v>
      </c>
      <c r="I181" s="6" t="n">
        <v>1</v>
      </c>
      <c r="J181" s="6" t="n">
        <v>1</v>
      </c>
      <c r="K181" s="6" t="n"/>
      <c r="X181" s="6" t="n">
        <v>5000</v>
      </c>
    </row>
    <row r="182">
      <c r="A182" t="inlineStr">
        <is>
          <t>redalert2mod</t>
        </is>
      </c>
      <c r="B182" t="inlineStr">
        <is>
          <t>asianalliance_plasmacannon</t>
        </is>
      </c>
      <c r="C182" t="inlineStr">
        <is>
          <t>Plasma Cannon</t>
        </is>
      </c>
      <c r="D182" s="6" t="inlineStr">
        <is>
          <t>AdvancedDefense</t>
        </is>
      </c>
      <c r="E182" s="6" t="n">
        <v>300000</v>
      </c>
      <c r="F182" s="6" t="n"/>
      <c r="G182" t="inlineStr">
        <is>
          <t>Steel</t>
        </is>
      </c>
      <c r="H182" s="6" t="n">
        <v>0.4125</v>
      </c>
      <c r="I182" s="6" t="n">
        <v>1</v>
      </c>
      <c r="J182" s="6" t="n">
        <v>1</v>
      </c>
      <c r="K182" s="6" t="n"/>
      <c r="X182" s="6" t="n">
        <v>4000</v>
      </c>
    </row>
    <row r="183">
      <c r="B183" s="7" t="inlineStr">
        <is>
          <t xml:space="preserve">  ↳ AsianTurretPlasma</t>
        </is>
      </c>
      <c r="C183" s="7" t="inlineStr">
        <is>
          <t>Armament</t>
        </is>
      </c>
      <c r="L183" s="6" t="n">
        <v>16000</v>
      </c>
      <c r="M183" s="6" t="n">
        <v>90</v>
      </c>
      <c r="N183" s="6" t="n">
        <v>2</v>
      </c>
      <c r="O183" s="6" t="n">
        <v>6</v>
      </c>
      <c r="P183" s="6" t="n">
        <v>14000</v>
      </c>
      <c r="Q183" s="6" t="n">
        <v>1.125</v>
      </c>
      <c r="R183">
        <f>M183+IF(N183&gt;1,N(O183)*(N183-1),0)</f>
        <v/>
      </c>
      <c r="S183">
        <f>IFERROR(L183*MAX(N183,1)/R183*IF(ISBLANK(K182),1,K182),0)</f>
        <v/>
      </c>
      <c r="AB183" s="7" t="inlineStr">
        <is>
          <t>^Warhead_CannonHE_Medium, ^Warhead_CannonHE_Heavy</t>
        </is>
      </c>
    </row>
    <row r="184">
      <c r="A184" t="inlineStr">
        <is>
          <t>redalert2mod</t>
        </is>
      </c>
      <c r="B184" t="inlineStr">
        <is>
          <t>asianalliance_pulsar</t>
        </is>
      </c>
      <c r="C184" t="inlineStr">
        <is>
          <t>Pulsar</t>
        </is>
      </c>
      <c r="D184" s="6" t="inlineStr">
        <is>
          <t>AntiAirDefense</t>
        </is>
      </c>
      <c r="E184" s="6" t="n">
        <v>80000</v>
      </c>
      <c r="F184" s="6" t="n"/>
      <c r="G184" t="inlineStr">
        <is>
          <t>Concrete</t>
        </is>
      </c>
      <c r="H184" s="6" t="n">
        <v>0.825</v>
      </c>
      <c r="I184" s="6" t="n">
        <v>1</v>
      </c>
      <c r="J184" s="6" t="n">
        <v>1</v>
      </c>
      <c r="K184" s="6" t="n"/>
      <c r="X184" s="6" t="n">
        <v>900</v>
      </c>
    </row>
    <row r="185">
      <c r="B185" s="7" t="inlineStr">
        <is>
          <t xml:space="preserve">  ↳ AsianPhotonCannon</t>
        </is>
      </c>
      <c r="C185" s="7" t="inlineStr">
        <is>
          <t>Armament</t>
        </is>
      </c>
      <c r="L185" s="6" t="n">
        <v>8000</v>
      </c>
      <c r="M185" s="6" t="n">
        <v>13</v>
      </c>
      <c r="N185" s="6" t="n">
        <v>1</v>
      </c>
      <c r="O185" s="6" t="n"/>
      <c r="P185" s="6" t="n">
        <v>14000</v>
      </c>
      <c r="Q185" s="6" t="n">
        <v>1</v>
      </c>
      <c r="R185">
        <f>M185+IF(N185&gt;1,N(O185)*(N185-1),0)</f>
        <v/>
      </c>
      <c r="S185">
        <f>IFERROR(L185*MAX(N185,1)/R185*IF(ISBLANK(K184),1,K184),0)</f>
        <v/>
      </c>
      <c r="AB185" s="7" t="inlineStr">
        <is>
          <t>^MediumMissile, ^FlakWeapon, ^TeslaWeapon, ^MagicWeapon</t>
        </is>
      </c>
    </row>
    <row r="186">
      <c r="B186" s="7" t="inlineStr">
        <is>
          <t xml:space="preserve">  ↳ AsianPhotonCannon_EMP</t>
        </is>
      </c>
      <c r="C186" s="7" t="inlineStr">
        <is>
          <t>Armament@Upgrade</t>
        </is>
      </c>
      <c r="L186" s="6" t="n">
        <v>8000</v>
      </c>
      <c r="M186" s="6" t="n">
        <v>13</v>
      </c>
      <c r="N186" s="6" t="n">
        <v>1</v>
      </c>
      <c r="O186" s="6" t="n"/>
      <c r="P186" s="6" t="n">
        <v>14000</v>
      </c>
      <c r="Q186" s="6" t="n">
        <v>1</v>
      </c>
      <c r="R186">
        <f>M186+IF(N186&gt;1,N(O186)*(N186-1),0)</f>
        <v/>
      </c>
      <c r="S186">
        <f>IFERROR(L186*MAX(N186,1)/R186*IF(ISBLANK(K184),1,K184),0)</f>
        <v/>
      </c>
      <c r="AB186" s="7" t="inlineStr">
        <is>
          <t>AsianPhotonCannon</t>
        </is>
      </c>
    </row>
    <row r="187">
      <c r="A187" t="inlineStr">
        <is>
          <t>redalert2mod</t>
        </is>
      </c>
      <c r="B187" t="inlineStr">
        <is>
          <t>asianalliance_railtower</t>
        </is>
      </c>
      <c r="C187" t="inlineStr">
        <is>
          <t>Rail Tower</t>
        </is>
      </c>
      <c r="D187" s="6" t="inlineStr">
        <is>
          <t>AdvancedDefense</t>
        </is>
      </c>
      <c r="E187" s="6" t="n">
        <v>125000</v>
      </c>
      <c r="F187" s="6" t="n"/>
      <c r="G187" t="inlineStr">
        <is>
          <t>Steel</t>
        </is>
      </c>
      <c r="H187" s="6" t="n">
        <v>0.55</v>
      </c>
      <c r="I187" s="6" t="n">
        <v>1</v>
      </c>
      <c r="J187" s="6" t="n">
        <v>1</v>
      </c>
      <c r="K187" s="6" t="n"/>
      <c r="X187" s="6" t="n">
        <v>2500</v>
      </c>
    </row>
    <row r="188">
      <c r="B188" s="7" t="inlineStr">
        <is>
          <t xml:space="preserve">  ↳ AsianRailgun</t>
        </is>
      </c>
      <c r="C188" s="7" t="inlineStr">
        <is>
          <t>Armament</t>
        </is>
      </c>
      <c r="L188" s="6" t="n">
        <v>30000</v>
      </c>
      <c r="M188" s="6" t="n">
        <v>10</v>
      </c>
      <c r="N188" s="6" t="n">
        <v>1</v>
      </c>
      <c r="O188" s="6" t="n"/>
      <c r="P188" s="6" t="n">
        <v>9600</v>
      </c>
      <c r="Q188" s="6" t="n">
        <v>1.25</v>
      </c>
      <c r="R188">
        <f>M188+IF(N188&gt;1,N(O188)*(N188-1),0)</f>
        <v/>
      </c>
      <c r="S188">
        <f>IFERROR(L188*MAX(N188,1)/R188*IF(ISBLANK(K187),1,K187),0)</f>
        <v/>
      </c>
      <c r="AB188" s="7" t="inlineStr">
        <is>
          <t>^Warhead_Railgun_Heavy</t>
        </is>
      </c>
    </row>
    <row r="189">
      <c r="A189" t="inlineStr">
        <is>
          <t>redalert2mod</t>
        </is>
      </c>
      <c r="B189" t="inlineStr">
        <is>
          <t>asianalliance_spitfire</t>
        </is>
      </c>
      <c r="C189" t="inlineStr">
        <is>
          <t>Spitfire</t>
        </is>
      </c>
      <c r="D189" s="6" t="inlineStr">
        <is>
          <t>AdvancedDefense</t>
        </is>
      </c>
      <c r="E189" s="6" t="n">
        <v>100000</v>
      </c>
      <c r="F189" s="6" t="n"/>
      <c r="G189" t="inlineStr">
        <is>
          <t>Steel</t>
        </is>
      </c>
      <c r="H189" s="6" t="n">
        <v>0.4125</v>
      </c>
      <c r="I189" s="6" t="n">
        <v>1</v>
      </c>
      <c r="J189" s="6" t="n">
        <v>1</v>
      </c>
      <c r="K189" s="6" t="n"/>
      <c r="X189" s="6" t="n">
        <v>2000</v>
      </c>
    </row>
    <row r="190">
      <c r="B190" s="7" t="inlineStr">
        <is>
          <t xml:space="preserve">  ↳ AsianSpitfireRockets</t>
        </is>
      </c>
      <c r="C190" s="7" t="inlineStr">
        <is>
          <t>Armament</t>
        </is>
      </c>
      <c r="L190" s="6" t="n">
        <v>16000</v>
      </c>
      <c r="M190" s="6" t="n">
        <v>90</v>
      </c>
      <c r="N190" s="6" t="n">
        <v>8</v>
      </c>
      <c r="O190" s="6" t="n">
        <v>4</v>
      </c>
      <c r="P190" s="6" t="n">
        <v>12000</v>
      </c>
      <c r="Q190" s="6" t="n">
        <v>0.875</v>
      </c>
      <c r="R190">
        <f>M190+IF(N190&gt;1,N(O190)*(N190-1),0)</f>
        <v/>
      </c>
      <c r="S190">
        <f>IFERROR(L190*MAX(N190,1)/R190*IF(ISBLANK(K189),1,K189),0)</f>
        <v/>
      </c>
      <c r="AB190" s="7" t="inlineStr">
        <is>
          <t>^Warhead_Demolition_Light, ^Warhead_MissileAP_Medium</t>
        </is>
      </c>
    </row>
    <row r="191">
      <c r="A191" t="inlineStr">
        <is>
          <t>redalert2mod</t>
        </is>
      </c>
      <c r="B191" t="inlineStr">
        <is>
          <t>asianalliance_tankreactor</t>
        </is>
      </c>
      <c r="C191" t="inlineStr">
        <is>
          <t>Tank Reactor</t>
        </is>
      </c>
      <c r="D191" s="6" t="inlineStr">
        <is>
          <t>Building</t>
        </is>
      </c>
      <c r="E191" s="6" t="n">
        <v>350000</v>
      </c>
      <c r="F191" s="6" t="n"/>
      <c r="G191" t="inlineStr">
        <is>
          <t>Concrete</t>
        </is>
      </c>
      <c r="H191" s="6" t="n">
        <v>0.55</v>
      </c>
      <c r="I191" s="6" t="n">
        <v>1</v>
      </c>
      <c r="J191" s="6" t="n">
        <v>1</v>
      </c>
      <c r="K191" s="6" t="n"/>
      <c r="X191" s="6" t="n">
        <v>1500</v>
      </c>
    </row>
    <row r="192">
      <c r="A192" t="inlineStr">
        <is>
          <t>redalert2mod</t>
        </is>
      </c>
      <c r="B192" t="inlineStr">
        <is>
          <t>cgpnch.asian</t>
        </is>
      </c>
      <c r="C192" t="inlineStr">
        <is>
          <t>Punisher</t>
        </is>
      </c>
      <c r="D192" s="6" t="inlineStr">
        <is>
          <t>BasicDefense</t>
        </is>
      </c>
      <c r="E192" s="6" t="n">
        <v>140000</v>
      </c>
      <c r="F192" s="6" t="n"/>
      <c r="G192" t="inlineStr">
        <is>
          <t>Concrete</t>
        </is>
      </c>
      <c r="H192" s="6" t="n">
        <v>0.7857</v>
      </c>
      <c r="I192" s="6" t="n">
        <v>1</v>
      </c>
      <c r="J192" s="6" t="n">
        <v>1</v>
      </c>
      <c r="K192" s="6" t="n"/>
      <c r="X192" s="6" t="n">
        <v>1200</v>
      </c>
    </row>
    <row r="193">
      <c r="B193" s="7" t="inlineStr">
        <is>
          <t xml:space="preserve">  ↳ AsianPunisherAG</t>
        </is>
      </c>
      <c r="C193" s="7" t="inlineStr">
        <is>
          <t>Armament</t>
        </is>
      </c>
      <c r="L193" s="6" t="n">
        <v>8000</v>
      </c>
      <c r="M193" s="6" t="n">
        <v>12</v>
      </c>
      <c r="N193" s="6" t="n">
        <v>1</v>
      </c>
      <c r="O193" s="6" t="n"/>
      <c r="P193" s="6" t="n">
        <v>12000</v>
      </c>
      <c r="Q193" s="6" t="n">
        <v>1</v>
      </c>
      <c r="R193">
        <f>M193+IF(N193&gt;1,N(O193)*(N193-1),0)</f>
        <v/>
      </c>
      <c r="S193">
        <f>IFERROR(L193*MAX(N193,1)/R193*IF(ISBLANK(K192),1,K192),0)</f>
        <v/>
      </c>
      <c r="AB193" s="7" t="inlineStr">
        <is>
          <t>AsianPhotonCannon</t>
        </is>
      </c>
    </row>
    <row r="194">
      <c r="B194" s="7" t="inlineStr">
        <is>
          <t xml:space="preserve">  ↳ AsianPunisherAG_EMP</t>
        </is>
      </c>
      <c r="C194" s="7" t="inlineStr">
        <is>
          <t>Armament@Upgrade</t>
        </is>
      </c>
      <c r="L194" s="6" t="n">
        <v>8000</v>
      </c>
      <c r="M194" s="6" t="n">
        <v>12</v>
      </c>
      <c r="N194" s="6" t="n">
        <v>1</v>
      </c>
      <c r="O194" s="6" t="n"/>
      <c r="P194" s="6" t="n">
        <v>12000</v>
      </c>
      <c r="Q194" s="6" t="n">
        <v>1</v>
      </c>
      <c r="R194">
        <f>M194+IF(N194&gt;1,N(O194)*(N194-1),0)</f>
        <v/>
      </c>
      <c r="S194">
        <f>IFERROR(L194*MAX(N194,1)/R194*IF(ISBLANK(K192),1,K192),0)</f>
        <v/>
      </c>
      <c r="AB194" s="7" t="inlineStr">
        <is>
          <t>AsianPunisherAG</t>
        </is>
      </c>
    </row>
    <row r="195">
      <c r="A195" t="inlineStr">
        <is>
          <t>redalert2mod</t>
        </is>
      </c>
      <c r="B195" t="inlineStr">
        <is>
          <t>cgyard.asian</t>
        </is>
      </c>
      <c r="C195" t="inlineStr">
        <is>
          <t>Asian Naval Yard</t>
        </is>
      </c>
      <c r="D195" s="6" t="inlineStr">
        <is>
          <t>Building</t>
        </is>
      </c>
      <c r="E195" s="6" t="n">
        <v>600000</v>
      </c>
      <c r="F195" s="6" t="n"/>
      <c r="G195" t="inlineStr">
        <is>
          <t>Concrete</t>
        </is>
      </c>
      <c r="H195" s="6" t="n">
        <v>1</v>
      </c>
      <c r="I195" s="6" t="n">
        <v>1</v>
      </c>
      <c r="J195" s="6" t="n">
        <v>1</v>
      </c>
      <c r="K195" s="6" t="n"/>
      <c r="X195" s="6" t="n">
        <v>3000</v>
      </c>
    </row>
    <row r="196">
      <c r="A196" s="4" t="inlineStr">
        <is>
          <t>UPGRADES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t="inlineStr">
        <is>
          <t>redalert2mod</t>
        </is>
      </c>
      <c r="B197" t="inlineStr">
        <is>
          <t>asianalliance_doctrine_asianphalanx</t>
        </is>
      </c>
      <c r="C197" t="inlineStr">
        <is>
          <t>Asian Phalanx</t>
        </is>
      </c>
      <c r="D197" s="6" t="inlineStr">
        <is>
          <t>Doctrine</t>
        </is>
      </c>
      <c r="E197" s="6" t="n"/>
      <c r="F197" s="6" t="n"/>
      <c r="H197" s="6" t="n">
        <v>0.825</v>
      </c>
      <c r="I197" s="6" t="n">
        <v>1</v>
      </c>
      <c r="J197" s="6" t="n">
        <v>1</v>
      </c>
      <c r="K197" s="6" t="n"/>
      <c r="X197" s="6" t="n">
        <v>5000</v>
      </c>
    </row>
    <row r="198">
      <c r="A198" t="inlineStr">
        <is>
          <t>redalert2mod</t>
        </is>
      </c>
      <c r="B198" t="inlineStr">
        <is>
          <t>asianalliance_doctrine_heavypulverizerweapons</t>
        </is>
      </c>
      <c r="C198" t="inlineStr">
        <is>
          <t>Heavy Pulverizer Weapons</t>
        </is>
      </c>
      <c r="D198" s="6" t="inlineStr">
        <is>
          <t>Doctrine</t>
        </is>
      </c>
      <c r="E198" s="6" t="n"/>
      <c r="F198" s="6" t="n"/>
      <c r="H198" s="6" t="n">
        <v>0.825</v>
      </c>
      <c r="I198" s="6" t="n">
        <v>1</v>
      </c>
      <c r="J198" s="6" t="n">
        <v>1</v>
      </c>
      <c r="K198" s="6" t="n"/>
      <c r="X198" s="6" t="n">
        <v>5000</v>
      </c>
    </row>
    <row r="199">
      <c r="A199" t="inlineStr">
        <is>
          <t>redalert2mod</t>
        </is>
      </c>
      <c r="B199" t="inlineStr">
        <is>
          <t>asianalliance_doctrine_modernizedinfantryequipment</t>
        </is>
      </c>
      <c r="C199" t="inlineStr">
        <is>
          <t>Modernized Infantry Equipment</t>
        </is>
      </c>
      <c r="D199" s="6" t="inlineStr">
        <is>
          <t>Doctrine</t>
        </is>
      </c>
      <c r="E199" s="6" t="n"/>
      <c r="F199" s="6" t="n"/>
      <c r="H199" s="6" t="n">
        <v>0.825</v>
      </c>
      <c r="I199" s="6" t="n">
        <v>1</v>
      </c>
      <c r="J199" s="6" t="n">
        <v>1</v>
      </c>
      <c r="K199" s="6" t="n"/>
      <c r="X199" s="6" t="n">
        <v>5000</v>
      </c>
    </row>
    <row r="200">
      <c r="A200" t="inlineStr">
        <is>
          <t>redalert2mod</t>
        </is>
      </c>
      <c r="B200" t="inlineStr">
        <is>
          <t>asianalliance_upgrade_asiandiplomacy</t>
        </is>
      </c>
      <c r="C200" t="inlineStr">
        <is>
          <t>Asian Diplomacy</t>
        </is>
      </c>
      <c r="D200" s="6" t="inlineStr">
        <is>
          <t>TeamUpgrade</t>
        </is>
      </c>
      <c r="E200" s="6" t="n"/>
      <c r="F200" s="6" t="n"/>
      <c r="H200" s="6" t="n">
        <v>0.4125</v>
      </c>
      <c r="I200" s="6" t="n">
        <v>1</v>
      </c>
      <c r="J200" s="6" t="n">
        <v>1</v>
      </c>
      <c r="K200" s="6" t="n"/>
      <c r="X200" s="6" t="n">
        <v>10000</v>
      </c>
    </row>
    <row r="201">
      <c r="A201" t="inlineStr">
        <is>
          <t>redalert2mod</t>
        </is>
      </c>
      <c r="B201" t="inlineStr">
        <is>
          <t>asianalliance_upgrade_banzaimode</t>
        </is>
      </c>
      <c r="C201" t="inlineStr">
        <is>
          <t>Banzai Mode</t>
        </is>
      </c>
      <c r="D201" s="6" t="inlineStr">
        <is>
          <t>TechUpgrade</t>
        </is>
      </c>
      <c r="E201" s="6" t="n"/>
      <c r="F201" s="6" t="n"/>
      <c r="H201" s="6" t="n">
        <v>0.4125</v>
      </c>
      <c r="I201" s="6" t="n">
        <v>1</v>
      </c>
      <c r="J201" s="6" t="n">
        <v>1</v>
      </c>
      <c r="K201" s="6" t="n"/>
      <c r="X201" s="6" t="n">
        <v>7500</v>
      </c>
    </row>
    <row r="202">
      <c r="A202" t="inlineStr">
        <is>
          <t>redalert2mod</t>
        </is>
      </c>
      <c r="B202" t="inlineStr">
        <is>
          <t>asianalliance_upgrade_celestialpower</t>
        </is>
      </c>
      <c r="C202" t="inlineStr">
        <is>
          <t>Celestial Power</t>
        </is>
      </c>
      <c r="D202" s="6" t="inlineStr">
        <is>
          <t>TechUpgrade</t>
        </is>
      </c>
      <c r="E202" s="6" t="n"/>
      <c r="F202" s="6" t="n"/>
      <c r="H202" s="6" t="n">
        <v>0.55</v>
      </c>
      <c r="I202" s="6" t="n">
        <v>1</v>
      </c>
      <c r="J202" s="6" t="n">
        <v>1</v>
      </c>
      <c r="K202" s="6" t="n"/>
      <c r="X202" s="6" t="n">
        <v>7500</v>
      </c>
    </row>
    <row r="203">
      <c r="A203" t="inlineStr">
        <is>
          <t>redalert2mod</t>
        </is>
      </c>
      <c r="B203" t="inlineStr">
        <is>
          <t>asianalliance_upgrade_chaosbombs</t>
        </is>
      </c>
      <c r="C203" t="inlineStr">
        <is>
          <t>Unlock Chaos Bombs</t>
        </is>
      </c>
      <c r="D203" s="6" t="inlineStr">
        <is>
          <t>UnitUpgrade</t>
        </is>
      </c>
      <c r="E203" s="6" t="n"/>
      <c r="F203" s="6" t="n"/>
      <c r="H203" s="6" t="n">
        <v>0.4125</v>
      </c>
      <c r="I203" s="6" t="n">
        <v>1</v>
      </c>
      <c r="J203" s="6" t="n">
        <v>1</v>
      </c>
      <c r="K203" s="6" t="n"/>
      <c r="X203" s="6" t="n">
        <v>2500</v>
      </c>
    </row>
    <row r="204">
      <c r="A204" t="inlineStr">
        <is>
          <t>redalert2mod</t>
        </is>
      </c>
      <c r="B204" t="inlineStr">
        <is>
          <t>asianalliance_upgrade_clusterbombs</t>
        </is>
      </c>
      <c r="C204" t="inlineStr">
        <is>
          <t>Unlock Cluster Bombs</t>
        </is>
      </c>
      <c r="D204" s="6" t="inlineStr">
        <is>
          <t>UnitUpgrade</t>
        </is>
      </c>
      <c r="E204" s="6" t="n"/>
      <c r="F204" s="6" t="n"/>
      <c r="H204" s="6" t="n">
        <v>0.825</v>
      </c>
      <c r="I204" s="6" t="n">
        <v>1</v>
      </c>
      <c r="J204" s="6" t="n">
        <v>1</v>
      </c>
      <c r="K204" s="6" t="n"/>
      <c r="X204" s="6" t="n">
        <v>2500</v>
      </c>
    </row>
    <row r="205">
      <c r="A205" t="inlineStr">
        <is>
          <t>redalert2mod</t>
        </is>
      </c>
      <c r="B205" t="inlineStr">
        <is>
          <t>asianalliance_upgrade_dragonfire</t>
        </is>
      </c>
      <c r="C205" t="inlineStr">
        <is>
          <t>Dragon Fire</t>
        </is>
      </c>
      <c r="D205" s="6" t="inlineStr">
        <is>
          <t>TechUpgrade</t>
        </is>
      </c>
      <c r="E205" s="6" t="n"/>
      <c r="F205" s="6" t="n"/>
      <c r="H205" s="6" t="n">
        <v>0.55</v>
      </c>
      <c r="I205" s="6" t="n">
        <v>1</v>
      </c>
      <c r="J205" s="6" t="n">
        <v>1</v>
      </c>
      <c r="K205" s="6" t="n"/>
      <c r="X205" s="6" t="n">
        <v>7500</v>
      </c>
    </row>
    <row r="206">
      <c r="A206" t="inlineStr">
        <is>
          <t>redalert2mod</t>
        </is>
      </c>
      <c r="B206" t="inlineStr">
        <is>
          <t>asianalliance_upgrade_massparadrop</t>
        </is>
      </c>
      <c r="C206" t="inlineStr">
        <is>
          <t>Unlock Mass Paradrop</t>
        </is>
      </c>
      <c r="D206" s="6" t="inlineStr">
        <is>
          <t>UnitUpgrade</t>
        </is>
      </c>
      <c r="E206" s="6" t="n"/>
      <c r="F206" s="6" t="n"/>
      <c r="H206" s="6" t="n">
        <v>0.825</v>
      </c>
      <c r="I206" s="6" t="n">
        <v>1</v>
      </c>
      <c r="J206" s="6" t="n">
        <v>1</v>
      </c>
      <c r="K206" s="6" t="n"/>
      <c r="X206" s="6" t="n">
        <v>2500</v>
      </c>
    </row>
    <row r="207">
      <c r="A207" t="inlineStr">
        <is>
          <t>redalert2mod</t>
        </is>
      </c>
      <c r="B207" t="inlineStr">
        <is>
          <t>asianalliance_upgrade_wayofthedragon</t>
        </is>
      </c>
      <c r="C207" t="inlineStr">
        <is>
          <t>Way of the Dragon</t>
        </is>
      </c>
      <c r="D207" s="6" t="inlineStr">
        <is>
          <t>TeamUpgrade</t>
        </is>
      </c>
      <c r="E207" s="6" t="n"/>
      <c r="F207" s="6" t="n"/>
      <c r="H207" s="6" t="n">
        <v>0.4125</v>
      </c>
      <c r="I207" s="6" t="n">
        <v>1</v>
      </c>
      <c r="J207" s="6" t="n">
        <v>1</v>
      </c>
      <c r="K207" s="6" t="n"/>
      <c r="X207" s="6" t="n">
        <v>10000</v>
      </c>
    </row>
    <row r="208">
      <c r="A208" t="inlineStr">
        <is>
          <t>redalert2mod</t>
        </is>
      </c>
      <c r="B208" t="inlineStr">
        <is>
          <t>cgcnst_infiltrated.asian</t>
        </is>
      </c>
      <c r="C208" t="inlineStr">
        <is>
          <t>Stolen Asian Buildings Plans</t>
        </is>
      </c>
      <c r="D208" s="6" t="inlineStr">
        <is>
          <t>ResearchedUpgrade</t>
        </is>
      </c>
      <c r="E208" s="6" t="n"/>
      <c r="F208" s="6" t="n"/>
      <c r="H208" s="6" t="n">
        <v>1</v>
      </c>
      <c r="I208" s="6" t="n">
        <v>1</v>
      </c>
      <c r="J208" s="6" t="n">
        <v>1</v>
      </c>
      <c r="K208" s="6" t="n"/>
      <c r="X208" s="6" t="n"/>
    </row>
    <row r="209">
      <c r="A209" t="inlineStr">
        <is>
          <t>redalert2mod</t>
        </is>
      </c>
      <c r="B209" t="inlineStr">
        <is>
          <t>up_dragonway_proxy_actor.asian</t>
        </is>
      </c>
      <c r="C209" t="inlineStr">
        <is>
          <t>Way of the Dragon</t>
        </is>
      </c>
      <c r="D209" s="6" t="inlineStr">
        <is>
          <t>ResearchedUpgrade</t>
        </is>
      </c>
      <c r="E209" s="6" t="n"/>
      <c r="F209" s="6" t="n"/>
      <c r="H209" s="6" t="n">
        <v>1</v>
      </c>
      <c r="I209" s="6" t="n">
        <v>1</v>
      </c>
      <c r="J209" s="6" t="n">
        <v>1</v>
      </c>
      <c r="K209" s="6" t="n"/>
      <c r="X209" s="6" t="n"/>
    </row>
    <row r="210">
      <c r="A210" t="inlineStr">
        <is>
          <t>redalert2mod</t>
        </is>
      </c>
      <c r="B210" t="inlineStr">
        <is>
          <t>up_team_diplomacy_proxy_actor.asian</t>
        </is>
      </c>
      <c r="C210" t="inlineStr">
        <is>
          <t>Asian Diplomacy</t>
        </is>
      </c>
      <c r="D210" s="6" t="inlineStr">
        <is>
          <t>ResearchedUpgrade</t>
        </is>
      </c>
      <c r="E210" s="6" t="n"/>
      <c r="F210" s="6" t="n"/>
      <c r="H210" s="6" t="n">
        <v>1</v>
      </c>
      <c r="I210" s="6" t="n">
        <v>1</v>
      </c>
      <c r="J210" s="6" t="n">
        <v>1</v>
      </c>
      <c r="K210" s="6" t="n"/>
      <c r="X210" s="6" t="n"/>
    </row>
    <row r="211">
      <c r="A211" t="inlineStr">
        <is>
          <t>redalert2mod</t>
        </is>
      </c>
      <c r="B211" t="inlineStr">
        <is>
          <t>up_tsunami.asian</t>
        </is>
      </c>
      <c r="C211" t="inlineStr">
        <is>
          <t>Tsunami Carrier Upgrade</t>
        </is>
      </c>
      <c r="D211" s="6" t="inlineStr">
        <is>
          <t>UnitUpgrade</t>
        </is>
      </c>
      <c r="E211" s="6" t="n"/>
      <c r="F211" s="6" t="n"/>
      <c r="H211" s="6" t="n">
        <v>0.3587</v>
      </c>
      <c r="I211" s="6" t="n">
        <v>1</v>
      </c>
      <c r="J211" s="6" t="n">
        <v>1</v>
      </c>
      <c r="K211" s="6" t="n"/>
      <c r="X211" s="6" t="n">
        <v>2500</v>
      </c>
    </row>
    <row r="212">
      <c r="A212" s="4" t="inlineStr">
        <is>
          <t>PROMOTIONS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t="inlineStr">
        <is>
          <t>redalert2mod</t>
        </is>
      </c>
      <c r="B213" t="inlineStr">
        <is>
          <t>asianalliance_promotion_asdf</t>
        </is>
      </c>
      <c r="C213" t="inlineStr">
        <is>
          <t>Unlock ASDF</t>
        </is>
      </c>
      <c r="D213" s="6" t="inlineStr">
        <is>
          <t>PromotionUpgrade</t>
        </is>
      </c>
      <c r="E213" s="6" t="n"/>
      <c r="F213" s="6" t="n"/>
      <c r="H213" s="6" t="n">
        <v>1</v>
      </c>
      <c r="I213" s="6" t="n">
        <v>1</v>
      </c>
      <c r="J213" s="6" t="n">
        <v>1</v>
      </c>
      <c r="K213" s="6" t="n"/>
      <c r="X213" s="6" t="n"/>
    </row>
    <row r="214">
      <c r="A214" t="inlineStr">
        <is>
          <t>redalert2mod</t>
        </is>
      </c>
      <c r="B214" t="inlineStr">
        <is>
          <t>asianalliance_promotion_fanatic</t>
        </is>
      </c>
      <c r="C214" t="inlineStr">
        <is>
          <t>Unlock Fanatic</t>
        </is>
      </c>
      <c r="D214" s="6" t="inlineStr">
        <is>
          <t>PromotionUpgrade</t>
        </is>
      </c>
      <c r="E214" s="6" t="n"/>
      <c r="F214" s="6" t="n"/>
      <c r="H214" s="6" t="n">
        <v>1</v>
      </c>
      <c r="I214" s="6" t="n">
        <v>1</v>
      </c>
      <c r="J214" s="6" t="n">
        <v>1</v>
      </c>
      <c r="K214" s="6" t="n"/>
      <c r="X214" s="6" t="n"/>
    </row>
    <row r="215">
      <c r="A215" t="inlineStr">
        <is>
          <t>redalert2mod</t>
        </is>
      </c>
      <c r="B215" t="inlineStr">
        <is>
          <t>asianalliance_promotion_flametank</t>
        </is>
      </c>
      <c r="C215" t="inlineStr">
        <is>
          <t>Unlock Flame Tank</t>
        </is>
      </c>
      <c r="D215" s="6" t="inlineStr">
        <is>
          <t>PromotionUpgrade</t>
        </is>
      </c>
      <c r="E215" s="6" t="n"/>
      <c r="F215" s="6" t="n"/>
      <c r="H215" s="6" t="n">
        <v>1</v>
      </c>
      <c r="I215" s="6" t="n">
        <v>1</v>
      </c>
      <c r="J215" s="6" t="n">
        <v>1</v>
      </c>
      <c r="K215" s="6" t="n"/>
      <c r="X215" s="6" t="n"/>
    </row>
    <row r="216">
      <c r="A216" t="inlineStr">
        <is>
          <t>redalert2mod</t>
        </is>
      </c>
      <c r="B216" t="inlineStr">
        <is>
          <t>asianalliance_promotion_heavyrailguntank</t>
        </is>
      </c>
      <c r="C216" t="inlineStr">
        <is>
          <t>Unlock Heavy Railgun Tank</t>
        </is>
      </c>
      <c r="D216" s="6" t="inlineStr">
        <is>
          <t>PromotionUpgrade</t>
        </is>
      </c>
      <c r="E216" s="6" t="n"/>
      <c r="F216" s="6" t="n"/>
      <c r="H216" s="6" t="n">
        <v>1</v>
      </c>
      <c r="I216" s="6" t="n">
        <v>1</v>
      </c>
      <c r="J216" s="6" t="n">
        <v>1</v>
      </c>
      <c r="K216" s="6" t="n"/>
      <c r="X216" s="6" t="n"/>
    </row>
    <row r="217">
      <c r="A217" t="inlineStr">
        <is>
          <t>redalert2mod</t>
        </is>
      </c>
      <c r="B217" t="inlineStr">
        <is>
          <t>asianalliance_promotion_howitzer</t>
        </is>
      </c>
      <c r="C217" t="inlineStr">
        <is>
          <t>Unlock Howitzer</t>
        </is>
      </c>
      <c r="D217" s="6" t="inlineStr">
        <is>
          <t>PromotionUpgrade</t>
        </is>
      </c>
      <c r="E217" s="6" t="n"/>
      <c r="F217" s="6" t="n"/>
      <c r="H217" s="6" t="n">
        <v>1</v>
      </c>
      <c r="I217" s="6" t="n">
        <v>1</v>
      </c>
      <c r="J217" s="6" t="n">
        <v>1</v>
      </c>
      <c r="K217" s="6" t="n"/>
      <c r="X217" s="6" t="n"/>
    </row>
    <row r="218">
      <c r="A218" t="inlineStr">
        <is>
          <t>redalert2mod</t>
        </is>
      </c>
      <c r="B218" t="inlineStr">
        <is>
          <t>asianalliance_promotion_mlrs</t>
        </is>
      </c>
      <c r="C218" t="inlineStr">
        <is>
          <t>Unlock MLRS</t>
        </is>
      </c>
      <c r="D218" s="6" t="inlineStr">
        <is>
          <t>PromotionUpgrade</t>
        </is>
      </c>
      <c r="E218" s="6" t="n"/>
      <c r="F218" s="6" t="n"/>
      <c r="H218" s="6" t="n">
        <v>1</v>
      </c>
      <c r="I218" s="6" t="n">
        <v>1</v>
      </c>
      <c r="J218" s="6" t="n">
        <v>1</v>
      </c>
      <c r="K218" s="6" t="n"/>
      <c r="X218" s="6" t="n"/>
    </row>
    <row r="219">
      <c r="A219" t="inlineStr">
        <is>
          <t>redalert2mod</t>
        </is>
      </c>
      <c r="B219" t="inlineStr">
        <is>
          <t>asianalliance_promotion_plasmatank</t>
        </is>
      </c>
      <c r="C219" t="inlineStr">
        <is>
          <t>Unlock Plasma Tank</t>
        </is>
      </c>
      <c r="D219" s="6" t="inlineStr">
        <is>
          <t>PromotionUpgrade</t>
        </is>
      </c>
      <c r="E219" s="6" t="n"/>
      <c r="F219" s="6" t="n"/>
      <c r="H219" s="6" t="n">
        <v>1</v>
      </c>
      <c r="I219" s="6" t="n">
        <v>1</v>
      </c>
      <c r="J219" s="6" t="n">
        <v>1</v>
      </c>
      <c r="K219" s="6" t="n"/>
      <c r="X219" s="6" t="n"/>
    </row>
    <row r="220">
      <c r="A220" t="inlineStr">
        <is>
          <t>redalert2mod</t>
        </is>
      </c>
      <c r="B220" t="inlineStr">
        <is>
          <t>asianalliance_promotion_plasmatrooper</t>
        </is>
      </c>
      <c r="C220" t="inlineStr">
        <is>
          <t>Unlock Plasma Trooper</t>
        </is>
      </c>
      <c r="D220" s="6" t="inlineStr">
        <is>
          <t>PromotionUpgrade</t>
        </is>
      </c>
      <c r="E220" s="6" t="n"/>
      <c r="F220" s="6" t="n"/>
      <c r="H220" s="6" t="n">
        <v>1</v>
      </c>
      <c r="I220" s="6" t="n">
        <v>1</v>
      </c>
      <c r="J220" s="6" t="n">
        <v>1</v>
      </c>
      <c r="K220" s="6" t="n"/>
      <c r="X220" s="6" t="n"/>
    </row>
    <row r="221">
      <c r="A221" t="inlineStr">
        <is>
          <t>redalert2mod</t>
        </is>
      </c>
      <c r="B221" t="inlineStr">
        <is>
          <t>asianalliance_promotion_pulverizermecha</t>
        </is>
      </c>
      <c r="C221" t="inlineStr">
        <is>
          <t>Unlock Pulverizer Mecha</t>
        </is>
      </c>
      <c r="D221" s="6" t="inlineStr">
        <is>
          <t>PromotionUpgrade</t>
        </is>
      </c>
      <c r="E221" s="6" t="n"/>
      <c r="F221" s="6" t="n"/>
      <c r="H221" s="6" t="n">
        <v>1</v>
      </c>
      <c r="I221" s="6" t="n">
        <v>1</v>
      </c>
      <c r="J221" s="6" t="n">
        <v>1</v>
      </c>
      <c r="K221" s="6" t="n"/>
      <c r="X221" s="6" t="n"/>
    </row>
    <row r="222">
      <c r="A222" t="inlineStr">
        <is>
          <t>redalert2mod</t>
        </is>
      </c>
      <c r="B222" t="inlineStr">
        <is>
          <t>asianalliance_promotion_samurai</t>
        </is>
      </c>
      <c r="C222" t="inlineStr">
        <is>
          <t>Unlock Samurai</t>
        </is>
      </c>
      <c r="D222" s="6" t="inlineStr">
        <is>
          <t>PromotionUpgrade</t>
        </is>
      </c>
      <c r="E222" s="6" t="n"/>
      <c r="F222" s="6" t="n"/>
      <c r="H222" s="6" t="n">
        <v>1</v>
      </c>
      <c r="I222" s="6" t="n">
        <v>1</v>
      </c>
      <c r="J222" s="6" t="n">
        <v>1</v>
      </c>
      <c r="K222" s="6" t="n"/>
      <c r="X222" s="6" t="n"/>
    </row>
    <row r="223">
      <c r="A223" t="inlineStr">
        <is>
          <t>redalert2mod</t>
        </is>
      </c>
      <c r="B223" t="inlineStr">
        <is>
          <t>asianalliance_promotion_veteranarchers</t>
        </is>
      </c>
      <c r="C223" t="inlineStr">
        <is>
          <t>Unlock Veteran Archers</t>
        </is>
      </c>
      <c r="D223" s="6" t="inlineStr">
        <is>
          <t>PromotionUpgrade</t>
        </is>
      </c>
      <c r="E223" s="6" t="n"/>
      <c r="F223" s="6" t="n"/>
      <c r="H223" s="6" t="n">
        <v>1</v>
      </c>
      <c r="I223" s="6" t="n">
        <v>1</v>
      </c>
      <c r="J223" s="6" t="n">
        <v>1</v>
      </c>
      <c r="K223" s="6" t="n"/>
      <c r="X223" s="6" t="n"/>
    </row>
    <row r="224">
      <c r="A224" t="inlineStr">
        <is>
          <t>redalert2mod</t>
        </is>
      </c>
      <c r="B224" t="inlineStr">
        <is>
          <t>asianalliance_promotion_warturtle</t>
        </is>
      </c>
      <c r="C224" t="inlineStr">
        <is>
          <t>Unlock War Turtle</t>
        </is>
      </c>
      <c r="D224" s="6" t="inlineStr">
        <is>
          <t>PromotionUpgrade</t>
        </is>
      </c>
      <c r="E224" s="6" t="n"/>
      <c r="F224" s="6" t="n"/>
      <c r="H224" s="6" t="n">
        <v>1</v>
      </c>
      <c r="I224" s="6" t="n">
        <v>1</v>
      </c>
      <c r="J224" s="6" t="n">
        <v>1</v>
      </c>
      <c r="K224" s="6" t="n"/>
      <c r="X224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2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steelconsortium_clonetrooper</t>
        </is>
      </c>
      <c r="C3" t="inlineStr">
        <is>
          <t>Clone Trooper</t>
        </is>
      </c>
      <c r="D3" s="6" t="inlineStr">
        <is>
          <t>AntiTankAntiAirInfantry</t>
        </is>
      </c>
      <c r="E3" s="6" t="n">
        <v>17000</v>
      </c>
      <c r="F3" s="6" t="n">
        <v>57</v>
      </c>
      <c r="G3" t="inlineStr">
        <is>
          <t>Flak</t>
        </is>
      </c>
      <c r="H3" s="6" t="n">
        <v>1</v>
      </c>
      <c r="I3" s="6" t="n">
        <v>1</v>
      </c>
      <c r="J3" s="6" t="n">
        <v>1</v>
      </c>
      <c r="K3" s="6" t="n">
        <v>0.0091</v>
      </c>
      <c r="P3">
        <f>MAX(P4,P5,P8,P9)</f>
        <v/>
      </c>
      <c r="S3">
        <f>S4+S5+S8+S9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143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SteelCloneGun</t>
        </is>
      </c>
      <c r="C4" s="7" t="inlineStr">
        <is>
          <t>Armament@PRIMARY</t>
        </is>
      </c>
      <c r="L4" s="6" t="n">
        <v>6000</v>
      </c>
      <c r="M4" s="6" t="n">
        <v>25</v>
      </c>
      <c r="N4" s="6" t="n">
        <v>1</v>
      </c>
      <c r="O4" s="6" t="n"/>
      <c r="P4" s="6" t="n">
        <v>6463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^Warhead_CannonHE_Heavy, ^Warhead_MissileAP_Medium, ^Warhead_Bullet_Light</t>
        </is>
      </c>
    </row>
    <row r="5">
      <c r="B5" s="7" t="inlineStr">
        <is>
          <t xml:space="preserve">  ↳ SteelCloneGun_elite</t>
        </is>
      </c>
      <c r="C5" s="7" t="inlineStr">
        <is>
          <t>Armament@ELITE</t>
        </is>
      </c>
      <c r="L5" s="6" t="n">
        <v>6000</v>
      </c>
      <c r="M5" s="6" t="n">
        <v>25</v>
      </c>
      <c r="N5" s="6" t="n">
        <v>2</v>
      </c>
      <c r="O5" s="6" t="n">
        <v>3</v>
      </c>
      <c r="P5" s="6" t="n">
        <v>6000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^Warhead_CannonHE_Heavy, ^Warhead_MissileAP_Medium, ^Warhead_Bullet_Light</t>
        </is>
      </c>
    </row>
    <row r="6">
      <c r="B6" s="7" t="inlineStr">
        <is>
          <t xml:space="preserve">  ↳ SteelCloneGun</t>
        </is>
      </c>
      <c r="C6" s="7" t="inlineStr">
        <is>
          <t>Armament@GARRISONED</t>
        </is>
      </c>
      <c r="L6" s="6" t="n">
        <v>6000</v>
      </c>
      <c r="M6" s="6" t="n">
        <v>25</v>
      </c>
      <c r="N6" s="6" t="n">
        <v>1</v>
      </c>
      <c r="O6" s="6" t="n"/>
      <c r="P6" s="6" t="n">
        <v>6463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^Warhead_CannonHE_Heavy, ^Warhead_MissileAP_Medium, ^Warhead_Bullet_Light</t>
        </is>
      </c>
    </row>
    <row r="7">
      <c r="B7" s="7" t="inlineStr">
        <is>
          <t xml:space="preserve">  ↳ SteelCloneGun_elite</t>
        </is>
      </c>
      <c r="C7" s="7" t="inlineStr">
        <is>
          <t>Armament@GARRISONEDELITE</t>
        </is>
      </c>
      <c r="L7" s="6" t="n">
        <v>6000</v>
      </c>
      <c r="M7" s="6" t="n">
        <v>25</v>
      </c>
      <c r="N7" s="6" t="n">
        <v>2</v>
      </c>
      <c r="O7" s="6" t="n">
        <v>3</v>
      </c>
      <c r="P7" s="6" t="n">
        <v>6000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^Warhead_CannonHE_Heavy, ^Warhead_MissileAP_Medium, ^Warhead_Bullet_Light</t>
        </is>
      </c>
    </row>
    <row r="8">
      <c r="B8" s="7" t="inlineStr">
        <is>
          <t xml:space="preserve">  ↳ SteelCloneGunResonance</t>
        </is>
      </c>
      <c r="C8" s="7" t="inlineStr">
        <is>
          <t>Armament@UpgradePRIMARY</t>
        </is>
      </c>
      <c r="L8" s="6" t="n">
        <v>6000</v>
      </c>
      <c r="M8" s="6" t="n">
        <v>25</v>
      </c>
      <c r="N8" s="6" t="n">
        <v>1</v>
      </c>
      <c r="O8" s="6" t="n"/>
      <c r="P8" s="6" t="n">
        <v>6463</v>
      </c>
      <c r="Q8" s="6" t="n">
        <v>1</v>
      </c>
      <c r="R8">
        <f>M8+IF(N8&gt;1,N(O8)*(N8-1),0)</f>
        <v/>
      </c>
      <c r="S8">
        <f>IFERROR(L8*MAX(N8,1)/R8*IF(ISBLANK(K3),1,K3),0)</f>
        <v/>
      </c>
      <c r="AB8" s="7" t="inlineStr">
        <is>
          <t>^Warhead_CannonHE_Heavy, ^Warhead_MissileAP_Medium, ^Warhead_Bullet_Light</t>
        </is>
      </c>
    </row>
    <row r="9">
      <c r="B9" s="7" t="inlineStr">
        <is>
          <t xml:space="preserve">  ↳ SteelCloneGunResonance_elite</t>
        </is>
      </c>
      <c r="C9" s="7" t="inlineStr">
        <is>
          <t>Armament@UpgradeELITE</t>
        </is>
      </c>
      <c r="L9" s="6" t="n">
        <v>6000</v>
      </c>
      <c r="M9" s="6" t="n">
        <v>25</v>
      </c>
      <c r="N9" s="6" t="n">
        <v>2</v>
      </c>
      <c r="O9" s="6" t="n">
        <v>3</v>
      </c>
      <c r="P9" s="6" t="n">
        <v>6000</v>
      </c>
      <c r="Q9" s="6" t="n">
        <v>1</v>
      </c>
      <c r="R9">
        <f>M9+IF(N9&gt;1,N(O9)*(N9-1),0)</f>
        <v/>
      </c>
      <c r="S9">
        <f>IFERROR(L9*MAX(N9,1)/R9*IF(ISBLANK(K3),1,K3),0)</f>
        <v/>
      </c>
      <c r="AB9" s="7" t="inlineStr">
        <is>
          <t>^Warhead_CannonHE_Heavy, ^Warhead_MissileAP_Medium, ^Warhead_Bullet_Light</t>
        </is>
      </c>
    </row>
    <row r="10">
      <c r="B10" s="7" t="inlineStr">
        <is>
          <t xml:space="preserve">  ↳ SteelCloneGunResonance</t>
        </is>
      </c>
      <c r="C10" s="7" t="inlineStr">
        <is>
          <t>Armament@UpgradeGARRISONED</t>
        </is>
      </c>
      <c r="L10" s="6" t="n">
        <v>6000</v>
      </c>
      <c r="M10" s="6" t="n">
        <v>25</v>
      </c>
      <c r="N10" s="6" t="n">
        <v>1</v>
      </c>
      <c r="O10" s="6" t="n"/>
      <c r="P10" s="6" t="n">
        <v>6463</v>
      </c>
      <c r="Q10" s="6" t="n">
        <v>1</v>
      </c>
      <c r="R10">
        <f>M10+IF(N10&gt;1,N(O10)*(N10-1),0)</f>
        <v/>
      </c>
      <c r="S10">
        <f>IFERROR(L10*MAX(N10,1)/R10*IF(ISBLANK(K3),1,K3),0)</f>
        <v/>
      </c>
      <c r="AB10" s="7" t="inlineStr">
        <is>
          <t>^Warhead_CannonHE_Heavy, ^Warhead_MissileAP_Medium, ^Warhead_Bullet_Light</t>
        </is>
      </c>
    </row>
    <row r="11">
      <c r="B11" s="7" t="inlineStr">
        <is>
          <t xml:space="preserve">  ↳ SteelCloneGunResonance_elite</t>
        </is>
      </c>
      <c r="C11" s="7" t="inlineStr">
        <is>
          <t>Armament@UpgradeGARRISONEDELITE</t>
        </is>
      </c>
      <c r="L11" s="6" t="n">
        <v>6000</v>
      </c>
      <c r="M11" s="6" t="n">
        <v>25</v>
      </c>
      <c r="N11" s="6" t="n">
        <v>2</v>
      </c>
      <c r="O11" s="6" t="n">
        <v>3</v>
      </c>
      <c r="P11" s="6" t="n">
        <v>6000</v>
      </c>
      <c r="Q11" s="6" t="n">
        <v>1</v>
      </c>
      <c r="R11">
        <f>M11+IF(N11&gt;1,N(O11)*(N11-1),0)</f>
        <v/>
      </c>
      <c r="S11">
        <f>IFERROR(L11*MAX(N11,1)/R11*IF(ISBLANK(K3),1,K3),0)</f>
        <v/>
      </c>
      <c r="AB11" s="7" t="inlineStr">
        <is>
          <t>^Warhead_CannonHE_Heavy, ^Warhead_MissileAP_Medium, ^Warhead_Bullet_Light</t>
        </is>
      </c>
    </row>
    <row r="12">
      <c r="A12" t="inlineStr">
        <is>
          <t>redalert2mod</t>
        </is>
      </c>
      <c r="B12" t="inlineStr">
        <is>
          <t>steelconsortium_engineer</t>
        </is>
      </c>
      <c r="C12" t="inlineStr">
        <is>
          <t>Engineer</t>
        </is>
      </c>
      <c r="D12" s="6" t="inlineStr">
        <is>
          <t>Infantry</t>
        </is>
      </c>
      <c r="E12" s="6" t="n">
        <v>5000</v>
      </c>
      <c r="F12" s="6" t="n">
        <v>50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K12" s="6" t="n"/>
      <c r="X12" s="6" t="n">
        <v>500</v>
      </c>
    </row>
    <row r="13">
      <c r="B13" s="7" t="inlineStr">
        <is>
          <t xml:space="preserve">  ↳ DefuseKit</t>
        </is>
      </c>
      <c r="C13" s="7" t="inlineStr">
        <is>
          <t>Armament@defuse</t>
        </is>
      </c>
      <c r="L13" s="6" t="n"/>
      <c r="M13" s="6" t="n">
        <v>20</v>
      </c>
      <c r="N13" s="6" t="n">
        <v>1</v>
      </c>
      <c r="O13" s="6" t="n"/>
      <c r="P13" s="6" t="n">
        <v>1536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^RemovesIvanBombs, ^RemovesTerrorDrone</t>
        </is>
      </c>
    </row>
    <row r="14">
      <c r="B14" s="7" t="inlineStr">
        <is>
          <t xml:space="preserve">  ↳ LeechDisinfect</t>
        </is>
      </c>
      <c r="C14" s="7" t="inlineStr">
        <is>
          <t>Armament@leechdisinfect</t>
        </is>
      </c>
      <c r="L14" s="6" t="n"/>
      <c r="M14" s="6" t="n">
        <v>100</v>
      </c>
      <c r="N14" s="6" t="n">
        <v>1</v>
      </c>
      <c r="O14" s="6" t="n"/>
      <c r="P14" s="6" t="n">
        <v>1536</v>
      </c>
      <c r="Q14" s="6" t="n">
        <v>1</v>
      </c>
      <c r="R14">
        <f>M14+IF(N14&gt;1,N(O14)*(N14-1),0)</f>
        <v/>
      </c>
      <c r="S14">
        <f>IFERROR(L14*MAX(N14,1)/R14*IF(ISBLANK(K12),1,K12),0)</f>
        <v/>
      </c>
      <c r="AB14" s="7" t="inlineStr"/>
    </row>
    <row r="15">
      <c r="A15" t="inlineStr">
        <is>
          <t>redalert2mod</t>
        </is>
      </c>
      <c r="B15" t="inlineStr">
        <is>
          <t>steelconsortium_hoverboardgrenadier</t>
        </is>
      </c>
      <c r="C15" t="inlineStr">
        <is>
          <t>Hover Board Grenadier</t>
        </is>
      </c>
      <c r="D15" s="6" t="inlineStr">
        <is>
          <t>GrenadierInfantry</t>
        </is>
      </c>
      <c r="E15" s="6" t="n">
        <v>22000</v>
      </c>
      <c r="F15" s="6" t="n">
        <v>130</v>
      </c>
      <c r="G15" t="inlineStr">
        <is>
          <t>None</t>
        </is>
      </c>
      <c r="H15" s="6" t="n">
        <v>1</v>
      </c>
      <c r="I15" s="6" t="n">
        <v>0.4</v>
      </c>
      <c r="J15" s="6" t="n">
        <v>1</v>
      </c>
      <c r="K15" s="6" t="n">
        <v>0.055</v>
      </c>
      <c r="P15">
        <f>MAX(P16,P17,P20,P21)</f>
        <v/>
      </c>
      <c r="S15">
        <f>S16+S17+S20+S21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650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SteelMakoGun</t>
        </is>
      </c>
      <c r="C16" s="7" t="inlineStr">
        <is>
          <t>Armament@PRIMARY</t>
        </is>
      </c>
      <c r="L16" s="6" t="n">
        <v>8000</v>
      </c>
      <c r="M16" s="6" t="n">
        <v>25</v>
      </c>
      <c r="N16" s="6" t="n">
        <v>1</v>
      </c>
      <c r="O16" s="6" t="n"/>
      <c r="P16" s="6" t="n">
        <v>6050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^Warhead_Demolition_Light, ^Warhead_Railgun_Heavy, ^Warhead_CannonHE_Medium</t>
        </is>
      </c>
    </row>
    <row r="17">
      <c r="B17" s="7" t="inlineStr">
        <is>
          <t xml:space="preserve">  ↳ SteelMakoGun_elite</t>
        </is>
      </c>
      <c r="C17" s="7" t="inlineStr">
        <is>
          <t>Armament@ELITE</t>
        </is>
      </c>
      <c r="L17" s="6" t="n">
        <v>8000</v>
      </c>
      <c r="M17" s="6" t="n">
        <v>25</v>
      </c>
      <c r="N17" s="6" t="n">
        <v>2</v>
      </c>
      <c r="O17" s="6" t="n">
        <v>3</v>
      </c>
      <c r="P17" s="6" t="n">
        <v>7050</v>
      </c>
      <c r="Q17" s="6" t="n">
        <v>1</v>
      </c>
      <c r="R17">
        <f>M17+IF(N17&gt;1,N(O17)*(N17-1),0)</f>
        <v/>
      </c>
      <c r="S17">
        <f>IFERROR(L17*MAX(N17,1)/R17*IF(ISBLANK(K15),1,K15),0)</f>
        <v/>
      </c>
      <c r="AB17" s="7" t="inlineStr">
        <is>
          <t>^Warhead_Demolition_Light, ^Warhead_Railgun_Heavy, ^Warhead_CannonHE_Medium</t>
        </is>
      </c>
    </row>
    <row r="18">
      <c r="B18" s="7" t="inlineStr">
        <is>
          <t xml:space="preserve">  ↳ SteelMakoGun</t>
        </is>
      </c>
      <c r="C18" s="7" t="inlineStr">
        <is>
          <t>Armament@GARRISONED</t>
        </is>
      </c>
      <c r="L18" s="6" t="n">
        <v>8000</v>
      </c>
      <c r="M18" s="6" t="n">
        <v>25</v>
      </c>
      <c r="N18" s="6" t="n">
        <v>1</v>
      </c>
      <c r="O18" s="6" t="n"/>
      <c r="P18" s="6" t="n">
        <v>6050</v>
      </c>
      <c r="Q18" s="6" t="n">
        <v>1</v>
      </c>
      <c r="R18">
        <f>M18+IF(N18&gt;1,N(O18)*(N18-1),0)</f>
        <v/>
      </c>
      <c r="S18">
        <f>IFERROR(L18*MAX(N18,1)/R18*IF(ISBLANK(K15),1,K15),0)</f>
        <v/>
      </c>
      <c r="AB18" s="7" t="inlineStr">
        <is>
          <t>^Warhead_Demolition_Light, ^Warhead_Railgun_Heavy, ^Warhead_CannonHE_Medium</t>
        </is>
      </c>
    </row>
    <row r="19">
      <c r="B19" s="7" t="inlineStr">
        <is>
          <t xml:space="preserve">  ↳ SteelMakoGun_elite</t>
        </is>
      </c>
      <c r="C19" s="7" t="inlineStr">
        <is>
          <t>Armament@GARRISONEDELITE</t>
        </is>
      </c>
      <c r="L19" s="6" t="n">
        <v>8000</v>
      </c>
      <c r="M19" s="6" t="n">
        <v>25</v>
      </c>
      <c r="N19" s="6" t="n">
        <v>2</v>
      </c>
      <c r="O19" s="6" t="n">
        <v>3</v>
      </c>
      <c r="P19" s="6" t="n">
        <v>7050</v>
      </c>
      <c r="Q19" s="6" t="n">
        <v>1</v>
      </c>
      <c r="R19">
        <f>M19+IF(N19&gt;1,N(O19)*(N19-1),0)</f>
        <v/>
      </c>
      <c r="S19">
        <f>IFERROR(L19*MAX(N19,1)/R19*IF(ISBLANK(K15),1,K15),0)</f>
        <v/>
      </c>
      <c r="AB19" s="7" t="inlineStr">
        <is>
          <t>^Warhead_Demolition_Light, ^Warhead_Railgun_Heavy, ^Warhead_CannonHE_Medium</t>
        </is>
      </c>
    </row>
    <row r="20">
      <c r="B20" s="7" t="inlineStr">
        <is>
          <t xml:space="preserve">  ↳ SteelMakoGun_EMP</t>
        </is>
      </c>
      <c r="C20" s="7" t="inlineStr">
        <is>
          <t>Armament@UpgradePRIMARY</t>
        </is>
      </c>
      <c r="L20" s="6" t="n">
        <v>12000</v>
      </c>
      <c r="M20" s="6" t="n">
        <v>25</v>
      </c>
      <c r="N20" s="6" t="n">
        <v>1</v>
      </c>
      <c r="O20" s="6" t="n"/>
      <c r="P20" s="6" t="n">
        <v>6050</v>
      </c>
      <c r="Q20" s="6" t="n">
        <v>1</v>
      </c>
      <c r="R20">
        <f>M20+IF(N20&gt;1,N(O20)*(N20-1),0)</f>
        <v/>
      </c>
      <c r="S20">
        <f>IFERROR(L20*MAX(N20,1)/R20*IF(ISBLANK(K15),1,K15),0)</f>
        <v/>
      </c>
      <c r="AB20" s="7" t="inlineStr">
        <is>
          <t>^Warhead_Demolition_Light, ^Warhead_Railgun_Heavy, ^Warhead_CannonHE_Medium</t>
        </is>
      </c>
    </row>
    <row r="21">
      <c r="B21" s="7" t="inlineStr">
        <is>
          <t xml:space="preserve">  ↳ SteelMakoGun_EMP_elite</t>
        </is>
      </c>
      <c r="C21" s="7" t="inlineStr">
        <is>
          <t>Armament@UpgradeELITE</t>
        </is>
      </c>
      <c r="L21" s="6" t="n">
        <v>12000</v>
      </c>
      <c r="M21" s="6" t="n">
        <v>25</v>
      </c>
      <c r="N21" s="6" t="n">
        <v>2</v>
      </c>
      <c r="O21" s="6" t="n">
        <v>3</v>
      </c>
      <c r="P21" s="6" t="n">
        <v>7050</v>
      </c>
      <c r="Q21" s="6" t="n">
        <v>1</v>
      </c>
      <c r="R21">
        <f>M21+IF(N21&gt;1,N(O21)*(N21-1),0)</f>
        <v/>
      </c>
      <c r="S21">
        <f>IFERROR(L21*MAX(N21,1)/R21*IF(ISBLANK(K15),1,K15),0)</f>
        <v/>
      </c>
      <c r="AB21" s="7" t="inlineStr">
        <is>
          <t>^Warhead_Demolition_Light, ^Warhead_Railgun_Heavy, ^Warhead_CannonHE_Medium</t>
        </is>
      </c>
    </row>
    <row r="22">
      <c r="B22" s="7" t="inlineStr">
        <is>
          <t xml:space="preserve">  ↳ SteelMakoGun_EMP</t>
        </is>
      </c>
      <c r="C22" s="7" t="inlineStr">
        <is>
          <t>Armament@UpgradeGARRISONED</t>
        </is>
      </c>
      <c r="L22" s="6" t="n">
        <v>12000</v>
      </c>
      <c r="M22" s="6" t="n">
        <v>25</v>
      </c>
      <c r="N22" s="6" t="n">
        <v>1</v>
      </c>
      <c r="O22" s="6" t="n"/>
      <c r="P22" s="6" t="n">
        <v>6050</v>
      </c>
      <c r="Q22" s="6" t="n">
        <v>1</v>
      </c>
      <c r="R22">
        <f>M22+IF(N22&gt;1,N(O22)*(N22-1),0)</f>
        <v/>
      </c>
      <c r="S22">
        <f>IFERROR(L22*MAX(N22,1)/R22*IF(ISBLANK(K15),1,K15),0)</f>
        <v/>
      </c>
      <c r="AB22" s="7" t="inlineStr">
        <is>
          <t>^Warhead_Demolition_Light, ^Warhead_Railgun_Heavy, ^Warhead_CannonHE_Medium</t>
        </is>
      </c>
    </row>
    <row r="23">
      <c r="B23" s="7" t="inlineStr">
        <is>
          <t xml:space="preserve">  ↳ SteelMakoGun_EMP_elite</t>
        </is>
      </c>
      <c r="C23" s="7" t="inlineStr">
        <is>
          <t>Armament@UpgradeGARRISONEDELITE</t>
        </is>
      </c>
      <c r="L23" s="6" t="n">
        <v>12000</v>
      </c>
      <c r="M23" s="6" t="n">
        <v>25</v>
      </c>
      <c r="N23" s="6" t="n">
        <v>2</v>
      </c>
      <c r="O23" s="6" t="n">
        <v>3</v>
      </c>
      <c r="P23" s="6" t="n">
        <v>7050</v>
      </c>
      <c r="Q23" s="6" t="n">
        <v>1</v>
      </c>
      <c r="R23">
        <f>M23+IF(N23&gt;1,N(O23)*(N23-1),0)</f>
        <v/>
      </c>
      <c r="S23">
        <f>IFERROR(L23*MAX(N23,1)/R23*IF(ISBLANK(K15),1,K15),0)</f>
        <v/>
      </c>
      <c r="AB23" s="7" t="inlineStr">
        <is>
          <t>^Warhead_Demolition_Light, ^Warhead_Railgun_Heavy, ^Warhead_CannonHE_Medium</t>
        </is>
      </c>
    </row>
    <row r="24">
      <c r="A24" t="inlineStr">
        <is>
          <t>redalert2mod</t>
        </is>
      </c>
      <c r="B24" t="inlineStr">
        <is>
          <t>steelconsortium_quantummissiletrooper</t>
        </is>
      </c>
      <c r="C24" t="inlineStr">
        <is>
          <t>Quantum Missile Trooper</t>
        </is>
      </c>
      <c r="D24" s="6" t="inlineStr">
        <is>
          <t>HeavyInfantry</t>
        </is>
      </c>
      <c r="E24" s="6" t="n">
        <v>64000</v>
      </c>
      <c r="F24" s="6" t="n">
        <v>48</v>
      </c>
      <c r="G24" t="inlineStr">
        <is>
          <t>Plate</t>
        </is>
      </c>
      <c r="H24" s="6" t="n">
        <v>0.75</v>
      </c>
      <c r="I24" s="6" t="n">
        <v>0.8</v>
      </c>
      <c r="J24" s="6" t="n">
        <v>1.25</v>
      </c>
      <c r="K24" s="6" t="n"/>
      <c r="P24">
        <f>MAX(P25,P26,P27,P28,P30,P31,P32,P33)</f>
        <v/>
      </c>
      <c r="S24">
        <f>S25+S26+S27+S28+S30+S31+S32+S33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1150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SteelInfRailgun</t>
        </is>
      </c>
      <c r="C25" s="7" t="inlineStr">
        <is>
          <t>Armament@PRIMARY</t>
        </is>
      </c>
      <c r="L25" s="6" t="n">
        <v>16000</v>
      </c>
      <c r="M25" s="6" t="n">
        <v>48</v>
      </c>
      <c r="N25" s="6" t="n">
        <v>2</v>
      </c>
      <c r="O25" s="6" t="n">
        <v>0</v>
      </c>
      <c r="P25" s="6" t="n">
        <v>8000</v>
      </c>
      <c r="Q25" s="6" t="n">
        <v>1</v>
      </c>
      <c r="R25">
        <f>M25+IF(N25&gt;1,N(O25)*(N25-1),0)</f>
        <v/>
      </c>
      <c r="S25">
        <f>IFERROR(L25*MAX(N25,1)/R25*IF(ISBLANK(K24),1,K24),0)</f>
        <v/>
      </c>
      <c r="AB25" s="7" t="inlineStr">
        <is>
          <t>^Warhead_Railgun_Heavy, ^Warhead_Flak_Medium, ^Warhead_Bullet_Medium, ^Warhead_MissileAP_Light</t>
        </is>
      </c>
    </row>
    <row r="26">
      <c r="B26" s="7" t="inlineStr">
        <is>
          <t xml:space="preserve">  ↳ SteelInfRailgun_elite</t>
        </is>
      </c>
      <c r="C26" s="7" t="inlineStr">
        <is>
          <t>Armament@PRIMARYELITE</t>
        </is>
      </c>
      <c r="L26" s="6" t="n">
        <v>16000</v>
      </c>
      <c r="M26" s="6" t="n">
        <v>48</v>
      </c>
      <c r="N26" s="6" t="n">
        <v>4</v>
      </c>
      <c r="O26" s="6" t="n">
        <v>0</v>
      </c>
      <c r="P26" s="6" t="n">
        <v>9000</v>
      </c>
      <c r="Q26" s="6" t="n">
        <v>1</v>
      </c>
      <c r="R26">
        <f>M26+IF(N26&gt;1,N(O26)*(N26-1),0)</f>
        <v/>
      </c>
      <c r="S26">
        <f>IFERROR(L26*MAX(N26,1)/R26*IF(ISBLANK(K24),1,K24),0)</f>
        <v/>
      </c>
      <c r="AB26" s="7" t="inlineStr">
        <is>
          <t>^Warhead_Railgun_Heavy, ^Warhead_Flak_Medium, ^Warhead_Bullet_Medium, ^Warhead_MissileAP_Light</t>
        </is>
      </c>
    </row>
    <row r="27">
      <c r="B27" s="7" t="inlineStr">
        <is>
          <t xml:space="preserve">  ↳ SteelInfRailgun_EMP</t>
        </is>
      </c>
      <c r="C27" s="7" t="inlineStr">
        <is>
          <t>Armament@UpgradePRIMARY</t>
        </is>
      </c>
      <c r="L27" s="6" t="n">
        <v>20000</v>
      </c>
      <c r="M27" s="6" t="n">
        <v>50</v>
      </c>
      <c r="N27" s="6" t="n">
        <v>2</v>
      </c>
      <c r="O27" s="6" t="n">
        <v>0</v>
      </c>
      <c r="P27" s="6" t="n">
        <v>8000</v>
      </c>
      <c r="Q27" s="6" t="n">
        <v>1</v>
      </c>
      <c r="R27">
        <f>M27+IF(N27&gt;1,N(O27)*(N27-1),0)</f>
        <v/>
      </c>
      <c r="S27">
        <f>IFERROR(L27*MAX(N27,1)/R27*IF(ISBLANK(K24),1,K24),0)</f>
        <v/>
      </c>
      <c r="AB27" s="7" t="inlineStr">
        <is>
          <t>^Warhead_Railgun_Heavy, ^Warhead_Flak_Medium, ^Warhead_Bullet_Medium, ^Warhead_MissileAP_Light</t>
        </is>
      </c>
    </row>
    <row r="28">
      <c r="B28" s="7" t="inlineStr">
        <is>
          <t xml:space="preserve">  ↳ SteelInfRailgun_EMP_elite</t>
        </is>
      </c>
      <c r="C28" s="7" t="inlineStr">
        <is>
          <t>Armament@UpgradePRIMARYELITE</t>
        </is>
      </c>
      <c r="L28" s="6" t="n">
        <v>20000</v>
      </c>
      <c r="M28" s="6" t="n">
        <v>50</v>
      </c>
      <c r="N28" s="6" t="n">
        <v>4</v>
      </c>
      <c r="O28" s="6" t="n">
        <v>0</v>
      </c>
      <c r="P28" s="6" t="n">
        <v>9000</v>
      </c>
      <c r="Q28" s="6" t="n">
        <v>1</v>
      </c>
      <c r="R28">
        <f>M28+IF(N28&gt;1,N(O28)*(N28-1),0)</f>
        <v/>
      </c>
      <c r="S28">
        <f>IFERROR(L28*MAX(N28,1)/R28*IF(ISBLANK(K24),1,K24),0)</f>
        <v/>
      </c>
      <c r="AB28" s="7" t="inlineStr">
        <is>
          <t>^Warhead_Railgun_Heavy, ^Warhead_Flak_Medium, ^Warhead_Bullet_Medium, ^Warhead_MissileAP_Light</t>
        </is>
      </c>
    </row>
    <row r="29">
      <c r="B29" s="7" t="inlineStr">
        <is>
          <t xml:space="preserve">  ↳ aadeploytargeting_8c0_AA</t>
        </is>
      </c>
      <c r="C29" s="7" t="inlineStr">
        <is>
          <t>Armament@BOTAA</t>
        </is>
      </c>
      <c r="L29" s="6" t="n"/>
      <c r="M29" s="6" t="n">
        <v>50</v>
      </c>
      <c r="N29" s="6" t="n">
        <v>1</v>
      </c>
      <c r="O29" s="6" t="n"/>
      <c r="P29" s="6" t="n">
        <v>8000</v>
      </c>
      <c r="Q29" s="6" t="n">
        <v>1</v>
      </c>
      <c r="R29">
        <f>M29+IF(N29&gt;1,N(O29)*(N29-1),0)</f>
        <v/>
      </c>
      <c r="S29">
        <f>IFERROR(L29*MAX(N29,1)/R29*IF(ISBLANK(K24),1,K24),0)</f>
        <v/>
      </c>
      <c r="AB29" s="7" t="inlineStr">
        <is>
          <t>^AADeployTargeting</t>
        </is>
      </c>
    </row>
    <row r="30">
      <c r="B30" s="7" t="inlineStr">
        <is>
          <t xml:space="preserve">  ↳ SteelInfRailgun</t>
        </is>
      </c>
      <c r="C30" s="7" t="inlineStr">
        <is>
          <t>Armament@DEPLOYED</t>
        </is>
      </c>
      <c r="L30" s="6" t="n">
        <v>16000</v>
      </c>
      <c r="M30" s="6" t="n">
        <v>48</v>
      </c>
      <c r="N30" s="6" t="n">
        <v>2</v>
      </c>
      <c r="O30" s="6" t="n">
        <v>0</v>
      </c>
      <c r="P30" s="6" t="n">
        <v>8000</v>
      </c>
      <c r="Q30" s="6" t="n">
        <v>1</v>
      </c>
      <c r="R30">
        <f>M30+IF(N30&gt;1,N(O30)*(N30-1),0)</f>
        <v/>
      </c>
      <c r="S30">
        <f>IFERROR(L30*MAX(N30,1)/R30*IF(ISBLANK(K24),1,K24),0)</f>
        <v/>
      </c>
      <c r="AB30" s="7" t="inlineStr">
        <is>
          <t>^Warhead_Railgun_Heavy, ^Warhead_Flak_Medium, ^Warhead_Bullet_Medium, ^Warhead_MissileAP_Light</t>
        </is>
      </c>
    </row>
    <row r="31">
      <c r="B31" s="7" t="inlineStr">
        <is>
          <t xml:space="preserve">  ↳ SteelInfRailgun_elite</t>
        </is>
      </c>
      <c r="C31" s="7" t="inlineStr">
        <is>
          <t>Armament@DEPLOYEDELITE</t>
        </is>
      </c>
      <c r="L31" s="6" t="n">
        <v>16000</v>
      </c>
      <c r="M31" s="6" t="n">
        <v>48</v>
      </c>
      <c r="N31" s="6" t="n">
        <v>4</v>
      </c>
      <c r="O31" s="6" t="n">
        <v>0</v>
      </c>
      <c r="P31" s="6" t="n">
        <v>9000</v>
      </c>
      <c r="Q31" s="6" t="n">
        <v>1</v>
      </c>
      <c r="R31">
        <f>M31+IF(N31&gt;1,N(O31)*(N31-1),0)</f>
        <v/>
      </c>
      <c r="S31">
        <f>IFERROR(L31*MAX(N31,1)/R31*IF(ISBLANK(K24),1,K24),0)</f>
        <v/>
      </c>
      <c r="AB31" s="7" t="inlineStr">
        <is>
          <t>^Warhead_Railgun_Heavy, ^Warhead_Flak_Medium, ^Warhead_Bullet_Medium, ^Warhead_MissileAP_Light</t>
        </is>
      </c>
    </row>
    <row r="32">
      <c r="B32" s="7" t="inlineStr">
        <is>
          <t xml:space="preserve">  ↳ SteelInfRailgun_EMP</t>
        </is>
      </c>
      <c r="C32" s="7" t="inlineStr">
        <is>
          <t>Armament@UpgradeDEPLOYED</t>
        </is>
      </c>
      <c r="L32" s="6" t="n">
        <v>20000</v>
      </c>
      <c r="M32" s="6" t="n">
        <v>50</v>
      </c>
      <c r="N32" s="6" t="n">
        <v>2</v>
      </c>
      <c r="O32" s="6" t="n">
        <v>0</v>
      </c>
      <c r="P32" s="6" t="n">
        <v>8000</v>
      </c>
      <c r="Q32" s="6" t="n">
        <v>1</v>
      </c>
      <c r="R32">
        <f>M32+IF(N32&gt;1,N(O32)*(N32-1),0)</f>
        <v/>
      </c>
      <c r="S32">
        <f>IFERROR(L32*MAX(N32,1)/R32*IF(ISBLANK(K24),1,K24),0)</f>
        <v/>
      </c>
      <c r="AB32" s="7" t="inlineStr">
        <is>
          <t>^Warhead_Railgun_Heavy, ^Warhead_Flak_Medium, ^Warhead_Bullet_Medium, ^Warhead_MissileAP_Light</t>
        </is>
      </c>
    </row>
    <row r="33">
      <c r="B33" s="7" t="inlineStr">
        <is>
          <t xml:space="preserve">  ↳ SteelInfRailgun_EMP_elite</t>
        </is>
      </c>
      <c r="C33" s="7" t="inlineStr">
        <is>
          <t>Armament@UpgradeDEPLOYEDELITE</t>
        </is>
      </c>
      <c r="L33" s="6" t="n">
        <v>20000</v>
      </c>
      <c r="M33" s="6" t="n">
        <v>50</v>
      </c>
      <c r="N33" s="6" t="n">
        <v>4</v>
      </c>
      <c r="O33" s="6" t="n">
        <v>0</v>
      </c>
      <c r="P33" s="6" t="n">
        <v>9000</v>
      </c>
      <c r="Q33" s="6" t="n">
        <v>1</v>
      </c>
      <c r="R33">
        <f>M33+IF(N33&gt;1,N(O33)*(N33-1),0)</f>
        <v/>
      </c>
      <c r="S33">
        <f>IFERROR(L33*MAX(N33,1)/R33*IF(ISBLANK(K24),1,K24),0)</f>
        <v/>
      </c>
      <c r="AB33" s="7" t="inlineStr">
        <is>
          <t>^Warhead_Railgun_Heavy, ^Warhead_Flak_Medium, ^Warhead_Bullet_Medium, ^Warhead_MissileAP_Light</t>
        </is>
      </c>
    </row>
    <row r="34">
      <c r="B34" s="7" t="inlineStr">
        <is>
          <t xml:space="preserve">  ↳ SteelInfRailgun</t>
        </is>
      </c>
      <c r="C34" s="7" t="inlineStr">
        <is>
          <t>Armament@GARRISONED</t>
        </is>
      </c>
      <c r="L34" s="6" t="n">
        <v>16000</v>
      </c>
      <c r="M34" s="6" t="n">
        <v>48</v>
      </c>
      <c r="N34" s="6" t="n">
        <v>2</v>
      </c>
      <c r="O34" s="6" t="n">
        <v>0</v>
      </c>
      <c r="P34" s="6" t="n">
        <v>8000</v>
      </c>
      <c r="Q34" s="6" t="n">
        <v>1</v>
      </c>
      <c r="R34">
        <f>M34+IF(N34&gt;1,N(O34)*(N34-1),0)</f>
        <v/>
      </c>
      <c r="S34">
        <f>IFERROR(L34*MAX(N34,1)/R34*IF(ISBLANK(K24),1,K24),0)</f>
        <v/>
      </c>
      <c r="AB34" s="7" t="inlineStr">
        <is>
          <t>^Warhead_Railgun_Heavy, ^Warhead_Flak_Medium, ^Warhead_Bullet_Medium, ^Warhead_MissileAP_Light</t>
        </is>
      </c>
    </row>
    <row r="35">
      <c r="B35" s="7" t="inlineStr">
        <is>
          <t xml:space="preserve">  ↳ SteelInfRailgun_elite</t>
        </is>
      </c>
      <c r="C35" s="7" t="inlineStr">
        <is>
          <t>Armament@GARRISONEDELITE</t>
        </is>
      </c>
      <c r="L35" s="6" t="n">
        <v>16000</v>
      </c>
      <c r="M35" s="6" t="n">
        <v>48</v>
      </c>
      <c r="N35" s="6" t="n">
        <v>4</v>
      </c>
      <c r="O35" s="6" t="n">
        <v>0</v>
      </c>
      <c r="P35" s="6" t="n">
        <v>9000</v>
      </c>
      <c r="Q35" s="6" t="n">
        <v>1</v>
      </c>
      <c r="R35">
        <f>M35+IF(N35&gt;1,N(O35)*(N35-1),0)</f>
        <v/>
      </c>
      <c r="S35">
        <f>IFERROR(L35*MAX(N35,1)/R35*IF(ISBLANK(K24),1,K24),0)</f>
        <v/>
      </c>
      <c r="AB35" s="7" t="inlineStr">
        <is>
          <t>^Warhead_Railgun_Heavy, ^Warhead_Flak_Medium, ^Warhead_Bullet_Medium, ^Warhead_MissileAP_Light</t>
        </is>
      </c>
    </row>
    <row r="36">
      <c r="B36" s="7" t="inlineStr">
        <is>
          <t xml:space="preserve">  ↳ SteelInfRailgun_EMP</t>
        </is>
      </c>
      <c r="C36" s="7" t="inlineStr">
        <is>
          <t>Armament@UpgradeGARRISONED</t>
        </is>
      </c>
      <c r="L36" s="6" t="n">
        <v>20000</v>
      </c>
      <c r="M36" s="6" t="n">
        <v>50</v>
      </c>
      <c r="N36" s="6" t="n">
        <v>2</v>
      </c>
      <c r="O36" s="6" t="n">
        <v>0</v>
      </c>
      <c r="P36" s="6" t="n">
        <v>8000</v>
      </c>
      <c r="Q36" s="6" t="n">
        <v>1</v>
      </c>
      <c r="R36">
        <f>M36+IF(N36&gt;1,N(O36)*(N36-1),0)</f>
        <v/>
      </c>
      <c r="S36">
        <f>IFERROR(L36*MAX(N36,1)/R36*IF(ISBLANK(K24),1,K24),0)</f>
        <v/>
      </c>
      <c r="AB36" s="7" t="inlineStr">
        <is>
          <t>^Warhead_Railgun_Heavy, ^Warhead_Flak_Medium, ^Warhead_Bullet_Medium, ^Warhead_MissileAP_Light</t>
        </is>
      </c>
    </row>
    <row r="37">
      <c r="B37" s="7" t="inlineStr">
        <is>
          <t xml:space="preserve">  ↳ SteelInfRailgun_EMP_elite</t>
        </is>
      </c>
      <c r="C37" s="7" t="inlineStr">
        <is>
          <t>Armament@UpgradeGARRISONEDELITE</t>
        </is>
      </c>
      <c r="L37" s="6" t="n">
        <v>20000</v>
      </c>
      <c r="M37" s="6" t="n">
        <v>50</v>
      </c>
      <c r="N37" s="6" t="n">
        <v>4</v>
      </c>
      <c r="O37" s="6" t="n">
        <v>0</v>
      </c>
      <c r="P37" s="6" t="n">
        <v>9000</v>
      </c>
      <c r="Q37" s="6" t="n">
        <v>1</v>
      </c>
      <c r="R37">
        <f>M37+IF(N37&gt;1,N(O37)*(N37-1),0)</f>
        <v/>
      </c>
      <c r="S37">
        <f>IFERROR(L37*MAX(N37,1)/R37*IF(ISBLANK(K24),1,K24),0)</f>
        <v/>
      </c>
      <c r="AB37" s="7" t="inlineStr">
        <is>
          <t>^Warhead_Railgun_Heavy, ^Warhead_Flak_Medium, ^Warhead_Bullet_Medium, ^Warhead_MissileAP_Light</t>
        </is>
      </c>
    </row>
    <row r="38">
      <c r="A38" t="inlineStr">
        <is>
          <t>redalert2mod</t>
        </is>
      </c>
      <c r="B38" t="inlineStr">
        <is>
          <t>steelconsortium_steelrunner</t>
        </is>
      </c>
      <c r="C38" t="inlineStr">
        <is>
          <t>Steel Runner</t>
        </is>
      </c>
      <c r="D38" s="6" t="inlineStr">
        <is>
          <t>HeroInfantry</t>
        </is>
      </c>
      <c r="E38" s="6" t="n">
        <v>60000</v>
      </c>
      <c r="F38" s="6" t="n">
        <v>90</v>
      </c>
      <c r="G38" t="inlineStr">
        <is>
          <t>Heroic</t>
        </is>
      </c>
      <c r="H38" s="6" t="n">
        <v>0.75</v>
      </c>
      <c r="I38" s="6" t="n">
        <v>1</v>
      </c>
      <c r="J38" s="6" t="n">
        <v>1.25</v>
      </c>
      <c r="K38" s="6" t="n"/>
      <c r="P38">
        <f>MAX(P39,P40,P43,P44)</f>
        <v/>
      </c>
      <c r="S38">
        <f>S39+S40+S43+S44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3000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SteelRunnerPistols</t>
        </is>
      </c>
      <c r="C39" s="7" t="inlineStr">
        <is>
          <t>Armament@PRIMARY</t>
        </is>
      </c>
      <c r="L39" s="6" t="n">
        <v>12000</v>
      </c>
      <c r="M39" s="6" t="n">
        <v>8</v>
      </c>
      <c r="N39" s="6" t="n">
        <v>2</v>
      </c>
      <c r="O39" s="6" t="n">
        <v>4</v>
      </c>
      <c r="P39" s="6" t="n">
        <v>6200</v>
      </c>
      <c r="Q39" s="6" t="n">
        <v>1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^TeslaWeapon, ^LaserWeapon, ^RailgunWeapon</t>
        </is>
      </c>
    </row>
    <row r="40">
      <c r="B40" s="7" t="inlineStr">
        <is>
          <t xml:space="preserve">  ↳ SteelRunnerPistols_elite</t>
        </is>
      </c>
      <c r="C40" s="7" t="inlineStr">
        <is>
          <t>Armament@ELITE</t>
        </is>
      </c>
      <c r="L40" s="6" t="n">
        <v>12000</v>
      </c>
      <c r="M40" s="6" t="n">
        <v>8</v>
      </c>
      <c r="N40" s="6" t="n">
        <v>4</v>
      </c>
      <c r="O40" s="6" t="n">
        <v>4</v>
      </c>
      <c r="P40" s="6" t="n">
        <v>7200</v>
      </c>
      <c r="Q40" s="6" t="n">
        <v>1</v>
      </c>
      <c r="R40">
        <f>M40+IF(N40&gt;1,N(O40)*(N40-1),0)</f>
        <v/>
      </c>
      <c r="S40">
        <f>IFERROR(L40*MAX(N40,1)/R40*IF(ISBLANK(K38),1,K38),0)</f>
        <v/>
      </c>
      <c r="AB40" s="7" t="inlineStr">
        <is>
          <t>SteelRunnerPistols</t>
        </is>
      </c>
    </row>
    <row r="41">
      <c r="B41" s="7" t="inlineStr">
        <is>
          <t xml:space="preserve">  ↳ SteelRunnerPistols</t>
        </is>
      </c>
      <c r="C41" s="7" t="inlineStr">
        <is>
          <t>Armament@GARRISONED</t>
        </is>
      </c>
      <c r="L41" s="6" t="n">
        <v>12000</v>
      </c>
      <c r="M41" s="6" t="n">
        <v>8</v>
      </c>
      <c r="N41" s="6" t="n">
        <v>2</v>
      </c>
      <c r="O41" s="6" t="n">
        <v>4</v>
      </c>
      <c r="P41" s="6" t="n">
        <v>6200</v>
      </c>
      <c r="Q41" s="6" t="n">
        <v>1</v>
      </c>
      <c r="R41">
        <f>M41+IF(N41&gt;1,N(O41)*(N41-1),0)</f>
        <v/>
      </c>
      <c r="S41">
        <f>IFERROR(L41*MAX(N41,1)/R41*IF(ISBLANK(K38),1,K38),0)</f>
        <v/>
      </c>
      <c r="AB41" s="7" t="inlineStr">
        <is>
          <t>^TeslaWeapon, ^LaserWeapon, ^RailgunWeapon</t>
        </is>
      </c>
    </row>
    <row r="42">
      <c r="B42" s="7" t="inlineStr">
        <is>
          <t xml:space="preserve">  ↳ SteelRunnerPistols_elite</t>
        </is>
      </c>
      <c r="C42" s="7" t="inlineStr">
        <is>
          <t>Armament@GARRISONEDELITE</t>
        </is>
      </c>
      <c r="L42" s="6" t="n">
        <v>12000</v>
      </c>
      <c r="M42" s="6" t="n">
        <v>8</v>
      </c>
      <c r="N42" s="6" t="n">
        <v>4</v>
      </c>
      <c r="O42" s="6" t="n">
        <v>4</v>
      </c>
      <c r="P42" s="6" t="n">
        <v>7200</v>
      </c>
      <c r="Q42" s="6" t="n">
        <v>1</v>
      </c>
      <c r="R42">
        <f>M42+IF(N42&gt;1,N(O42)*(N42-1),0)</f>
        <v/>
      </c>
      <c r="S42">
        <f>IFERROR(L42*MAX(N42,1)/R42*IF(ISBLANK(K38),1,K38),0)</f>
        <v/>
      </c>
      <c r="AB42" s="7" t="inlineStr">
        <is>
          <t>SteelRunnerPistols</t>
        </is>
      </c>
    </row>
    <row r="43">
      <c r="B43" s="7" t="inlineStr">
        <is>
          <t xml:space="preserve">  ↳ SteelRunnerPistolsResonance</t>
        </is>
      </c>
      <c r="C43" s="7" t="inlineStr">
        <is>
          <t>Armament@UpgradePRIMARY</t>
        </is>
      </c>
      <c r="L43" s="6" t="n">
        <v>12000</v>
      </c>
      <c r="M43" s="6" t="n">
        <v>8</v>
      </c>
      <c r="N43" s="6" t="n">
        <v>2</v>
      </c>
      <c r="O43" s="6" t="n">
        <v>4</v>
      </c>
      <c r="P43" s="6" t="n">
        <v>6200</v>
      </c>
      <c r="Q43" s="6" t="n">
        <v>1</v>
      </c>
      <c r="R43">
        <f>M43+IF(N43&gt;1,N(O43)*(N43-1),0)</f>
        <v/>
      </c>
      <c r="S43">
        <f>IFERROR(L43*MAX(N43,1)/R43*IF(ISBLANK(K38),1,K38),0)</f>
        <v/>
      </c>
      <c r="AB43" s="7" t="inlineStr">
        <is>
          <t>SteelRunnerPistols</t>
        </is>
      </c>
    </row>
    <row r="44">
      <c r="B44" s="7" t="inlineStr">
        <is>
          <t xml:space="preserve">  ↳ SteelRunnerPistolsResonance_elite</t>
        </is>
      </c>
      <c r="C44" s="7" t="inlineStr">
        <is>
          <t>Armament@UpgradeELITE</t>
        </is>
      </c>
      <c r="L44" s="6" t="n">
        <v>12000</v>
      </c>
      <c r="M44" s="6" t="n">
        <v>8</v>
      </c>
      <c r="N44" s="6" t="n">
        <v>4</v>
      </c>
      <c r="O44" s="6" t="n">
        <v>4</v>
      </c>
      <c r="P44" s="6" t="n">
        <v>7200</v>
      </c>
      <c r="Q44" s="6" t="n">
        <v>1</v>
      </c>
      <c r="R44">
        <f>M44+IF(N44&gt;1,N(O44)*(N44-1),0)</f>
        <v/>
      </c>
      <c r="S44">
        <f>IFERROR(L44*MAX(N44,1)/R44*IF(ISBLANK(K38),1,K38),0)</f>
        <v/>
      </c>
      <c r="AB44" s="7" t="inlineStr">
        <is>
          <t>SteelRunnerPistols_elite</t>
        </is>
      </c>
    </row>
    <row r="45">
      <c r="B45" s="7" t="inlineStr">
        <is>
          <t xml:space="preserve">  ↳ SteelRunnerPistolsResonance</t>
        </is>
      </c>
      <c r="C45" s="7" t="inlineStr">
        <is>
          <t>Armament@UpgradeGARRISONED</t>
        </is>
      </c>
      <c r="L45" s="6" t="n">
        <v>12000</v>
      </c>
      <c r="M45" s="6" t="n">
        <v>8</v>
      </c>
      <c r="N45" s="6" t="n">
        <v>2</v>
      </c>
      <c r="O45" s="6" t="n">
        <v>4</v>
      </c>
      <c r="P45" s="6" t="n">
        <v>6200</v>
      </c>
      <c r="Q45" s="6" t="n">
        <v>1</v>
      </c>
      <c r="R45">
        <f>M45+IF(N45&gt;1,N(O45)*(N45-1),0)</f>
        <v/>
      </c>
      <c r="S45">
        <f>IFERROR(L45*MAX(N45,1)/R45*IF(ISBLANK(K38),1,K38),0)</f>
        <v/>
      </c>
      <c r="AB45" s="7" t="inlineStr">
        <is>
          <t>SteelRunnerPistols</t>
        </is>
      </c>
    </row>
    <row r="46">
      <c r="B46" s="7" t="inlineStr">
        <is>
          <t xml:space="preserve">  ↳ SteelRunnerPistolsResonance_elite</t>
        </is>
      </c>
      <c r="C46" s="7" t="inlineStr">
        <is>
          <t>Armament@UpgradeGARRISONEDELITE</t>
        </is>
      </c>
      <c r="L46" s="6" t="n">
        <v>12000</v>
      </c>
      <c r="M46" s="6" t="n">
        <v>8</v>
      </c>
      <c r="N46" s="6" t="n">
        <v>4</v>
      </c>
      <c r="O46" s="6" t="n">
        <v>4</v>
      </c>
      <c r="P46" s="6" t="n">
        <v>7200</v>
      </c>
      <c r="Q46" s="6" t="n">
        <v>1</v>
      </c>
      <c r="R46">
        <f>M46+IF(N46&gt;1,N(O46)*(N46-1),0)</f>
        <v/>
      </c>
      <c r="S46">
        <f>IFERROR(L46*MAX(N46,1)/R46*IF(ISBLANK(K38),1,K38),0)</f>
        <v/>
      </c>
      <c r="AB46" s="7" t="inlineStr">
        <is>
          <t>SteelRunnerPistols_elite</t>
        </is>
      </c>
    </row>
    <row r="47">
      <c r="A47" s="4" t="inlineStr">
        <is>
          <t>VEHICLES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>
      <c r="A48" t="inlineStr">
        <is>
          <t>redalert2mod</t>
        </is>
      </c>
      <c r="B48" t="inlineStr">
        <is>
          <t>cobra.steel</t>
        </is>
      </c>
      <c r="C48" t="inlineStr">
        <is>
          <t>Federation Cobra</t>
        </is>
      </c>
      <c r="D48" s="6" t="inlineStr">
        <is>
          <t>LineBreaker</t>
        </is>
      </c>
      <c r="E48" s="6" t="n">
        <v>325000</v>
      </c>
      <c r="F48" s="6" t="n">
        <v>55</v>
      </c>
      <c r="G48" t="inlineStr">
        <is>
          <t>Superheavy</t>
        </is>
      </c>
      <c r="H48" s="6" t="n">
        <v>0.75</v>
      </c>
      <c r="I48" s="6" t="n">
        <v>1</v>
      </c>
      <c r="J48" s="6" t="n">
        <v>1</v>
      </c>
      <c r="K48" s="6" t="n"/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(((E48/750000)+(F48/80)+(S48/1600)+((P48/2500)*J48))*1600/4+(((E48/750000)*(F48/80))+(((P48/2500)*J48)*(S48/1600)))*1600/2+((E48/750000)*(F48/80)*((P48/2500)*J48)*(S48/1600))*1600)*(H48/1.0)/3</f>
        <v/>
      </c>
      <c r="X48" s="6" t="n">
        <v>3600</v>
      </c>
      <c r="Y48">
        <f>IFERROR(W48-X48,"")</f>
        <v/>
      </c>
      <c r="Z48">
        <f>IFERROR(ABS(Y48)/MAX(X48,1),"")</f>
        <v/>
      </c>
      <c r="AA48">
        <f>IFERROR(ROUND(((3*X48-(((E48/750000)+(F48/80)+(S48/1600))*1600/4+((E48/750000)*(F48/80))*1600/2)*(H48/1.0))/(1600/4+((S48/1600))*1600/2+((E48/750000)*(F48/80)*(S48/1600))*1600)*(H48/1.0)*2500)/J48,-1),"")</f>
        <v/>
      </c>
    </row>
    <row r="49">
      <c r="B49" s="7" t="inlineStr">
        <is>
          <t xml:space="preserve">  ↳ SteelQuantumTurretRail_EMP</t>
        </is>
      </c>
      <c r="C49" s="7" t="inlineStr">
        <is>
          <t>Armament@AG1</t>
        </is>
      </c>
      <c r="L49" s="6" t="n">
        <v>12000</v>
      </c>
      <c r="M49" s="6" t="n">
        <v>38</v>
      </c>
      <c r="N49" s="6" t="n">
        <v>1</v>
      </c>
      <c r="O49" s="6" t="n"/>
      <c r="P49" s="6" t="n">
        <v>8888</v>
      </c>
      <c r="Q49" s="6" t="n">
        <v>1.25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^Warhead_CannonHE_Heavy</t>
        </is>
      </c>
    </row>
    <row r="50">
      <c r="B50" s="7" t="inlineStr">
        <is>
          <t xml:space="preserve">  ↳ SteelQuantumTurretRail_EMP</t>
        </is>
      </c>
      <c r="C50" s="7" t="inlineStr">
        <is>
          <t>Armament@AG2</t>
        </is>
      </c>
      <c r="L50" s="6" t="n">
        <v>12000</v>
      </c>
      <c r="M50" s="6" t="n">
        <v>38</v>
      </c>
      <c r="N50" s="6" t="n">
        <v>1</v>
      </c>
      <c r="O50" s="6" t="n"/>
      <c r="P50" s="6" t="n">
        <v>8888</v>
      </c>
      <c r="Q50" s="6" t="n">
        <v>1.25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^Warhead_CannonHE_Heavy</t>
        </is>
      </c>
    </row>
    <row r="51">
      <c r="A51" t="inlineStr">
        <is>
          <t>redalert2mod</t>
        </is>
      </c>
      <c r="B51" t="inlineStr">
        <is>
          <t>cougar.steel</t>
        </is>
      </c>
      <c r="C51" t="inlineStr">
        <is>
          <t>Federation Cougar</t>
        </is>
      </c>
      <c r="D51" s="6" t="inlineStr">
        <is>
          <t>ScoutVehicle</t>
        </is>
      </c>
      <c r="E51" s="6" t="n">
        <v>25000</v>
      </c>
      <c r="F51" s="6" t="n">
        <v>150</v>
      </c>
      <c r="G51" t="inlineStr">
        <is>
          <t>Scout</t>
        </is>
      </c>
      <c r="H51" s="6" t="n">
        <v>1</v>
      </c>
      <c r="I51" s="6" t="n">
        <v>1</v>
      </c>
      <c r="J51" s="6" t="n">
        <v>1</v>
      </c>
      <c r="K51" s="6" t="n"/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(((E51/30000)+(F51/200)+(S51/450)+((P51/4500)*J51))*300/4+(((E51/30000)*(F51/200))+(((P51/4500)*J51)*(S51/450)))*300/2+((E51/30000)*(F51/200)*((P51/4500)*J51)*(S51/450))*300)*(H51/1.0)/3</f>
        <v/>
      </c>
      <c r="X51" s="6" t="n">
        <v>1200</v>
      </c>
      <c r="Y51">
        <f>IFERROR(W51-X51,"")</f>
        <v/>
      </c>
      <c r="Z51">
        <f>IFERROR(ABS(Y51)/MAX(X51,1),"")</f>
        <v/>
      </c>
      <c r="AA51">
        <f>IFERROR(ROUND(((3*X51-(((E51/30000)+(F51/200)+(S51/450))*300/4+((E51/30000)*(F51/200))*300/2)*(H51/1.0))/(300/4+((S51/450))*300/2+((E51/30000)*(F51/200)*(S51/450))*300)*(H51/1.0)*4500)/J51,-1),"")</f>
        <v/>
      </c>
    </row>
    <row r="52">
      <c r="B52" s="7" t="inlineStr">
        <is>
          <t xml:space="preserve">  ↳ SteelVulcan</t>
        </is>
      </c>
      <c r="C52" s="7" t="inlineStr">
        <is>
          <t>Armament</t>
        </is>
      </c>
      <c r="L52" s="6" t="n">
        <v>6000</v>
      </c>
      <c r="M52" s="6" t="n">
        <v>10</v>
      </c>
      <c r="N52" s="6" t="n">
        <v>1</v>
      </c>
      <c r="O52" s="6" t="n"/>
      <c r="P52" s="6" t="n">
        <v>6666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^Warhead_CannonHE_Heavy, ^Warhead_Bullet_Light, ^Warhead_Bullet_Medium</t>
        </is>
      </c>
    </row>
    <row r="53">
      <c r="A53" t="inlineStr">
        <is>
          <t>redalert2mod</t>
        </is>
      </c>
      <c r="B53" t="inlineStr">
        <is>
          <t>hummer.steel</t>
        </is>
      </c>
      <c r="C53" t="inlineStr">
        <is>
          <t>Federation Hummer</t>
        </is>
      </c>
      <c r="D53" s="6" t="inlineStr">
        <is>
          <t>SupportVehicle</t>
        </is>
      </c>
      <c r="E53" s="6" t="n">
        <v>45000</v>
      </c>
      <c r="F53" s="6" t="n">
        <v>110</v>
      </c>
      <c r="G53" t="inlineStr">
        <is>
          <t>Medium</t>
        </is>
      </c>
      <c r="H53" s="6" t="n">
        <v>1</v>
      </c>
      <c r="I53" s="6" t="n">
        <v>1</v>
      </c>
      <c r="J53" s="6" t="n">
        <v>1</v>
      </c>
      <c r="K53" s="6" t="n"/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2000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SteelHoverMissile</t>
        </is>
      </c>
      <c r="C54" s="7" t="inlineStr">
        <is>
          <t>Armament@AG</t>
        </is>
      </c>
      <c r="L54" s="6" t="n">
        <v>8000</v>
      </c>
      <c r="M54" s="6" t="n">
        <v>25</v>
      </c>
      <c r="N54" s="6" t="n">
        <v>4</v>
      </c>
      <c r="O54" s="6" t="n">
        <v>4</v>
      </c>
      <c r="P54" s="6" t="n">
        <v>6666</v>
      </c>
      <c r="Q54" s="6" t="n">
        <v>0.75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^Warhead_MissileAP_Light</t>
        </is>
      </c>
    </row>
    <row r="55">
      <c r="B55" s="7" t="inlineStr">
        <is>
          <t xml:space="preserve">  ↳ SteelHoverMissile_elite</t>
        </is>
      </c>
      <c r="C55" s="7" t="inlineStr">
        <is>
          <t>Armament@AGELITE</t>
        </is>
      </c>
      <c r="L55" s="6" t="n">
        <v>16000</v>
      </c>
      <c r="M55" s="6" t="n">
        <v>25</v>
      </c>
      <c r="N55" s="6" t="n">
        <v>4</v>
      </c>
      <c r="O55" s="6" t="n">
        <v>4</v>
      </c>
      <c r="P55" s="6" t="n">
        <v>7000</v>
      </c>
      <c r="Q55" s="6" t="n">
        <v>0.75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^Warhead_MissileAP_Light</t>
        </is>
      </c>
    </row>
    <row r="56">
      <c r="A56" t="inlineStr">
        <is>
          <t>redalert2mod</t>
        </is>
      </c>
      <c r="B56" t="inlineStr">
        <is>
          <t>oldqtnk.steel</t>
        </is>
      </c>
      <c r="C56" t="inlineStr">
        <is>
          <t>Beta Quantum Tank</t>
        </is>
      </c>
      <c r="D56" s="6" t="inlineStr">
        <is>
          <t>MainBattleTank</t>
        </is>
      </c>
      <c r="E56" s="6" t="n">
        <v>112500</v>
      </c>
      <c r="F56" s="6" t="n">
        <v>80</v>
      </c>
      <c r="G56" t="inlineStr">
        <is>
          <t>Heavy</t>
        </is>
      </c>
      <c r="H56" s="6" t="n">
        <v>1</v>
      </c>
      <c r="I56" s="6" t="n">
        <v>1</v>
      </c>
      <c r="J56" s="6" t="n">
        <v>1</v>
      </c>
      <c r="K56" s="6" t="n"/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(((E56/240000)+(F56/95)+(S56/600)+((P56/5500)*J56))*800/4+(((E56/240000)*(F56/95))+(((P56/5500)*J56)*(S56/600)))*800/2+((E56/240000)*(F56/95)*((P56/5500)*J56)*(S56/600))*800)*(H56/1.0)/3</f>
        <v/>
      </c>
      <c r="X56" s="6" t="n">
        <v>2400</v>
      </c>
      <c r="Y56">
        <f>IFERROR(W56-X56,"")</f>
        <v/>
      </c>
      <c r="Z56">
        <f>IFERROR(ABS(Y56)/MAX(X56,1),"")</f>
        <v/>
      </c>
      <c r="AA56">
        <f>IFERROR(ROUND(((3*X56-(((E56/240000)+(F56/95)+(S56/600))*800/4+((E56/240000)*(F56/95))*800/2)*(H56/1.0))/(800/4+((S56/600))*800/2+((E56/240000)*(F56/95)*(S56/600))*800)*(H56/1.0)*5500)/J56,-1),"")</f>
        <v/>
      </c>
    </row>
    <row r="57">
      <c r="B57" s="7" t="inlineStr">
        <is>
          <t xml:space="preserve">  ↳ SteelQuantumCannon_elite</t>
        </is>
      </c>
      <c r="C57" s="7" t="inlineStr">
        <is>
          <t>Armament</t>
        </is>
      </c>
      <c r="L57" s="6" t="n">
        <v>60000</v>
      </c>
      <c r="M57" s="6" t="n">
        <v>65</v>
      </c>
      <c r="N57" s="6" t="n">
        <v>1</v>
      </c>
      <c r="O57" s="6" t="n"/>
      <c r="P57" s="6" t="n">
        <v>7000</v>
      </c>
      <c r="Q57" s="6" t="n">
        <v>1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^Warhead_Tesla_Heavy, ^Warhead_Laser_Heavy, ^Warhead_Railgun_Heavy</t>
        </is>
      </c>
    </row>
    <row r="58">
      <c r="A58" t="inlineStr">
        <is>
          <t>redalert2mod</t>
        </is>
      </c>
      <c r="B58" t="inlineStr">
        <is>
          <t>steelconsortium_barracuda</t>
        </is>
      </c>
      <c r="C58" t="inlineStr">
        <is>
          <t>Barracuda</t>
        </is>
      </c>
      <c r="D58" s="6" t="inlineStr">
        <is>
          <t>AntiAirVehicle</t>
        </is>
      </c>
      <c r="E58" s="6" t="n">
        <v>40000</v>
      </c>
      <c r="F58" s="6" t="n">
        <v>80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K58" s="6" t="n">
        <v>0.005</v>
      </c>
      <c r="P58">
        <f>MAX(P59,P60,P61,P62,P63,P64,P65,P66)</f>
        <v/>
      </c>
      <c r="S58">
        <f>S59+S60+S61+S62+S63+S64+S65+S66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(((E58/170000)+(F58/110)+(S58/1250)+((P58/6000)*J58))*1000/4+(((E58/170000)*(F58/110))+(((P58/6000)*J58)*(S58/1250)))*1000/2+((E58/170000)*(F58/110)*((P58/6000)*J58)*(S58/1250))*1000)*(H58/1.0)/3</f>
        <v/>
      </c>
      <c r="X58" s="6" t="n">
        <v>1100</v>
      </c>
      <c r="Y58">
        <f>IFERROR(W58-X58,"")</f>
        <v/>
      </c>
      <c r="Z58">
        <f>IFERROR(ABS(Y58)/MAX(X58,1),"")</f>
        <v/>
      </c>
      <c r="AA58">
        <f>IFERROR(ROUND(((3*X58-(((E58/170000)+(F58/110)+(S58/1250))*1000/4+((E58/170000)*(F58/110))*1000/2)*(H58/1.0))/(1000/4+((S58/1250))*1000/2+((E58/170000)*(F58/110)*(S58/1250))*1000)*(H58/1.0)*6000)/J58,-1),"")</f>
        <v/>
      </c>
    </row>
    <row r="59">
      <c r="B59" s="7" t="inlineStr">
        <is>
          <t xml:space="preserve">  ↳ SteelMantaHunterCannons</t>
        </is>
      </c>
      <c r="C59" s="7" t="inlineStr">
        <is>
          <t>Armament@AG1</t>
        </is>
      </c>
      <c r="L59" s="6" t="n">
        <v>4000</v>
      </c>
      <c r="M59" s="6" t="n">
        <v>8</v>
      </c>
      <c r="N59" s="6" t="n">
        <v>1</v>
      </c>
      <c r="O59" s="6" t="n"/>
      <c r="P59" s="6" t="n">
        <v>8000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^Warhead_Flak_Medium, ^Warhead_Bullet_Medium</t>
        </is>
      </c>
    </row>
    <row r="60">
      <c r="B60" s="7" t="inlineStr">
        <is>
          <t xml:space="preserve">  ↳ SteelMantaHunterCannons</t>
        </is>
      </c>
      <c r="C60" s="7" t="inlineStr">
        <is>
          <t>Armament@AG2</t>
        </is>
      </c>
      <c r="L60" s="6" t="n">
        <v>4000</v>
      </c>
      <c r="M60" s="6" t="n">
        <v>8</v>
      </c>
      <c r="N60" s="6" t="n">
        <v>1</v>
      </c>
      <c r="O60" s="6" t="n"/>
      <c r="P60" s="6" t="n">
        <v>8000</v>
      </c>
      <c r="Q60" s="6" t="n">
        <v>1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^Warhead_Flak_Medium, ^Warhead_Bullet_Medium</t>
        </is>
      </c>
    </row>
    <row r="61">
      <c r="B61" s="7" t="inlineStr">
        <is>
          <t xml:space="preserve">  ↳ SteelMantaHunterCannons_AA</t>
        </is>
      </c>
      <c r="C61" s="7" t="inlineStr">
        <is>
          <t>Armament@AA1</t>
        </is>
      </c>
      <c r="L61" s="6" t="n">
        <v>6000</v>
      </c>
      <c r="M61" s="6" t="n">
        <v>12</v>
      </c>
      <c r="N61" s="6" t="n">
        <v>1</v>
      </c>
      <c r="O61" s="6" t="n"/>
      <c r="P61" s="6" t="n">
        <v>12000</v>
      </c>
      <c r="Q61" s="6" t="n">
        <v>1</v>
      </c>
      <c r="R61">
        <f>M61+IF(N61&gt;1,N(O61)*(N61-1),0)</f>
        <v/>
      </c>
      <c r="S61">
        <f>IFERROR(L61*MAX(N61,1)/R61*IF(ISBLANK(K58),1,K58),0)</f>
        <v/>
      </c>
      <c r="AB61" s="7" t="inlineStr">
        <is>
          <t>^Warhead_MissileAP_Medium, ^Warhead_Flak_Medium, ^Warhead_Bullet_Medium</t>
        </is>
      </c>
    </row>
    <row r="62">
      <c r="B62" s="7" t="inlineStr">
        <is>
          <t xml:space="preserve">  ↳ SteelMantaHunterCannons_AA</t>
        </is>
      </c>
      <c r="C62" s="7" t="inlineStr">
        <is>
          <t>Armament@AA2</t>
        </is>
      </c>
      <c r="L62" s="6" t="n">
        <v>6000</v>
      </c>
      <c r="M62" s="6" t="n">
        <v>12</v>
      </c>
      <c r="N62" s="6" t="n">
        <v>1</v>
      </c>
      <c r="O62" s="6" t="n"/>
      <c r="P62" s="6" t="n">
        <v>12000</v>
      </c>
      <c r="Q62" s="6" t="n">
        <v>1</v>
      </c>
      <c r="R62">
        <f>M62+IF(N62&gt;1,N(O62)*(N62-1),0)</f>
        <v/>
      </c>
      <c r="S62">
        <f>IFERROR(L62*MAX(N62,1)/R62*IF(ISBLANK(K58),1,K58),0)</f>
        <v/>
      </c>
      <c r="AB62" s="7" t="inlineStr">
        <is>
          <t>^Warhead_MissileAP_Medium, ^Warhead_Flak_Medium, ^Warhead_Bullet_Medium</t>
        </is>
      </c>
    </row>
    <row r="63">
      <c r="B63" s="7" t="inlineStr">
        <is>
          <t xml:space="preserve">  ↳ SteelMantaHunterCannonsResonance</t>
        </is>
      </c>
      <c r="C63" s="7" t="inlineStr">
        <is>
          <t>Armament@UpgradeAG1</t>
        </is>
      </c>
      <c r="L63" s="6" t="n">
        <v>4000</v>
      </c>
      <c r="M63" s="6" t="n">
        <v>8</v>
      </c>
      <c r="N63" s="6" t="n">
        <v>1</v>
      </c>
      <c r="O63" s="6" t="n"/>
      <c r="P63" s="6" t="n">
        <v>8000</v>
      </c>
      <c r="Q63" s="6" t="n">
        <v>1</v>
      </c>
      <c r="R63">
        <f>M63+IF(N63&gt;1,N(O63)*(N63-1),0)</f>
        <v/>
      </c>
      <c r="S63">
        <f>IFERROR(L63*MAX(N63,1)/R63*IF(ISBLANK(K58),1,K58),0)</f>
        <v/>
      </c>
      <c r="AB63" s="7" t="inlineStr">
        <is>
          <t>^Warhead_Flak_Medium, ^Warhead_Bullet_Medium</t>
        </is>
      </c>
    </row>
    <row r="64">
      <c r="B64" s="7" t="inlineStr">
        <is>
          <t xml:space="preserve">  ↳ SteelMantaHunterCannonsResonance</t>
        </is>
      </c>
      <c r="C64" s="7" t="inlineStr">
        <is>
          <t>Armament@UpgradeAG2</t>
        </is>
      </c>
      <c r="L64" s="6" t="n">
        <v>4000</v>
      </c>
      <c r="M64" s="6" t="n">
        <v>8</v>
      </c>
      <c r="N64" s="6" t="n">
        <v>1</v>
      </c>
      <c r="O64" s="6" t="n"/>
      <c r="P64" s="6" t="n">
        <v>8000</v>
      </c>
      <c r="Q64" s="6" t="n">
        <v>1</v>
      </c>
      <c r="R64">
        <f>M64+IF(N64&gt;1,N(O64)*(N64-1),0)</f>
        <v/>
      </c>
      <c r="S64">
        <f>IFERROR(L64*MAX(N64,1)/R64*IF(ISBLANK(K58),1,K58),0)</f>
        <v/>
      </c>
      <c r="AB64" s="7" t="inlineStr">
        <is>
          <t>^Warhead_Flak_Medium, ^Warhead_Bullet_Medium</t>
        </is>
      </c>
    </row>
    <row r="65">
      <c r="B65" s="7" t="inlineStr">
        <is>
          <t xml:space="preserve">  ↳ SteelMantaHunterCannonsAAResonance_AA</t>
        </is>
      </c>
      <c r="C65" s="7" t="inlineStr">
        <is>
          <t>Armament@UpgradeAA1</t>
        </is>
      </c>
      <c r="L65" s="6" t="n">
        <v>6000</v>
      </c>
      <c r="M65" s="6" t="n">
        <v>12</v>
      </c>
      <c r="N65" s="6" t="n">
        <v>1</v>
      </c>
      <c r="O65" s="6" t="n"/>
      <c r="P65" s="6" t="n">
        <v>12000</v>
      </c>
      <c r="Q65" s="6" t="n">
        <v>1</v>
      </c>
      <c r="R65">
        <f>M65+IF(N65&gt;1,N(O65)*(N65-1),0)</f>
        <v/>
      </c>
      <c r="S65">
        <f>IFERROR(L65*MAX(N65,1)/R65*IF(ISBLANK(K58),1,K58),0)</f>
        <v/>
      </c>
      <c r="AB65" s="7" t="inlineStr">
        <is>
          <t>^Warhead_MissileAP_Medium, ^Warhead_Flak_Medium, ^Warhead_Bullet_Medium</t>
        </is>
      </c>
    </row>
    <row r="66">
      <c r="B66" s="7" t="inlineStr">
        <is>
          <t xml:space="preserve">  ↳ SteelMantaHunterCannonsAAResonance_AA</t>
        </is>
      </c>
      <c r="C66" s="7" t="inlineStr">
        <is>
          <t>Armament@UpgradeAA2</t>
        </is>
      </c>
      <c r="L66" s="6" t="n">
        <v>6000</v>
      </c>
      <c r="M66" s="6" t="n">
        <v>12</v>
      </c>
      <c r="N66" s="6" t="n">
        <v>1</v>
      </c>
      <c r="O66" s="6" t="n"/>
      <c r="P66" s="6" t="n">
        <v>12000</v>
      </c>
      <c r="Q66" s="6" t="n">
        <v>1</v>
      </c>
      <c r="R66">
        <f>M66+IF(N66&gt;1,N(O66)*(N66-1),0)</f>
        <v/>
      </c>
      <c r="S66">
        <f>IFERROR(L66*MAX(N66,1)/R66*IF(ISBLANK(K58),1,K58),0)</f>
        <v/>
      </c>
      <c r="AB66" s="7" t="inlineStr">
        <is>
          <t>^Warhead_MissileAP_Medium, ^Warhead_Flak_Medium, ^Warhead_Bullet_Medium</t>
        </is>
      </c>
    </row>
    <row r="67">
      <c r="A67" t="inlineStr">
        <is>
          <t>redalert2mod</t>
        </is>
      </c>
      <c r="B67" t="inlineStr">
        <is>
          <t>steelconsortium_consortiumminer</t>
        </is>
      </c>
      <c r="C67" t="inlineStr">
        <is>
          <t>Consortium Miner</t>
        </is>
      </c>
      <c r="D67" s="6" t="inlineStr">
        <is>
          <t>Harvester</t>
        </is>
      </c>
      <c r="E67" s="6" t="n">
        <v>100000</v>
      </c>
      <c r="F67" s="6" t="n">
        <v>100</v>
      </c>
      <c r="G67" t="inlineStr">
        <is>
          <t>Medium</t>
        </is>
      </c>
      <c r="H67" s="6" t="n">
        <v>1</v>
      </c>
      <c r="I67" s="6" t="n">
        <v>1</v>
      </c>
      <c r="J67" s="6" t="n">
        <v>1</v>
      </c>
      <c r="K67" s="6" t="n"/>
      <c r="X67" s="6" t="n">
        <v>1000</v>
      </c>
    </row>
    <row r="68">
      <c r="A68" t="inlineStr">
        <is>
          <t>redalert2mod</t>
        </is>
      </c>
      <c r="B68" t="inlineStr">
        <is>
          <t>steelconsortium_consortiummobileconstructionvehicle</t>
        </is>
      </c>
      <c r="C68" t="inlineStr">
        <is>
          <t>Consortium Mobile Construction Vehicle</t>
        </is>
      </c>
      <c r="D68" s="6" t="inlineStr">
        <is>
          <t>SupportVehicle</t>
        </is>
      </c>
      <c r="E68" s="6" t="n">
        <v>150000</v>
      </c>
      <c r="F68" s="6" t="n">
        <v>60</v>
      </c>
      <c r="G68" t="inlineStr">
        <is>
          <t>Light</t>
        </is>
      </c>
      <c r="H68" s="6" t="n">
        <v>0.6735</v>
      </c>
      <c r="I68" s="6" t="n">
        <v>1</v>
      </c>
      <c r="J68" s="6" t="n">
        <v>1</v>
      </c>
      <c r="K68" s="6" t="n"/>
      <c r="X68" s="6" t="n">
        <v>5000</v>
      </c>
    </row>
    <row r="69">
      <c r="A69" t="inlineStr">
        <is>
          <t>redalert2mod</t>
        </is>
      </c>
      <c r="B69" t="inlineStr">
        <is>
          <t>steelconsortium_dagger</t>
        </is>
      </c>
      <c r="C69" t="inlineStr">
        <is>
          <t>Dagger</t>
        </is>
      </c>
      <c r="D69" s="6" t="inlineStr">
        <is>
          <t>Artillery</t>
        </is>
      </c>
      <c r="E69" s="6" t="n">
        <v>25000</v>
      </c>
      <c r="F69" s="6" t="n">
        <v>100</v>
      </c>
      <c r="G69" t="inlineStr">
        <is>
          <t>Light</t>
        </is>
      </c>
      <c r="H69" s="6" t="n">
        <v>0.75</v>
      </c>
      <c r="I69" s="6" t="n">
        <v>1</v>
      </c>
      <c r="J69" s="6" t="n">
        <v>1</v>
      </c>
      <c r="K69" s="6" t="n"/>
      <c r="P69">
        <f>MAX(P70,P71)</f>
        <v/>
      </c>
      <c r="S69">
        <f>S70+S71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(((E69/60000)+(F69/75)+(S69/500)+((P69/15000)*J69))*500/4+(((E69/60000)*(F69/75))+(((P69/15000)*J69)*(S69/500)))*500/2+((E69/60000)*(F69/75)*((P69/15000)*J69)*(S69/500))*500)*(H69/1.0)/3</f>
        <v/>
      </c>
      <c r="X69" s="6" t="n">
        <v>1300</v>
      </c>
      <c r="Y69">
        <f>IFERROR(W69-X69,"")</f>
        <v/>
      </c>
      <c r="Z69">
        <f>IFERROR(ABS(Y69)/MAX(X69,1),"")</f>
        <v/>
      </c>
      <c r="AA69">
        <f>IFERROR(ROUND(((3*X69-(((E69/60000)+(F69/75)+(S69/500))*500/4+((E69/60000)*(F69/75))*500/2)*(H69/1.0))/(500/4+((S69/500))*500/2+((E69/60000)*(F69/75)*(S69/500))*500)*(H69/1.0)*15000)/J69,-1),"")</f>
        <v/>
      </c>
    </row>
    <row r="70">
      <c r="B70" s="7" t="inlineStr">
        <is>
          <t xml:space="preserve">  ↳ SteelDaggerCannon</t>
        </is>
      </c>
      <c r="C70" s="7" t="inlineStr">
        <is>
          <t>Armament@PRIMARY</t>
        </is>
      </c>
      <c r="L70" s="6" t="n">
        <v>8000</v>
      </c>
      <c r="M70" s="6" t="n">
        <v>50</v>
      </c>
      <c r="N70" s="6" t="n">
        <v>4</v>
      </c>
      <c r="O70" s="6" t="n">
        <v>0</v>
      </c>
      <c r="P70" s="6" t="n">
        <v>20000</v>
      </c>
      <c r="Q70" s="6" t="n">
        <v>1</v>
      </c>
      <c r="R70">
        <f>M70+IF(N70&gt;1,N(O70)*(N70-1),0)</f>
        <v/>
      </c>
      <c r="S70">
        <f>IFERROR(L70*MAX(N70,1)/R70*IF(ISBLANK(K69),1,K69),0)</f>
        <v/>
      </c>
      <c r="AB70" s="7" t="inlineStr">
        <is>
          <t>^Warhead_Demolition_Light, ^Warhead_CannonHE_Heavy</t>
        </is>
      </c>
    </row>
    <row r="71">
      <c r="B71" s="7" t="inlineStr">
        <is>
          <t xml:space="preserve">  ↳ SteelDaggerCannon_elite</t>
        </is>
      </c>
      <c r="C71" s="7" t="inlineStr">
        <is>
          <t>Armament@ELITE</t>
        </is>
      </c>
      <c r="L71" s="6" t="n">
        <v>8000</v>
      </c>
      <c r="M71" s="6" t="n">
        <v>50</v>
      </c>
      <c r="N71" s="6" t="n">
        <v>8</v>
      </c>
      <c r="O71" s="6" t="n">
        <v>0</v>
      </c>
      <c r="P71" s="6" t="n">
        <v>25000</v>
      </c>
      <c r="Q71" s="6" t="n">
        <v>1</v>
      </c>
      <c r="R71">
        <f>M71+IF(N71&gt;1,N(O71)*(N71-1),0)</f>
        <v/>
      </c>
      <c r="S71">
        <f>IFERROR(L71*MAX(N71,1)/R71*IF(ISBLANK(K69),1,K69),0)</f>
        <v/>
      </c>
      <c r="AB71" s="7" t="inlineStr">
        <is>
          <t>^Warhead_Demolition_Light, ^Warhead_CannonHE_Heavy</t>
        </is>
      </c>
    </row>
    <row r="72">
      <c r="A72" t="inlineStr">
        <is>
          <t>redalert2mod</t>
        </is>
      </c>
      <c r="B72" t="inlineStr">
        <is>
          <t>steelconsortium_defenderbot</t>
        </is>
      </c>
      <c r="C72" t="inlineStr">
        <is>
          <t>Defender Bot</t>
        </is>
      </c>
      <c r="D72" s="6" t="inlineStr">
        <is>
          <t>SupportVehicle</t>
        </is>
      </c>
      <c r="E72" s="6" t="n">
        <v>210000</v>
      </c>
      <c r="F72" s="6" t="n">
        <v>70</v>
      </c>
      <c r="G72" t="inlineStr">
        <is>
          <t>Medium</t>
        </is>
      </c>
      <c r="H72" s="6" t="n">
        <v>0.75</v>
      </c>
      <c r="I72" s="6" t="n">
        <v>1</v>
      </c>
      <c r="J72" s="6" t="n">
        <v>1.25</v>
      </c>
      <c r="K72" s="6" t="n"/>
      <c r="P72">
        <f>MAX(P73,P74,P75,P76)</f>
        <v/>
      </c>
      <c r="S72">
        <f>S73+S74+S75+S76</f>
        <v/>
      </c>
      <c r="T72">
        <f>(E72/100000+F72/100+(P72/1000)*J72/5+S72/200)*200*I72*H72</f>
        <v/>
      </c>
      <c r="U72">
        <f>((E72*F72/25000)+((P72/1000)*J72*S72/2.5))*I72*H72</f>
        <v/>
      </c>
      <c r="V72">
        <f>(E72*F72*(P72/1000)*J72*S72*I72*H72)/12500000</f>
        <v/>
      </c>
      <c r="W72">
        <f>(T72+U72+V72)/3</f>
        <v/>
      </c>
      <c r="X72" s="6" t="n">
        <v>3200</v>
      </c>
      <c r="Y72">
        <f>IFERROR(W72-X72,"")</f>
        <v/>
      </c>
      <c r="Z72">
        <f>IFERROR(ABS(Y72)/MAX(X72,1),"")</f>
        <v/>
      </c>
      <c r="AA72">
        <f>IFERROR((X72-(((E72/100000+F72/100+S72/200)*200*I72*H72)+((E72*F72/25000)*I72*H72))/3)/(((J72/5)*200*I72*H72)+((J72*S72/2.5)*I72*H72)+((E72*F72*J72*S72*I72*H72)/12500000))/3*1000,"")</f>
        <v/>
      </c>
    </row>
    <row r="73">
      <c r="B73" s="7" t="inlineStr">
        <is>
          <t xml:space="preserve">  ↳ SteelInfRailgun</t>
        </is>
      </c>
      <c r="C73" s="7" t="inlineStr">
        <is>
          <t>Armament@PRIMARY</t>
        </is>
      </c>
      <c r="L73" s="6" t="n">
        <v>16000</v>
      </c>
      <c r="M73" s="6" t="n">
        <v>48</v>
      </c>
      <c r="N73" s="6" t="n">
        <v>2</v>
      </c>
      <c r="O73" s="6" t="n">
        <v>0</v>
      </c>
      <c r="P73" s="6" t="n">
        <v>8000</v>
      </c>
      <c r="Q73" s="6" t="n">
        <v>1</v>
      </c>
      <c r="R73">
        <f>M73+IF(N73&gt;1,N(O73)*(N73-1),0)</f>
        <v/>
      </c>
      <c r="S73">
        <f>IFERROR(L73*MAX(N73,1)/R73*IF(ISBLANK(K72),1,K72),0)</f>
        <v/>
      </c>
      <c r="AB73" s="7" t="inlineStr">
        <is>
          <t>^Warhead_Railgun_Heavy, ^Warhead_Flak_Medium, ^Warhead_Bullet_Medium, ^Warhead_MissileAP_Light</t>
        </is>
      </c>
    </row>
    <row r="74">
      <c r="B74" s="7" t="inlineStr">
        <is>
          <t xml:space="preserve">  ↳ SteelInfRailgun_elite</t>
        </is>
      </c>
      <c r="C74" s="7" t="inlineStr">
        <is>
          <t>Armament@PRIMARYELITE</t>
        </is>
      </c>
      <c r="L74" s="6" t="n">
        <v>16000</v>
      </c>
      <c r="M74" s="6" t="n">
        <v>48</v>
      </c>
      <c r="N74" s="6" t="n">
        <v>4</v>
      </c>
      <c r="O74" s="6" t="n">
        <v>0</v>
      </c>
      <c r="P74" s="6" t="n">
        <v>9000</v>
      </c>
      <c r="Q74" s="6" t="n">
        <v>1</v>
      </c>
      <c r="R74">
        <f>M74+IF(N74&gt;1,N(O74)*(N74-1),0)</f>
        <v/>
      </c>
      <c r="S74">
        <f>IFERROR(L74*MAX(N74,1)/R74*IF(ISBLANK(K72),1,K72),0)</f>
        <v/>
      </c>
      <c r="AB74" s="7" t="inlineStr">
        <is>
          <t>^Warhead_Railgun_Heavy, ^Warhead_Flak_Medium, ^Warhead_Bullet_Medium, ^Warhead_MissileAP_Light</t>
        </is>
      </c>
    </row>
    <row r="75">
      <c r="B75" s="7" t="inlineStr">
        <is>
          <t xml:space="preserve">  ↳ SteelInfRailgun_EMP</t>
        </is>
      </c>
      <c r="C75" s="7" t="inlineStr">
        <is>
          <t>Armament@UpgradePRIMARY</t>
        </is>
      </c>
      <c r="L75" s="6" t="n">
        <v>20000</v>
      </c>
      <c r="M75" s="6" t="n">
        <v>50</v>
      </c>
      <c r="N75" s="6" t="n">
        <v>2</v>
      </c>
      <c r="O75" s="6" t="n">
        <v>0</v>
      </c>
      <c r="P75" s="6" t="n">
        <v>8000</v>
      </c>
      <c r="Q75" s="6" t="n">
        <v>1</v>
      </c>
      <c r="R75">
        <f>M75+IF(N75&gt;1,N(O75)*(N75-1),0)</f>
        <v/>
      </c>
      <c r="S75">
        <f>IFERROR(L75*MAX(N75,1)/R75*IF(ISBLANK(K72),1,K72),0)</f>
        <v/>
      </c>
      <c r="AB75" s="7" t="inlineStr">
        <is>
          <t>^Warhead_Railgun_Heavy, ^Warhead_Flak_Medium, ^Warhead_Bullet_Medium, ^Warhead_MissileAP_Light</t>
        </is>
      </c>
    </row>
    <row r="76">
      <c r="B76" s="7" t="inlineStr">
        <is>
          <t xml:space="preserve">  ↳ SteelInfRailgun_EMP_elite</t>
        </is>
      </c>
      <c r="C76" s="7" t="inlineStr">
        <is>
          <t>Armament@UpgradePRIMARYELITE</t>
        </is>
      </c>
      <c r="L76" s="6" t="n">
        <v>20000</v>
      </c>
      <c r="M76" s="6" t="n">
        <v>50</v>
      </c>
      <c r="N76" s="6" t="n">
        <v>4</v>
      </c>
      <c r="O76" s="6" t="n">
        <v>0</v>
      </c>
      <c r="P76" s="6" t="n">
        <v>9000</v>
      </c>
      <c r="Q76" s="6" t="n">
        <v>1</v>
      </c>
      <c r="R76">
        <f>M76+IF(N76&gt;1,N(O76)*(N76-1),0)</f>
        <v/>
      </c>
      <c r="S76">
        <f>IFERROR(L76*MAX(N76,1)/R76*IF(ISBLANK(K72),1,K72),0)</f>
        <v/>
      </c>
      <c r="AB76" s="7" t="inlineStr">
        <is>
          <t>^Warhead_Railgun_Heavy, ^Warhead_Flak_Medium, ^Warhead_Bullet_Medium, ^Warhead_MissileAP_Light</t>
        </is>
      </c>
    </row>
    <row r="77">
      <c r="A77" t="inlineStr">
        <is>
          <t>redalert2mod</t>
        </is>
      </c>
      <c r="B77" t="inlineStr">
        <is>
          <t>steelconsortium_hammerheadartillerytank</t>
        </is>
      </c>
      <c r="C77" t="inlineStr">
        <is>
          <t>Hammerhead Artillery Tank</t>
        </is>
      </c>
      <c r="D77" s="6" t="inlineStr">
        <is>
          <t>Artillery</t>
        </is>
      </c>
      <c r="E77" s="6" t="n">
        <v>52500</v>
      </c>
      <c r="F77" s="6" t="n">
        <v>100</v>
      </c>
      <c r="G77" t="inlineStr">
        <is>
          <t>Light</t>
        </is>
      </c>
      <c r="H77" s="6" t="n">
        <v>0.6735</v>
      </c>
      <c r="I77" s="6" t="n">
        <v>1</v>
      </c>
      <c r="J77" s="6" t="n">
        <v>1</v>
      </c>
      <c r="K77" s="6" t="n"/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(((E77/60000)+(F77/75)+(S77/500)+((P77/15000)*J77))*500/4+(((E77/60000)*(F77/75))+(((P77/15000)*J77)*(S77/500)))*500/2+((E77/60000)*(F77/75)*((P77/15000)*J77)*(S77/500))*500)*(H77/1.0)/3</f>
        <v/>
      </c>
      <c r="X77" s="6" t="n">
        <v>1000</v>
      </c>
      <c r="Y77">
        <f>IFERROR(W77-X77,"")</f>
        <v/>
      </c>
      <c r="Z77">
        <f>IFERROR(ABS(Y77)/MAX(X77,1),"")</f>
        <v/>
      </c>
      <c r="AA77">
        <f>IFERROR(ROUND(((3*X77-(((E77/60000)+(F77/75)+(S77/500))*500/4+((E77/60000)*(F77/75))*500/2)*(H77/1.0))/(500/4+((S77/500))*500/2+((E77/60000)*(F77/75)*(S77/500))*500)*(H77/1.0)*15000)/J77,-1),"")</f>
        <v/>
      </c>
    </row>
    <row r="78">
      <c r="B78" s="7" t="inlineStr">
        <is>
          <t xml:space="preserve">  ↳ HammerheadTankCannon</t>
        </is>
      </c>
      <c r="C78" s="7" t="inlineStr">
        <is>
          <t>Armament@Undeployed</t>
        </is>
      </c>
      <c r="L78" s="6" t="n">
        <v>24000</v>
      </c>
      <c r="M78" s="6" t="n">
        <v>55</v>
      </c>
      <c r="N78" s="6" t="n">
        <v>1</v>
      </c>
      <c r="O78" s="6" t="n"/>
      <c r="P78" s="6" t="n">
        <v>5150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>
        <is>
          <t>^Warhead_CannonHE_Medium</t>
        </is>
      </c>
    </row>
    <row r="79">
      <c r="B79" s="7" t="inlineStr">
        <is>
          <t xml:space="preserve">  ↳ HammerheadArtillery</t>
        </is>
      </c>
      <c r="C79" s="7" t="inlineStr">
        <is>
          <t>Armament@Deployed</t>
        </is>
      </c>
      <c r="L79" s="6" t="n">
        <v>33333</v>
      </c>
      <c r="M79" s="6" t="n">
        <v>111</v>
      </c>
      <c r="N79" s="6" t="n">
        <v>1</v>
      </c>
      <c r="O79" s="6" t="n"/>
      <c r="P79" s="6" t="n">
        <v>11111</v>
      </c>
      <c r="Q79" s="6" t="n">
        <v>0.875</v>
      </c>
      <c r="R79">
        <f>M79+IF(N79&gt;1,N(O79)*(N79-1),0)</f>
        <v/>
      </c>
      <c r="S79">
        <f>IFERROR(L79*MAX(N79,1)/R79*IF(ISBLANK(K77),1,K77),0)</f>
        <v/>
      </c>
      <c r="AB79" s="7" t="inlineStr">
        <is>
          <t>^Warhead_Demolition_Light, ^Warhead_CannonHE_Medium</t>
        </is>
      </c>
    </row>
    <row r="80">
      <c r="B80" s="7" t="inlineStr">
        <is>
          <t xml:space="preserve">  ↳ deploytargeting_10c0</t>
        </is>
      </c>
      <c r="C80" s="7" t="inlineStr">
        <is>
          <t>Armament@BOT</t>
        </is>
      </c>
      <c r="L80" s="6" t="n"/>
      <c r="M80" s="6" t="n">
        <v>50</v>
      </c>
      <c r="N80" s="6" t="n">
        <v>1</v>
      </c>
      <c r="O80" s="6" t="n"/>
      <c r="P80" s="6" t="n">
        <v>10000</v>
      </c>
      <c r="Q80" s="6" t="n">
        <v>1</v>
      </c>
      <c r="R80">
        <f>M80+IF(N80&gt;1,N(O80)*(N80-1),0)</f>
        <v/>
      </c>
      <c r="S80">
        <f>IFERROR(L80*MAX(N80,1)/R80*IF(ISBLANK(K77),1,K77),0)</f>
        <v/>
      </c>
      <c r="AB80" s="7" t="inlineStr">
        <is>
          <t>^DeployTargeting</t>
        </is>
      </c>
    </row>
    <row r="81">
      <c r="A81" t="inlineStr">
        <is>
          <t>redalert2mod</t>
        </is>
      </c>
      <c r="B81" t="inlineStr">
        <is>
          <t>steelconsortium_katytank</t>
        </is>
      </c>
      <c r="C81" t="inlineStr">
        <is>
          <t>Katy Tank</t>
        </is>
      </c>
      <c r="D81" s="6" t="inlineStr">
        <is>
          <t>HighTechTank</t>
        </is>
      </c>
      <c r="E81" s="6" t="n">
        <v>275000</v>
      </c>
      <c r="F81" s="6" t="n">
        <v>45</v>
      </c>
      <c r="G81" t="inlineStr">
        <is>
          <t>Superheavy</t>
        </is>
      </c>
      <c r="H81" s="6" t="n">
        <v>0.4783</v>
      </c>
      <c r="I81" s="6" t="n">
        <v>1</v>
      </c>
      <c r="J81" s="6" t="n">
        <v>1</v>
      </c>
      <c r="K81" s="6" t="n"/>
      <c r="P81">
        <f>MAX(P82,P83,P84,P85)</f>
        <v/>
      </c>
      <c r="S81">
        <f>S82+S83+S84+S85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(((E81/700000)+(F81/65)+(S81/2000)+((P81/6500)*J81))*2000/4+(((E81/700000)*(F81/65))+(((P81/6500)*J81)*(S81/2000)))*2000/2+((E81/700000)*(F81/65)*((P81/6500)*J81)*(S81/2000))*2000)*(H81/0.75)/3</f>
        <v/>
      </c>
      <c r="X81" s="6" t="n">
        <v>3800</v>
      </c>
      <c r="Y81">
        <f>IFERROR(W81-X81,"")</f>
        <v/>
      </c>
      <c r="Z81">
        <f>IFERROR(ABS(Y81)/MAX(X81,1),"")</f>
        <v/>
      </c>
      <c r="AA81">
        <f>IFERROR(ROUND(((3*X81-(((E81/700000)+(F81/65)+(S81/2000))*2000/4+((E81/700000)*(F81/65))*2000/2)*(H81/0.75))/(2000/4+((S81/2000))*2000/2+((E81/700000)*(F81/65)*(S81/2000))*2000)*(H81/0.75)*6500)/J81,-1),"")</f>
        <v/>
      </c>
    </row>
    <row r="82">
      <c r="B82" s="7" t="inlineStr">
        <is>
          <t xml:space="preserve">  ↳ SteelKatyCannons</t>
        </is>
      </c>
      <c r="C82" s="7" t="inlineStr">
        <is>
          <t>Armament</t>
        </is>
      </c>
      <c r="L82" s="6" t="n">
        <v>30000</v>
      </c>
      <c r="M82" s="6" t="n">
        <v>50</v>
      </c>
      <c r="N82" s="6" t="n">
        <v>2</v>
      </c>
      <c r="O82" s="6" t="n">
        <v>10</v>
      </c>
      <c r="P82" s="6" t="n">
        <v>7250</v>
      </c>
      <c r="Q82" s="6" t="n">
        <v>1.25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^Warhead_CannonHE_Heavy, ^Warhead_Flame_Heavy</t>
        </is>
      </c>
    </row>
    <row r="83">
      <c r="B83" s="7" t="inlineStr">
        <is>
          <t xml:space="preserve">  ↳ SteelKatyCannons_elite</t>
        </is>
      </c>
      <c r="C83" s="7" t="inlineStr">
        <is>
          <t>Armament@ELITE</t>
        </is>
      </c>
      <c r="L83" s="6" t="n">
        <v>30000</v>
      </c>
      <c r="M83" s="6" t="n">
        <v>50</v>
      </c>
      <c r="N83" s="6" t="n">
        <v>4</v>
      </c>
      <c r="O83" s="6" t="n">
        <v>5</v>
      </c>
      <c r="P83" s="6" t="n">
        <v>8250</v>
      </c>
      <c r="Q83" s="6" t="n">
        <v>1.25</v>
      </c>
      <c r="R83">
        <f>M83+IF(N83&gt;1,N(O83)*(N83-1),0)</f>
        <v/>
      </c>
      <c r="S83">
        <f>IFERROR(L83*MAX(N83,1)/R83*IF(ISBLANK(K81),1,K81),0)</f>
        <v/>
      </c>
      <c r="AB83" s="7" t="inlineStr">
        <is>
          <t>^Warhead_CannonHE_Heavy, ^Warhead_Flame_Heavy</t>
        </is>
      </c>
    </row>
    <row r="84">
      <c r="B84" s="7" t="inlineStr">
        <is>
          <t xml:space="preserve">  ↳ SteelKatyCannons_EMP</t>
        </is>
      </c>
      <c r="C84" s="7" t="inlineStr">
        <is>
          <t>Armament@Upgrade</t>
        </is>
      </c>
      <c r="L84" s="6" t="n">
        <v>70000</v>
      </c>
      <c r="M84" s="6" t="n">
        <v>50</v>
      </c>
      <c r="N84" s="6" t="n">
        <v>2</v>
      </c>
      <c r="O84" s="6" t="n">
        <v>10</v>
      </c>
      <c r="P84" s="6" t="n">
        <v>7250</v>
      </c>
      <c r="Q84" s="6" t="n">
        <v>1.25</v>
      </c>
      <c r="R84">
        <f>M84+IF(N84&gt;1,N(O84)*(N84-1),0)</f>
        <v/>
      </c>
      <c r="S84">
        <f>IFERROR(L84*MAX(N84,1)/R84*IF(ISBLANK(K81),1,K81),0)</f>
        <v/>
      </c>
      <c r="AB84" s="7" t="inlineStr">
        <is>
          <t>^Warhead_CannonHE_Heavy, ^Warhead_Flame_Heavy</t>
        </is>
      </c>
    </row>
    <row r="85">
      <c r="B85" s="7" t="inlineStr">
        <is>
          <t xml:space="preserve">  ↳ SteelKatyCannons_EMP_elite</t>
        </is>
      </c>
      <c r="C85" s="7" t="inlineStr">
        <is>
          <t>Armament@UpgradeELITE</t>
        </is>
      </c>
      <c r="L85" s="6" t="n">
        <v>70000</v>
      </c>
      <c r="M85" s="6" t="n">
        <v>50</v>
      </c>
      <c r="N85" s="6" t="n">
        <v>4</v>
      </c>
      <c r="O85" s="6" t="n">
        <v>5</v>
      </c>
      <c r="P85" s="6" t="n">
        <v>8250</v>
      </c>
      <c r="Q85" s="6" t="n">
        <v>1.25</v>
      </c>
      <c r="R85">
        <f>M85+IF(N85&gt;1,N(O85)*(N85-1),0)</f>
        <v/>
      </c>
      <c r="S85">
        <f>IFERROR(L85*MAX(N85,1)/R85*IF(ISBLANK(K81),1,K81),0)</f>
        <v/>
      </c>
      <c r="AB85" s="7" t="inlineStr">
        <is>
          <t>^Warhead_CannonHE_Heavy, ^Warhead_Flame_Heavy</t>
        </is>
      </c>
    </row>
    <row r="86">
      <c r="A86" t="inlineStr">
        <is>
          <t>redalert2mod</t>
        </is>
      </c>
      <c r="B86" t="inlineStr">
        <is>
          <t>steelconsortium_mako</t>
        </is>
      </c>
      <c r="C86" t="inlineStr">
        <is>
          <t>Mako</t>
        </is>
      </c>
      <c r="D86" s="6" t="inlineStr">
        <is>
          <t>MainBattleTank</t>
        </is>
      </c>
      <c r="E86" s="6" t="n">
        <v>95000</v>
      </c>
      <c r="F86" s="6" t="n">
        <v>85</v>
      </c>
      <c r="G86" t="inlineStr">
        <is>
          <t>Heavy</t>
        </is>
      </c>
      <c r="H86" s="6" t="n">
        <v>1</v>
      </c>
      <c r="I86" s="6" t="n">
        <v>1</v>
      </c>
      <c r="J86" s="6" t="n">
        <v>0.75</v>
      </c>
      <c r="K86" s="6" t="n"/>
      <c r="P86">
        <f>MAX(P87,P88,P89,P90)</f>
        <v/>
      </c>
      <c r="S86">
        <f>S87+S88+S89+S90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(((E86/240000)+(F86/95)+(S86/600)+((P86/5500)*J86))*800/4+(((E86/240000)*(F86/95))+(((P86/5500)*J86)*(S86/600)))*800/2+((E86/240000)*(F86/95)*((P86/5500)*J86)*(S86/600))*800)*(H86/1.0)/3</f>
        <v/>
      </c>
      <c r="X86" s="6" t="n">
        <v>900</v>
      </c>
      <c r="Y86">
        <f>IFERROR(W86-X86,"")</f>
        <v/>
      </c>
      <c r="Z86">
        <f>IFERROR(ABS(Y86)/MAX(X86,1),"")</f>
        <v/>
      </c>
      <c r="AA86">
        <f>IFERROR(ROUND(((3*X86-(((E86/240000)+(F86/95)+(S86/600))*800/4+((E86/240000)*(F86/95))*800/2)*(H86/1.0))/(800/4+((S86/600))*800/2+((E86/240000)*(F86/95)*(S86/600))*800)*(H86/1.0)*5500)/J86,-1),"")</f>
        <v/>
      </c>
    </row>
    <row r="87">
      <c r="B87" s="7" t="inlineStr">
        <is>
          <t xml:space="preserve">  ↳ SteelMakoGun</t>
        </is>
      </c>
      <c r="C87" s="7" t="inlineStr">
        <is>
          <t>Armament@PRIMARY</t>
        </is>
      </c>
      <c r="L87" s="6" t="n">
        <v>8000</v>
      </c>
      <c r="M87" s="6" t="n">
        <v>25</v>
      </c>
      <c r="N87" s="6" t="n">
        <v>1</v>
      </c>
      <c r="O87" s="6" t="n"/>
      <c r="P87" s="6" t="n">
        <v>6050</v>
      </c>
      <c r="Q87" s="6" t="n">
        <v>1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^Warhead_Demolition_Light, ^Warhead_Railgun_Heavy, ^Warhead_CannonHE_Medium</t>
        </is>
      </c>
    </row>
    <row r="88">
      <c r="B88" s="7" t="inlineStr">
        <is>
          <t xml:space="preserve">  ↳ SteelMakoGun_elite</t>
        </is>
      </c>
      <c r="C88" s="7" t="inlineStr">
        <is>
          <t>Armament@ELITE</t>
        </is>
      </c>
      <c r="L88" s="6" t="n">
        <v>8000</v>
      </c>
      <c r="M88" s="6" t="n">
        <v>25</v>
      </c>
      <c r="N88" s="6" t="n">
        <v>2</v>
      </c>
      <c r="O88" s="6" t="n">
        <v>3</v>
      </c>
      <c r="P88" s="6" t="n">
        <v>7050</v>
      </c>
      <c r="Q88" s="6" t="n">
        <v>1</v>
      </c>
      <c r="R88">
        <f>M88+IF(N88&gt;1,N(O88)*(N88-1),0)</f>
        <v/>
      </c>
      <c r="S88">
        <f>IFERROR(L88*MAX(N88,1)/R88*IF(ISBLANK(K86),1,K86),0)</f>
        <v/>
      </c>
      <c r="AB88" s="7" t="inlineStr">
        <is>
          <t>^Warhead_Demolition_Light, ^Warhead_Railgun_Heavy, ^Warhead_CannonHE_Medium</t>
        </is>
      </c>
    </row>
    <row r="89">
      <c r="B89" s="7" t="inlineStr">
        <is>
          <t xml:space="preserve">  ↳ SteelMakoGun_EMP</t>
        </is>
      </c>
      <c r="C89" s="7" t="inlineStr">
        <is>
          <t>Armament@UpgradePRIMARY</t>
        </is>
      </c>
      <c r="L89" s="6" t="n">
        <v>12000</v>
      </c>
      <c r="M89" s="6" t="n">
        <v>25</v>
      </c>
      <c r="N89" s="6" t="n">
        <v>1</v>
      </c>
      <c r="O89" s="6" t="n"/>
      <c r="P89" s="6" t="n">
        <v>6050</v>
      </c>
      <c r="Q89" s="6" t="n">
        <v>1</v>
      </c>
      <c r="R89">
        <f>M89+IF(N89&gt;1,N(O89)*(N89-1),0)</f>
        <v/>
      </c>
      <c r="S89">
        <f>IFERROR(L89*MAX(N89,1)/R89*IF(ISBLANK(K86),1,K86),0)</f>
        <v/>
      </c>
      <c r="AB89" s="7" t="inlineStr">
        <is>
          <t>^Warhead_Demolition_Light, ^Warhead_Railgun_Heavy, ^Warhead_CannonHE_Medium</t>
        </is>
      </c>
    </row>
    <row r="90">
      <c r="B90" s="7" t="inlineStr">
        <is>
          <t xml:space="preserve">  ↳ SteelMakoGun_EMP_elite</t>
        </is>
      </c>
      <c r="C90" s="7" t="inlineStr">
        <is>
          <t>Armament@UpgradeELITE</t>
        </is>
      </c>
      <c r="L90" s="6" t="n">
        <v>12000</v>
      </c>
      <c r="M90" s="6" t="n">
        <v>25</v>
      </c>
      <c r="N90" s="6" t="n">
        <v>2</v>
      </c>
      <c r="O90" s="6" t="n">
        <v>3</v>
      </c>
      <c r="P90" s="6" t="n">
        <v>7050</v>
      </c>
      <c r="Q90" s="6" t="n">
        <v>1</v>
      </c>
      <c r="R90">
        <f>M90+IF(N90&gt;1,N(O90)*(N90-1),0)</f>
        <v/>
      </c>
      <c r="S90">
        <f>IFERROR(L90*MAX(N90,1)/R90*IF(ISBLANK(K86),1,K86),0)</f>
        <v/>
      </c>
      <c r="AB90" s="7" t="inlineStr">
        <is>
          <t>^Warhead_Demolition_Light, ^Warhead_Railgun_Heavy, ^Warhead_CannonHE_Medium</t>
        </is>
      </c>
    </row>
    <row r="91">
      <c r="A91" t="inlineStr">
        <is>
          <t>redalert2mod</t>
        </is>
      </c>
      <c r="B91" t="inlineStr">
        <is>
          <t>steelconsortium_manta</t>
        </is>
      </c>
      <c r="C91" t="inlineStr">
        <is>
          <t>Manta</t>
        </is>
      </c>
      <c r="D91" s="6" t="inlineStr">
        <is>
          <t>LightTank</t>
        </is>
      </c>
      <c r="E91" s="6" t="n">
        <v>55000</v>
      </c>
      <c r="F91" s="6" t="n">
        <v>115</v>
      </c>
      <c r="G91" t="inlineStr">
        <is>
          <t>Medium</t>
        </is>
      </c>
      <c r="H91" s="6" t="n">
        <v>1</v>
      </c>
      <c r="I91" s="6" t="n">
        <v>1</v>
      </c>
      <c r="J91" s="6" t="n">
        <v>1</v>
      </c>
      <c r="K91" s="6" t="n">
        <v>0.005</v>
      </c>
      <c r="P91">
        <f>MAX(P92,P93,P94,P95,P96,P97,P98,P99)</f>
        <v/>
      </c>
      <c r="S91">
        <f>S92+S93+S94+S95+S96+S97+S98+S99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(((E91/100000)+(F91/125)+(S91/200)+((P91/5000)*J91))*400/4+(((E91/100000)*(F91/125))+(((P91/5000)*J91)*(S91/200)))*400/2+((E91/100000)*(F91/125)*((P91/5000)*J91)*(S91/200))*400)*(H91/1.0)/3</f>
        <v/>
      </c>
      <c r="X91" s="6" t="n">
        <v>850</v>
      </c>
      <c r="Y91">
        <f>IFERROR(W91-X91,"")</f>
        <v/>
      </c>
      <c r="Z91">
        <f>IFERROR(ABS(Y91)/MAX(X91,1),"")</f>
        <v/>
      </c>
      <c r="AA91">
        <f>IFERROR(ROUND(((3*X91-(((E91/100000)+(F91/125)+(S91/200))*400/4+((E91/100000)*(F91/125))*400/2)*(H91/1.0))/(400/4+((S91/200))*400/2+((E91/100000)*(F91/125)*(S91/200))*400)*(H91/1.0)*5000)/J91,-1),"")</f>
        <v/>
      </c>
    </row>
    <row r="92">
      <c r="B92" s="7" t="inlineStr">
        <is>
          <t xml:space="preserve">  ↳ SteelMantaAG</t>
        </is>
      </c>
      <c r="C92" s="7" t="inlineStr">
        <is>
          <t>Armament@AG1</t>
        </is>
      </c>
      <c r="L92" s="6" t="n">
        <v>8000</v>
      </c>
      <c r="M92" s="6" t="n">
        <v>20</v>
      </c>
      <c r="N92" s="6" t="n">
        <v>1</v>
      </c>
      <c r="O92" s="6" t="n"/>
      <c r="P92" s="6" t="n">
        <v>6666</v>
      </c>
      <c r="Q92" s="6" t="n">
        <v>1</v>
      </c>
      <c r="R92">
        <f>M92+IF(N92&gt;1,N(O92)*(N92-1),0)</f>
        <v/>
      </c>
      <c r="S92">
        <f>IFERROR(L92*MAX(N92,1)/R92*IF(ISBLANK(K91),1,K91),0)</f>
        <v/>
      </c>
      <c r="AB92" s="7" t="inlineStr">
        <is>
          <t>^Warhead_MissileAP_Light, ^Warhead_Bullet_Light, ^Warhead_Flak_Medium, ^Warhead_Bullet_Medium</t>
        </is>
      </c>
    </row>
    <row r="93">
      <c r="B93" s="7" t="inlineStr">
        <is>
          <t xml:space="preserve">  ↳ SteelMantaAG</t>
        </is>
      </c>
      <c r="C93" s="7" t="inlineStr">
        <is>
          <t>Armament@AG2</t>
        </is>
      </c>
      <c r="L93" s="6" t="n">
        <v>8000</v>
      </c>
      <c r="M93" s="6" t="n">
        <v>20</v>
      </c>
      <c r="N93" s="6" t="n">
        <v>1</v>
      </c>
      <c r="O93" s="6" t="n"/>
      <c r="P93" s="6" t="n">
        <v>6666</v>
      </c>
      <c r="Q93" s="6" t="n">
        <v>1</v>
      </c>
      <c r="R93">
        <f>M93+IF(N93&gt;1,N(O93)*(N93-1),0)</f>
        <v/>
      </c>
      <c r="S93">
        <f>IFERROR(L93*MAX(N93,1)/R93*IF(ISBLANK(K91),1,K91),0)</f>
        <v/>
      </c>
      <c r="AB93" s="7" t="inlineStr">
        <is>
          <t>^Warhead_MissileAP_Light, ^Warhead_Bullet_Light, ^Warhead_Flak_Medium, ^Warhead_Bullet_Medium</t>
        </is>
      </c>
    </row>
    <row r="94">
      <c r="B94" s="7" t="inlineStr">
        <is>
          <t xml:space="preserve">  ↳ SteelManta_AA</t>
        </is>
      </c>
      <c r="C94" s="7" t="inlineStr">
        <is>
          <t>Armament@AA1</t>
        </is>
      </c>
      <c r="L94" s="6" t="n">
        <v>8000</v>
      </c>
      <c r="M94" s="6" t="n">
        <v>20</v>
      </c>
      <c r="N94" s="6" t="n">
        <v>1</v>
      </c>
      <c r="O94" s="6" t="n"/>
      <c r="P94" s="6" t="n">
        <v>9999</v>
      </c>
      <c r="Q94" s="6" t="n">
        <v>1</v>
      </c>
      <c r="R94">
        <f>M94+IF(N94&gt;1,N(O94)*(N94-1),0)</f>
        <v/>
      </c>
      <c r="S94">
        <f>IFERROR(L94*MAX(N94,1)/R94*IF(ISBLANK(K91),1,K91),0)</f>
        <v/>
      </c>
      <c r="AB94" s="7" t="inlineStr">
        <is>
          <t>^Warhead_MissileAP_Light, ^Warhead_Bullet_Light, ^Warhead_Flak_Medium, ^Warhead_Bullet_Medium</t>
        </is>
      </c>
    </row>
    <row r="95">
      <c r="B95" s="7" t="inlineStr">
        <is>
          <t xml:space="preserve">  ↳ SteelManta_AA</t>
        </is>
      </c>
      <c r="C95" s="7" t="inlineStr">
        <is>
          <t>Armament@AA2</t>
        </is>
      </c>
      <c r="L95" s="6" t="n">
        <v>8000</v>
      </c>
      <c r="M95" s="6" t="n">
        <v>20</v>
      </c>
      <c r="N95" s="6" t="n">
        <v>1</v>
      </c>
      <c r="O95" s="6" t="n"/>
      <c r="P95" s="6" t="n">
        <v>9999</v>
      </c>
      <c r="Q95" s="6" t="n">
        <v>1</v>
      </c>
      <c r="R95">
        <f>M95+IF(N95&gt;1,N(O95)*(N95-1),0)</f>
        <v/>
      </c>
      <c r="S95">
        <f>IFERROR(L95*MAX(N95,1)/R95*IF(ISBLANK(K91),1,K91),0)</f>
        <v/>
      </c>
      <c r="AB95" s="7" t="inlineStr">
        <is>
          <t>^Warhead_MissileAP_Light, ^Warhead_Bullet_Light, ^Warhead_Flak_Medium, ^Warhead_Bullet_Medium</t>
        </is>
      </c>
    </row>
    <row r="96">
      <c r="B96" s="7" t="inlineStr">
        <is>
          <t xml:space="preserve">  ↳ SteelMantaAGResonance</t>
        </is>
      </c>
      <c r="C96" s="7" t="inlineStr">
        <is>
          <t>Armament@UpgradeAG1</t>
        </is>
      </c>
      <c r="L96" s="6" t="n">
        <v>8000</v>
      </c>
      <c r="M96" s="6" t="n">
        <v>20</v>
      </c>
      <c r="N96" s="6" t="n">
        <v>1</v>
      </c>
      <c r="O96" s="6" t="n"/>
      <c r="P96" s="6" t="n">
        <v>6666</v>
      </c>
      <c r="Q96" s="6" t="n">
        <v>1</v>
      </c>
      <c r="R96">
        <f>M96+IF(N96&gt;1,N(O96)*(N96-1),0)</f>
        <v/>
      </c>
      <c r="S96">
        <f>IFERROR(L96*MAX(N96,1)/R96*IF(ISBLANK(K91),1,K91),0)</f>
        <v/>
      </c>
      <c r="AB96" s="7" t="inlineStr">
        <is>
          <t>^Warhead_MissileAP_Light, ^Warhead_Bullet_Light, ^Warhead_Flak_Medium, ^Warhead_Bullet_Medium</t>
        </is>
      </c>
    </row>
    <row r="97">
      <c r="B97" s="7" t="inlineStr">
        <is>
          <t xml:space="preserve">  ↳ SteelMantaAGResonance</t>
        </is>
      </c>
      <c r="C97" s="7" t="inlineStr">
        <is>
          <t>Armament@UpgradeAG2</t>
        </is>
      </c>
      <c r="L97" s="6" t="n">
        <v>8000</v>
      </c>
      <c r="M97" s="6" t="n">
        <v>20</v>
      </c>
      <c r="N97" s="6" t="n">
        <v>1</v>
      </c>
      <c r="O97" s="6" t="n"/>
      <c r="P97" s="6" t="n">
        <v>6666</v>
      </c>
      <c r="Q97" s="6" t="n">
        <v>1</v>
      </c>
      <c r="R97">
        <f>M97+IF(N97&gt;1,N(O97)*(N97-1),0)</f>
        <v/>
      </c>
      <c r="S97">
        <f>IFERROR(L97*MAX(N97,1)/R97*IF(ISBLANK(K91),1,K91),0)</f>
        <v/>
      </c>
      <c r="AB97" s="7" t="inlineStr">
        <is>
          <t>^Warhead_MissileAP_Light, ^Warhead_Bullet_Light, ^Warhead_Flak_Medium, ^Warhead_Bullet_Medium</t>
        </is>
      </c>
    </row>
    <row r="98">
      <c r="B98" s="7" t="inlineStr">
        <is>
          <t xml:space="preserve">  ↳ SteelMantaAAResonance_AA</t>
        </is>
      </c>
      <c r="C98" s="7" t="inlineStr">
        <is>
          <t>Armament@UpgradeAA1</t>
        </is>
      </c>
      <c r="L98" s="6" t="n">
        <v>8000</v>
      </c>
      <c r="M98" s="6" t="n">
        <v>20</v>
      </c>
      <c r="N98" s="6" t="n">
        <v>1</v>
      </c>
      <c r="O98" s="6" t="n"/>
      <c r="P98" s="6" t="n">
        <v>9999</v>
      </c>
      <c r="Q98" s="6" t="n">
        <v>1</v>
      </c>
      <c r="R98">
        <f>M98+IF(N98&gt;1,N(O98)*(N98-1),0)</f>
        <v/>
      </c>
      <c r="S98">
        <f>IFERROR(L98*MAX(N98,1)/R98*IF(ISBLANK(K91),1,K91),0)</f>
        <v/>
      </c>
      <c r="AB98" s="7" t="inlineStr">
        <is>
          <t>^Warhead_MissileAP_Light, ^Warhead_Bullet_Light, ^Warhead_Flak_Medium, ^Warhead_Bullet_Medium</t>
        </is>
      </c>
    </row>
    <row r="99">
      <c r="B99" s="7" t="inlineStr">
        <is>
          <t xml:space="preserve">  ↳ SteelMantaAAResonance_AA</t>
        </is>
      </c>
      <c r="C99" s="7" t="inlineStr">
        <is>
          <t>Armament@UpgradeAA2</t>
        </is>
      </c>
      <c r="L99" s="6" t="n">
        <v>8000</v>
      </c>
      <c r="M99" s="6" t="n">
        <v>20</v>
      </c>
      <c r="N99" s="6" t="n">
        <v>1</v>
      </c>
      <c r="O99" s="6" t="n"/>
      <c r="P99" s="6" t="n">
        <v>9999</v>
      </c>
      <c r="Q99" s="6" t="n">
        <v>1</v>
      </c>
      <c r="R99">
        <f>M99+IF(N99&gt;1,N(O99)*(N99-1),0)</f>
        <v/>
      </c>
      <c r="S99">
        <f>IFERROR(L99*MAX(N99,1)/R99*IF(ISBLANK(K91),1,K91),0)</f>
        <v/>
      </c>
      <c r="AB99" s="7" t="inlineStr">
        <is>
          <t>^Warhead_MissileAP_Light, ^Warhead_Bullet_Light, ^Warhead_Flak_Medium, ^Warhead_Bullet_Medium</t>
        </is>
      </c>
    </row>
    <row r="100">
      <c r="A100" t="inlineStr">
        <is>
          <t>redalert2mod</t>
        </is>
      </c>
      <c r="B100" t="inlineStr">
        <is>
          <t>steelconsortium_megalodon</t>
        </is>
      </c>
      <c r="C100" t="inlineStr">
        <is>
          <t>Megalodon</t>
        </is>
      </c>
      <c r="D100" s="6" t="inlineStr">
        <is>
          <t>LineBreaker</t>
        </is>
      </c>
      <c r="E100" s="6" t="n">
        <v>450000</v>
      </c>
      <c r="F100" s="6" t="n">
        <v>65</v>
      </c>
      <c r="G100" t="inlineStr">
        <is>
          <t>Superheavy</t>
        </is>
      </c>
      <c r="H100" s="6" t="n">
        <v>0.75</v>
      </c>
      <c r="I100" s="6" t="n">
        <v>1</v>
      </c>
      <c r="J100" s="6" t="n">
        <v>1</v>
      </c>
      <c r="K100" s="6" t="n"/>
      <c r="P100">
        <f>MAX(P101,P102,P103)</f>
        <v/>
      </c>
      <c r="S100">
        <f>S101+S102+S103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(((E100/750000)+(F100/80)+(S100/1600)+((P100/2500)*J100))*1600/4+(((E100/750000)*(F100/80))+(((P100/2500)*J100)*(S100/1600)))*1600/2+((E100/750000)*(F100/80)*((P100/2500)*J100)*(S100/1600))*1600)*(H100/1.0)/3</f>
        <v/>
      </c>
      <c r="X100" s="6" t="n">
        <v>4600</v>
      </c>
      <c r="Y100">
        <f>IFERROR(W100-X100,"")</f>
        <v/>
      </c>
      <c r="Z100">
        <f>IFERROR(ABS(Y100)/MAX(X100,1),"")</f>
        <v/>
      </c>
      <c r="AA100">
        <f>IFERROR(ROUND(((3*X100-(((E100/750000)+(F100/80)+(S100/1600))*1600/4+((E100/750000)*(F100/80))*1600/2)*(H100/1.0))/(1600/4+((S100/1600))*1600/2+((E100/750000)*(F100/80)*(S100/1600))*1600)*(H100/1.0)*2500)/J100,-1),"")</f>
        <v/>
      </c>
    </row>
    <row r="101">
      <c r="B101" s="7" t="inlineStr">
        <is>
          <t xml:space="preserve">  ↳ SteelMegaSword</t>
        </is>
      </c>
      <c r="C101" s="7" t="inlineStr">
        <is>
          <t>Armament@PRIMARY</t>
        </is>
      </c>
      <c r="L101" s="6" t="n">
        <v>60000</v>
      </c>
      <c r="M101" s="6" t="n">
        <v>24</v>
      </c>
      <c r="N101" s="6" t="n">
        <v>1</v>
      </c>
      <c r="O101" s="6" t="n"/>
      <c r="P101" s="6" t="n">
        <v>1600</v>
      </c>
      <c r="Q101" s="6" t="n">
        <v>1</v>
      </c>
      <c r="R101">
        <f>M101+IF(N101&gt;1,N(O101)*(N101-1),0)</f>
        <v/>
      </c>
      <c r="S101">
        <f>IFERROR(L101*MAX(N101,1)/R101*IF(ISBLANK(K100),1,K100),0)</f>
        <v/>
      </c>
      <c r="AB101" s="7" t="inlineStr">
        <is>
          <t>^LightChemicalWeapon, ^LaserWeapon, ^SwordWeapon</t>
        </is>
      </c>
    </row>
    <row r="102">
      <c r="B102" s="7" t="inlineStr">
        <is>
          <t xml:space="preserve">  ↳ SteelMegaSword_EMP</t>
        </is>
      </c>
      <c r="C102" s="7" t="inlineStr">
        <is>
          <t>Armament@ELITE</t>
        </is>
      </c>
      <c r="L102" s="6" t="n">
        <v>90000</v>
      </c>
      <c r="M102" s="6" t="n">
        <v>16</v>
      </c>
      <c r="N102" s="6" t="n">
        <v>1</v>
      </c>
      <c r="O102" s="6" t="n"/>
      <c r="P102" s="6" t="n">
        <v>2400</v>
      </c>
      <c r="Q102" s="6" t="n">
        <v>1</v>
      </c>
      <c r="R102">
        <f>M102+IF(N102&gt;1,N(O102)*(N102-1),0)</f>
        <v/>
      </c>
      <c r="S102">
        <f>IFERROR(L102*MAX(N102,1)/R102*IF(ISBLANK(K100),1,K100),0)</f>
        <v/>
      </c>
      <c r="AB102" s="7" t="inlineStr">
        <is>
          <t>^HeavyChemicalWeapon, ^LaserWeapon, ^TeslaWeapon</t>
        </is>
      </c>
    </row>
    <row r="103">
      <c r="B103" s="7" t="inlineStr">
        <is>
          <t xml:space="preserve">  ↳ SteelMegaSword_elite</t>
        </is>
      </c>
      <c r="C103" s="7" t="inlineStr">
        <is>
          <t>Armament@elite</t>
        </is>
      </c>
      <c r="L103" s="6" t="n">
        <v>120000</v>
      </c>
      <c r="M103" s="6" t="n">
        <v>16</v>
      </c>
      <c r="N103" s="6" t="n">
        <v>1</v>
      </c>
      <c r="O103" s="6" t="n"/>
      <c r="P103" s="6" t="n">
        <v>2400</v>
      </c>
      <c r="Q103" s="6" t="n">
        <v>1.25</v>
      </c>
      <c r="R103">
        <f>M103+IF(N103&gt;1,N(O103)*(N103-1),0)</f>
        <v/>
      </c>
      <c r="S103">
        <f>IFERROR(L103*MAX(N103,1)/R103*IF(ISBLANK(K100),1,K100),0)</f>
        <v/>
      </c>
      <c r="AB103" s="7" t="inlineStr">
        <is>
          <t>^Warhead_Railgun_Heavy</t>
        </is>
      </c>
    </row>
    <row r="104">
      <c r="A104" t="inlineStr">
        <is>
          <t>redalert2mod</t>
        </is>
      </c>
      <c r="B104" t="inlineStr">
        <is>
          <t>steelconsortium_poseidontank</t>
        </is>
      </c>
      <c r="C104" t="inlineStr">
        <is>
          <t>Poseidon Tank</t>
        </is>
      </c>
      <c r="D104" s="6" t="inlineStr">
        <is>
          <t>LineBreaker</t>
        </is>
      </c>
      <c r="E104" s="6" t="n">
        <v>125000</v>
      </c>
      <c r="F104" s="6" t="n">
        <v>50</v>
      </c>
      <c r="G104" t="inlineStr">
        <is>
          <t>Superheavy</t>
        </is>
      </c>
      <c r="H104" s="6" t="n">
        <v>0.75</v>
      </c>
      <c r="I104" s="6" t="n">
        <v>1.25</v>
      </c>
      <c r="J104" s="6" t="n">
        <v>1</v>
      </c>
      <c r="K104" s="6" t="n"/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(((E104/750000)+(F104/80)+(S104/1600)+((P104/2500)*J104))*1600/4+(((E104/750000)*(F104/80))+(((P104/2500)*J104)*(S104/1600)))*1600/2+((E104/750000)*(F104/80)*((P104/2500)*J104)*(S104/1600))*1600)*(H104/1.0)/3</f>
        <v/>
      </c>
      <c r="X104" s="6" t="n">
        <v>4000</v>
      </c>
      <c r="Y104">
        <f>IFERROR(W104-X104,"")</f>
        <v/>
      </c>
      <c r="Z104">
        <f>IFERROR(ABS(Y104)/MAX(X104,1),"")</f>
        <v/>
      </c>
      <c r="AA104">
        <f>IFERROR(ROUND(((3*X104-(((E104/750000)+(F104/80)+(S104/1600))*1600/4+((E104/750000)*(F104/80))*1600/2)*(H104/1.0))/(1600/4+((S104/1600))*1600/2+((E104/750000)*(F104/80)*(S104/1600))*1600)*(H104/1.0)*2500)/J104,-1),"")</f>
        <v/>
      </c>
    </row>
    <row r="105">
      <c r="B105" s="7" t="inlineStr">
        <is>
          <t xml:space="preserve">  ↳ SteelFortressWeapons</t>
        </is>
      </c>
      <c r="C105" s="7" t="inlineStr">
        <is>
          <t>Armament@1</t>
        </is>
      </c>
      <c r="L105" s="6" t="n">
        <v>14000</v>
      </c>
      <c r="M105" s="6" t="n">
        <v>41</v>
      </c>
      <c r="N105" s="6" t="n">
        <v>2</v>
      </c>
      <c r="O105" s="6" t="n">
        <v>0</v>
      </c>
      <c r="P105" s="6" t="n">
        <v>6333</v>
      </c>
      <c r="Q105" s="6" t="n">
        <v>1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^Warhead_CannonHE_Medium</t>
        </is>
      </c>
    </row>
    <row r="106">
      <c r="A106" t="inlineStr">
        <is>
          <t>redalert2mod</t>
        </is>
      </c>
      <c r="B106" t="inlineStr">
        <is>
          <t>steelconsortium_quantumtank</t>
        </is>
      </c>
      <c r="C106" t="inlineStr">
        <is>
          <t>Quantum Tank</t>
        </is>
      </c>
      <c r="D106" s="6" t="inlineStr">
        <is>
          <t>MainBattleTank</t>
        </is>
      </c>
      <c r="E106" s="6" t="n">
        <v>100000</v>
      </c>
      <c r="F106" s="6" t="n">
        <v>100</v>
      </c>
      <c r="G106" t="inlineStr">
        <is>
          <t>Heavy</t>
        </is>
      </c>
      <c r="H106" s="6" t="n">
        <v>0.8462</v>
      </c>
      <c r="I106" s="6" t="n">
        <v>1</v>
      </c>
      <c r="J106" s="6" t="n">
        <v>1</v>
      </c>
      <c r="K106" s="6" t="n"/>
      <c r="P106">
        <f>MAX(P107,P108,P109)</f>
        <v/>
      </c>
      <c r="S106">
        <f>S107+S108+S109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(((E106/240000)+(F106/95)+(S106/600)+((P106/5500)*J106))*800/4+(((E106/240000)*(F106/95))+(((P106/5500)*J106)*(S106/600)))*800/2+((E106/240000)*(F106/95)*((P106/5500)*J106)*(S106/600))*800)*(H106/1.0)/3</f>
        <v/>
      </c>
      <c r="X106" s="6" t="n">
        <v>1600</v>
      </c>
      <c r="Y106">
        <f>IFERROR(W106-X106,"")</f>
        <v/>
      </c>
      <c r="Z106">
        <f>IFERROR(ABS(Y106)/MAX(X106,1),"")</f>
        <v/>
      </c>
      <c r="AA106">
        <f>IFERROR(ROUND(((3*X106-(((E106/240000)+(F106/95)+(S106/600))*800/4+((E106/240000)*(F106/95))*800/2)*(H106/1.0))/(800/4+((S106/600))*800/2+((E106/240000)*(F106/95)*(S106/600))*800)*(H106/1.0)*5500)/J106,-1),"")</f>
        <v/>
      </c>
    </row>
    <row r="107">
      <c r="B107" s="7" t="inlineStr">
        <is>
          <t xml:space="preserve">  ↳ SteelQuantumCannon</t>
        </is>
      </c>
      <c r="C107" s="7" t="inlineStr">
        <is>
          <t>Armament</t>
        </is>
      </c>
      <c r="L107" s="6" t="n">
        <v>24000</v>
      </c>
      <c r="M107" s="6" t="n">
        <v>65</v>
      </c>
      <c r="N107" s="6" t="n">
        <v>1</v>
      </c>
      <c r="O107" s="6" t="n"/>
      <c r="P107" s="6" t="n">
        <v>6000</v>
      </c>
      <c r="Q107" s="6" t="n">
        <v>1.25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^Warhead_Laser_Heavy, ^Warhead_Railgun_Heavy</t>
        </is>
      </c>
    </row>
    <row r="108">
      <c r="B108" s="7" t="inlineStr">
        <is>
          <t xml:space="preserve">  ↳ SteelQuantumCannon_EMP</t>
        </is>
      </c>
      <c r="C108" s="7" t="inlineStr">
        <is>
          <t>Armament@Upgrade</t>
        </is>
      </c>
      <c r="L108" s="6" t="n">
        <v>48000</v>
      </c>
      <c r="M108" s="6" t="n">
        <v>65</v>
      </c>
      <c r="N108" s="6" t="n">
        <v>1</v>
      </c>
      <c r="O108" s="6" t="n"/>
      <c r="P108" s="6" t="n">
        <v>6000</v>
      </c>
      <c r="Q108" s="6" t="n">
        <v>1</v>
      </c>
      <c r="R108">
        <f>M108+IF(N108&gt;1,N(O108)*(N108-1),0)</f>
        <v/>
      </c>
      <c r="S108">
        <f>IFERROR(L108*MAX(N108,1)/R108*IF(ISBLANK(K106),1,K106),0)</f>
        <v/>
      </c>
      <c r="AB108" s="7" t="inlineStr">
        <is>
          <t>^Warhead_Tesla_Heavy, ^Warhead_Laser_Heavy, ^Warhead_Railgun_Heavy</t>
        </is>
      </c>
    </row>
    <row r="109">
      <c r="B109" s="7" t="inlineStr">
        <is>
          <t xml:space="preserve">  ↳ SteelQuantumCannon_elite</t>
        </is>
      </c>
      <c r="C109" s="7" t="inlineStr">
        <is>
          <t>Armament@elite</t>
        </is>
      </c>
      <c r="L109" s="6" t="n">
        <v>60000</v>
      </c>
      <c r="M109" s="6" t="n">
        <v>65</v>
      </c>
      <c r="N109" s="6" t="n">
        <v>1</v>
      </c>
      <c r="O109" s="6" t="n"/>
      <c r="P109" s="6" t="n">
        <v>7000</v>
      </c>
      <c r="Q109" s="6" t="n">
        <v>1</v>
      </c>
      <c r="R109">
        <f>M109+IF(N109&gt;1,N(O109)*(N109-1),0)</f>
        <v/>
      </c>
      <c r="S109">
        <f>IFERROR(L109*MAX(N109,1)/R109*IF(ISBLANK(K106),1,K106),0)</f>
        <v/>
      </c>
      <c r="AB109" s="7" t="inlineStr">
        <is>
          <t>^Warhead_Tesla_Heavy, ^Warhead_Laser_Heavy, ^Warhead_Railgun_Heavy</t>
        </is>
      </c>
    </row>
    <row r="110">
      <c r="A110" t="inlineStr">
        <is>
          <t>redalert2mod</t>
        </is>
      </c>
      <c r="B110" t="inlineStr">
        <is>
          <t>steelconsortium_stalker</t>
        </is>
      </c>
      <c r="C110" t="inlineStr">
        <is>
          <t>Stalker</t>
        </is>
      </c>
      <c r="D110" s="6" t="inlineStr">
        <is>
          <t>HeroInfantry</t>
        </is>
      </c>
      <c r="E110" s="6" t="n">
        <v>140000</v>
      </c>
      <c r="F110" s="6" t="n">
        <v>80</v>
      </c>
      <c r="G110" t="inlineStr">
        <is>
          <t>Heroic</t>
        </is>
      </c>
      <c r="H110" s="6" t="n">
        <v>0.4783</v>
      </c>
      <c r="I110" s="6" t="n">
        <v>1</v>
      </c>
      <c r="J110" s="6" t="n">
        <v>1</v>
      </c>
      <c r="K110" s="6" t="n"/>
      <c r="P110">
        <f>MAX(P111,P112,P113)</f>
        <v/>
      </c>
      <c r="S110">
        <f>S111+S112+S113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4000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SteelStalkerRailgun</t>
        </is>
      </c>
      <c r="C111" s="7" t="inlineStr">
        <is>
          <t>Armament</t>
        </is>
      </c>
      <c r="L111" s="6" t="n">
        <v>120000</v>
      </c>
      <c r="M111" s="6" t="n">
        <v>103</v>
      </c>
      <c r="N111" s="6" t="n">
        <v>1</v>
      </c>
      <c r="O111" s="6" t="n"/>
      <c r="P111" s="6" t="n">
        <v>9000</v>
      </c>
      <c r="Q111" s="6" t="n">
        <v>1</v>
      </c>
      <c r="R111">
        <f>M111+IF(N111&gt;1,N(O111)*(N111-1),0)</f>
        <v/>
      </c>
      <c r="S111">
        <f>IFERROR(L111*MAX(N111,1)/R111*IF(ISBLANK(K110),1,K110),0)</f>
        <v/>
      </c>
      <c r="AB111" s="7" t="inlineStr">
        <is>
          <t>^LaserWeapon, ^RailgunWeapon</t>
        </is>
      </c>
    </row>
    <row r="112">
      <c r="B112" s="7" t="inlineStr">
        <is>
          <t xml:space="preserve">  ↳ SteelStalkerRailgun_EMP</t>
        </is>
      </c>
      <c r="C112" s="7" t="inlineStr">
        <is>
          <t>Armament@Upgrade</t>
        </is>
      </c>
      <c r="L112" s="6" t="n">
        <v>120000</v>
      </c>
      <c r="M112" s="6" t="n">
        <v>103</v>
      </c>
      <c r="N112" s="6" t="n">
        <v>1</v>
      </c>
      <c r="O112" s="6" t="n"/>
      <c r="P112" s="6" t="n">
        <v>9000</v>
      </c>
      <c r="Q112" s="6" t="n">
        <v>1.25</v>
      </c>
      <c r="R112">
        <f>M112+IF(N112&gt;1,N(O112)*(N112-1),0)</f>
        <v/>
      </c>
      <c r="S112">
        <f>IFERROR(L112*MAX(N112,1)/R112*IF(ISBLANK(K110),1,K110),0)</f>
        <v/>
      </c>
      <c r="AB112" s="7" t="inlineStr">
        <is>
          <t>^Warhead_Tesla_Heavy</t>
        </is>
      </c>
    </row>
    <row r="113">
      <c r="B113" s="7" t="inlineStr">
        <is>
          <t xml:space="preserve">  ↳ SteelStalkerRailgun_elite</t>
        </is>
      </c>
      <c r="C113" s="7" t="inlineStr">
        <is>
          <t>Armament@elite</t>
        </is>
      </c>
      <c r="L113" s="6" t="n">
        <v>180000</v>
      </c>
      <c r="M113" s="6" t="n">
        <v>103</v>
      </c>
      <c r="N113" s="6" t="n">
        <v>1</v>
      </c>
      <c r="O113" s="6" t="n"/>
      <c r="P113" s="6" t="n">
        <v>10000</v>
      </c>
      <c r="Q113" s="6" t="n">
        <v>1.25</v>
      </c>
      <c r="R113">
        <f>M113+IF(N113&gt;1,N(O113)*(N113-1),0)</f>
        <v/>
      </c>
      <c r="S113">
        <f>IFERROR(L113*MAX(N113,1)/R113*IF(ISBLANK(K110),1,K110),0)</f>
        <v/>
      </c>
      <c r="AB113" s="7" t="inlineStr">
        <is>
          <t>^Warhead_Tesla_Heavy</t>
        </is>
      </c>
    </row>
    <row r="114">
      <c r="A114" t="inlineStr">
        <is>
          <t>redalert2mod</t>
        </is>
      </c>
      <c r="B114" t="inlineStr">
        <is>
          <t>steelconsortium_supportshieldgenerator</t>
        </is>
      </c>
      <c r="C114" t="inlineStr">
        <is>
          <t>Support Shield Generator</t>
        </is>
      </c>
      <c r="D114" s="6" t="inlineStr">
        <is>
          <t>SupportVehicle</t>
        </is>
      </c>
      <c r="E114" s="6" t="n">
        <v>100000</v>
      </c>
      <c r="F114" s="6" t="n">
        <v>75</v>
      </c>
      <c r="G114" t="inlineStr">
        <is>
          <t>Medium</t>
        </is>
      </c>
      <c r="H114" s="6" t="n">
        <v>0.4783</v>
      </c>
      <c r="I114" s="6" t="n">
        <v>1</v>
      </c>
      <c r="J114" s="6" t="n">
        <v>1</v>
      </c>
      <c r="K114" s="6" t="n"/>
      <c r="X114" s="6" t="n">
        <v>3000</v>
      </c>
    </row>
    <row r="115">
      <c r="B115" s="7" t="inlineStr">
        <is>
          <t xml:space="preserve">  ↳ GLStingerTargeting</t>
        </is>
      </c>
      <c r="C115" s="7" t="inlineStr">
        <is>
          <t>Armament</t>
        </is>
      </c>
      <c r="L115" s="6" t="n"/>
      <c r="M115" s="6" t="n">
        <v>25</v>
      </c>
      <c r="N115" s="6" t="n">
        <v>1</v>
      </c>
      <c r="O115" s="6" t="n"/>
      <c r="P115" s="6" t="n">
        <v>15000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/>
    </row>
    <row r="116">
      <c r="A116" t="inlineStr">
        <is>
          <t>redalert2mod</t>
        </is>
      </c>
      <c r="B116" t="inlineStr">
        <is>
          <t>steelconsortium_whiterabbit</t>
        </is>
      </c>
      <c r="C116" t="inlineStr">
        <is>
          <t>White Rabbit</t>
        </is>
      </c>
      <c r="D116" s="6" t="inlineStr">
        <is>
          <t>HeroInfantry</t>
        </is>
      </c>
      <c r="E116" s="6" t="n">
        <v>150000</v>
      </c>
      <c r="F116" s="6" t="n">
        <v>50</v>
      </c>
      <c r="G116" t="inlineStr">
        <is>
          <t>Heroic</t>
        </is>
      </c>
      <c r="H116" s="6" t="n">
        <v>0.75</v>
      </c>
      <c r="I116" s="6" t="n">
        <v>1</v>
      </c>
      <c r="J116" s="6" t="n">
        <v>1.25</v>
      </c>
      <c r="K116" s="6" t="n"/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4500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WhiteRabbitGatling</t>
        </is>
      </c>
      <c r="C117" s="7" t="inlineStr">
        <is>
          <t>Armament@1</t>
        </is>
      </c>
      <c r="L117" s="6" t="n">
        <v>20000</v>
      </c>
      <c r="M117" s="6" t="n">
        <v>10</v>
      </c>
      <c r="N117" s="6" t="n">
        <v>1</v>
      </c>
      <c r="O117" s="6" t="n"/>
      <c r="P117" s="6" t="n">
        <v>6000</v>
      </c>
      <c r="Q117" s="6" t="n">
        <v>1</v>
      </c>
      <c r="R117">
        <f>M117+IF(N117&gt;1,N(O117)*(N117-1),0)</f>
        <v/>
      </c>
      <c r="S117">
        <f>IFERROR(L117*MAX(N117,1)/R117*IF(ISBLANK(K116),1,K116),0)</f>
        <v/>
      </c>
      <c r="AB117" s="7" t="inlineStr">
        <is>
          <t>^Warhead_Bullet_Medium</t>
        </is>
      </c>
    </row>
    <row r="118">
      <c r="A118" s="4" t="inlineStr">
        <is>
          <t>AIRCRAFT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t="inlineStr">
        <is>
          <t>redalert2mod</t>
        </is>
      </c>
      <c r="B119" t="inlineStr">
        <is>
          <t>cruiser_f.steel</t>
        </is>
      </c>
      <c r="C119" t="inlineStr">
        <is>
          <t>Cruiser Fighter</t>
        </is>
      </c>
      <c r="D119" s="6" t="inlineStr">
        <is>
          <t>Bomber</t>
        </is>
      </c>
      <c r="E119" s="6" t="n">
        <v>37500</v>
      </c>
      <c r="F119" s="6" t="n">
        <v>225</v>
      </c>
      <c r="G119" t="inlineStr">
        <is>
          <t>Bomber</t>
        </is>
      </c>
      <c r="H119" s="6" t="n">
        <v>1</v>
      </c>
      <c r="I119" s="6" t="n">
        <v>1</v>
      </c>
      <c r="J119" s="6" t="n">
        <v>1</v>
      </c>
      <c r="K119" s="6" t="n">
        <v>0.001</v>
      </c>
      <c r="P119">
        <f>MAX(P120,P121)</f>
        <v/>
      </c>
      <c r="S119">
        <f>S120+S121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125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SteelFighterRailgun</t>
        </is>
      </c>
      <c r="C120" s="7" t="inlineStr">
        <is>
          <t>Armament@PRIMARY</t>
        </is>
      </c>
      <c r="L120" s="6" t="n">
        <v>10000</v>
      </c>
      <c r="M120" s="6" t="n">
        <v>80</v>
      </c>
      <c r="N120" s="6" t="n">
        <v>2</v>
      </c>
      <c r="O120" s="6" t="n">
        <v>0</v>
      </c>
      <c r="P120" s="6" t="n">
        <v>7000</v>
      </c>
      <c r="Q120" s="6" t="n">
        <v>1</v>
      </c>
      <c r="R120">
        <f>M120+IF(N120&gt;1,N(O120)*(N120-1),0)</f>
        <v/>
      </c>
      <c r="S120">
        <f>IFERROR(L120*MAX(N120,1)/R120*IF(ISBLANK(K119),1,K119),0)</f>
        <v/>
      </c>
      <c r="AB120" s="7" t="inlineStr">
        <is>
          <t>^Warhead_Railgun_Heavy, ^Warhead_CannonHE_Medium, ^Warhead_MissileAP_Light</t>
        </is>
      </c>
    </row>
    <row r="121">
      <c r="B121" s="7" t="inlineStr">
        <is>
          <t xml:space="preserve">  ↳ SteelMakoGun_EMP</t>
        </is>
      </c>
      <c r="C121" s="7" t="inlineStr">
        <is>
          <t>Armament@Secondary</t>
        </is>
      </c>
      <c r="L121" s="6" t="n">
        <v>12000</v>
      </c>
      <c r="M121" s="6" t="n">
        <v>25</v>
      </c>
      <c r="N121" s="6" t="n">
        <v>1</v>
      </c>
      <c r="O121" s="6" t="n"/>
      <c r="P121" s="6" t="n">
        <v>6050</v>
      </c>
      <c r="Q121" s="6" t="n">
        <v>1</v>
      </c>
      <c r="R121">
        <f>M121+IF(N121&gt;1,N(O121)*(N121-1),0)</f>
        <v/>
      </c>
      <c r="S121">
        <f>IFERROR(L121*MAX(N121,1)/R121*IF(ISBLANK(K119),1,K119),0)</f>
        <v/>
      </c>
      <c r="AB121" s="7" t="inlineStr">
        <is>
          <t>^Warhead_Demolition_Light, ^Warhead_Railgun_Heavy, ^Warhead_CannonHE_Medium</t>
        </is>
      </c>
    </row>
    <row r="122">
      <c r="A122" t="inlineStr">
        <is>
          <t>redalert2mod</t>
        </is>
      </c>
      <c r="B122" t="inlineStr">
        <is>
          <t>scalpelAA.steel</t>
        </is>
      </c>
      <c r="C122" t="inlineStr">
        <is>
          <t>Anti Air Scalpel</t>
        </is>
      </c>
      <c r="D122" s="6" t="inlineStr">
        <is>
          <t>Fighter</t>
        </is>
      </c>
      <c r="E122" s="6" t="n">
        <v>10000</v>
      </c>
      <c r="F122" s="6" t="n">
        <v>80</v>
      </c>
      <c r="G122" t="inlineStr">
        <is>
          <t>Fighter</t>
        </is>
      </c>
      <c r="H122" s="6" t="n">
        <v>1</v>
      </c>
      <c r="I122" s="6" t="n">
        <v>1</v>
      </c>
      <c r="J122" s="6" t="n">
        <v>1</v>
      </c>
      <c r="K122" s="6" t="n"/>
      <c r="P122">
        <f>MAX(P123,P124)</f>
        <v/>
      </c>
      <c r="S122">
        <f>S123+S124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(T122+U122+V122)/3</f>
        <v/>
      </c>
      <c r="X122" s="6" t="n">
        <v>750</v>
      </c>
      <c r="Y122">
        <f>IFERROR(W122-X122,"")</f>
        <v/>
      </c>
      <c r="Z122">
        <f>IFERROR(ABS(Y122)/MAX(X122,1),"")</f>
        <v/>
      </c>
      <c r="AA122">
        <f>IFERROR((X122-(((E122/100000+F122/100+S122/200)*200*I122*H122)+((E122*F122/25000)*I122*H122))/3)/(((J122/5)*200*I122*H122)+((J122*S122/2.5)*I122*H122)+((E122*F122*J122*S122*I122*H122)/12500000))/3*1000,"")</f>
        <v/>
      </c>
    </row>
    <row r="123">
      <c r="B123" s="7" t="inlineStr">
        <is>
          <t xml:space="preserve">  ↳ SteelScalpelRailgunAA</t>
        </is>
      </c>
      <c r="C123" s="7" t="inlineStr">
        <is>
          <t>Armament@PRIMARY</t>
        </is>
      </c>
      <c r="L123" s="6" t="n">
        <v>16000</v>
      </c>
      <c r="M123" s="6" t="n">
        <v>48</v>
      </c>
      <c r="N123" s="6" t="n">
        <v>4</v>
      </c>
      <c r="O123" s="6" t="n">
        <v>0</v>
      </c>
      <c r="P123" s="6" t="n">
        <v>9000</v>
      </c>
      <c r="Q123" s="6" t="n">
        <v>1</v>
      </c>
      <c r="R123">
        <f>M123+IF(N123&gt;1,N(O123)*(N123-1),0)</f>
        <v/>
      </c>
      <c r="S123">
        <f>IFERROR(L123*MAX(N123,1)/R123*IF(ISBLANK(K122),1,K122),0)</f>
        <v/>
      </c>
      <c r="AB123" s="7" t="inlineStr">
        <is>
          <t>^Warhead_Railgun_Heavy, ^Warhead_Flak_Medium, ^Warhead_Bullet_Medium, ^Warhead_MissileAP_Light</t>
        </is>
      </c>
    </row>
    <row r="124">
      <c r="B124" s="7" t="inlineStr">
        <is>
          <t xml:space="preserve">  ↳ SteelScalpelRailgun_EMP_AA</t>
        </is>
      </c>
      <c r="C124" s="7" t="inlineStr">
        <is>
          <t>Armament@Upgrade</t>
        </is>
      </c>
      <c r="L124" s="6" t="n">
        <v>20000</v>
      </c>
      <c r="M124" s="6" t="n">
        <v>50</v>
      </c>
      <c r="N124" s="6" t="n">
        <v>4</v>
      </c>
      <c r="O124" s="6" t="n">
        <v>0</v>
      </c>
      <c r="P124" s="6" t="n">
        <v>9000</v>
      </c>
      <c r="Q124" s="6" t="n">
        <v>1</v>
      </c>
      <c r="R124">
        <f>M124+IF(N124&gt;1,N(O124)*(N124-1),0)</f>
        <v/>
      </c>
      <c r="S124">
        <f>IFERROR(L124*MAX(N124,1)/R124*IF(ISBLANK(K122),1,K122),0)</f>
        <v/>
      </c>
      <c r="AB124" s="7" t="inlineStr">
        <is>
          <t>^Warhead_Railgun_Heavy, ^Warhead_Flak_Medium, ^Warhead_Bullet_Medium, ^Warhead_MissileAP_Light</t>
        </is>
      </c>
    </row>
    <row r="125">
      <c r="A125" t="inlineStr">
        <is>
          <t>redalert2mod</t>
        </is>
      </c>
      <c r="B125" t="inlineStr">
        <is>
          <t>scalpelMG.steel</t>
        </is>
      </c>
      <c r="C125" t="inlineStr">
        <is>
          <t>Scalpel</t>
        </is>
      </c>
      <c r="D125" s="6" t="inlineStr">
        <is>
          <t>Fighter</t>
        </is>
      </c>
      <c r="E125" s="6" t="n">
        <v>10000</v>
      </c>
      <c r="F125" s="6" t="n">
        <v>80</v>
      </c>
      <c r="G125" t="inlineStr">
        <is>
          <t>Fighter</t>
        </is>
      </c>
      <c r="H125" s="6" t="n">
        <v>1</v>
      </c>
      <c r="I125" s="6" t="n">
        <v>1</v>
      </c>
      <c r="J125" s="6" t="n">
        <v>1</v>
      </c>
      <c r="K125" s="6" t="n"/>
      <c r="P125">
        <f>MAX(P126)</f>
        <v/>
      </c>
      <c r="S125">
        <f>S126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(T125+U125+V125)/3</f>
        <v/>
      </c>
      <c r="X125" s="6" t="n">
        <v>500</v>
      </c>
      <c r="Y125">
        <f>IFERROR(W125-X125,"")</f>
        <v/>
      </c>
      <c r="Z125">
        <f>IFERROR(ABS(Y125)/MAX(X125,1),"")</f>
        <v/>
      </c>
      <c r="AA125">
        <f>IFERROR((X125-(((E125/100000+F125/100+S125/200)*200*I125*H125)+((E125*F125/25000)*I125*H125))/3)/(((J125/5)*200*I125*H125)+((J125*S125/2.5)*I125*H125)+((E125*F125*J125*S125*I125*H125)/12500000))/3*1000,"")</f>
        <v/>
      </c>
    </row>
    <row r="126">
      <c r="B126" s="7" t="inlineStr">
        <is>
          <t xml:space="preserve">  ↳ SteelMantaAG</t>
        </is>
      </c>
      <c r="C126" s="7" t="inlineStr">
        <is>
          <t>Armament@PRIMARY</t>
        </is>
      </c>
      <c r="L126" s="6" t="n">
        <v>8000</v>
      </c>
      <c r="M126" s="6" t="n">
        <v>20</v>
      </c>
      <c r="N126" s="6" t="n">
        <v>1</v>
      </c>
      <c r="O126" s="6" t="n"/>
      <c r="P126" s="6" t="n">
        <v>6666</v>
      </c>
      <c r="Q126" s="6" t="n">
        <v>1</v>
      </c>
      <c r="R126">
        <f>M126+IF(N126&gt;1,N(O126)*(N126-1),0)</f>
        <v/>
      </c>
      <c r="S126">
        <f>IFERROR(L126*MAX(N126,1)/R126*IF(ISBLANK(K125),1,K125),0)</f>
        <v/>
      </c>
      <c r="AB126" s="7" t="inlineStr">
        <is>
          <t>^Warhead_MissileAP_Light, ^Warhead_Bullet_Light, ^Warhead_Flak_Medium, ^Warhead_Bullet_Medium</t>
        </is>
      </c>
    </row>
    <row r="127">
      <c r="A127" t="inlineStr">
        <is>
          <t>redalert2mod</t>
        </is>
      </c>
      <c r="B127" t="inlineStr">
        <is>
          <t>scalpelQuantumCannon.steel</t>
        </is>
      </c>
      <c r="C127" t="inlineStr">
        <is>
          <t>Quantum Scalpel</t>
        </is>
      </c>
      <c r="D127" s="6" t="inlineStr">
        <is>
          <t>Fighter</t>
        </is>
      </c>
      <c r="E127" s="6" t="n">
        <v>10000</v>
      </c>
      <c r="F127" s="6" t="n">
        <v>80</v>
      </c>
      <c r="G127" t="inlineStr">
        <is>
          <t>Fighter</t>
        </is>
      </c>
      <c r="H127" s="6" t="n">
        <v>1</v>
      </c>
      <c r="I127" s="6" t="n">
        <v>1</v>
      </c>
      <c r="J127" s="6" t="n">
        <v>1</v>
      </c>
      <c r="K127" s="6" t="n"/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1000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SteelQuantumTurretRail</t>
        </is>
      </c>
      <c r="C128" s="7" t="inlineStr">
        <is>
          <t>Armament@PRIMARY</t>
        </is>
      </c>
      <c r="L128" s="6" t="n">
        <v>12000</v>
      </c>
      <c r="M128" s="6" t="n">
        <v>38</v>
      </c>
      <c r="N128" s="6" t="n">
        <v>1</v>
      </c>
      <c r="O128" s="6" t="n"/>
      <c r="P128" s="6" t="n">
        <v>8888</v>
      </c>
      <c r="Q128" s="6" t="n">
        <v>1.25</v>
      </c>
      <c r="R128">
        <f>M128+IF(N128&gt;1,N(O128)*(N128-1),0)</f>
        <v/>
      </c>
      <c r="S128">
        <f>IFERROR(L128*MAX(N128,1)/R128*IF(ISBLANK(K127),1,K127),0)</f>
        <v/>
      </c>
      <c r="AB128" s="7" t="inlineStr">
        <is>
          <t>^Warhead_CannonHE_Heavy</t>
        </is>
      </c>
    </row>
    <row r="129">
      <c r="B129" s="7" t="inlineStr">
        <is>
          <t xml:space="preserve">  ↳ SteelQuantumTurretRail_EMP</t>
        </is>
      </c>
      <c r="C129" s="7" t="inlineStr">
        <is>
          <t>Armament@Upgrade</t>
        </is>
      </c>
      <c r="L129" s="6" t="n">
        <v>12000</v>
      </c>
      <c r="M129" s="6" t="n">
        <v>38</v>
      </c>
      <c r="N129" s="6" t="n">
        <v>1</v>
      </c>
      <c r="O129" s="6" t="n"/>
      <c r="P129" s="6" t="n">
        <v>8888</v>
      </c>
      <c r="Q129" s="6" t="n">
        <v>1.25</v>
      </c>
      <c r="R129">
        <f>M129+IF(N129&gt;1,N(O129)*(N129-1),0)</f>
        <v/>
      </c>
      <c r="S129">
        <f>IFERROR(L129*MAX(N129,1)/R129*IF(ISBLANK(K127),1,K127),0)</f>
        <v/>
      </c>
      <c r="AB129" s="7" t="inlineStr">
        <is>
          <t>^Warhead_CannonHE_Heavy</t>
        </is>
      </c>
    </row>
    <row r="130">
      <c r="A130" t="inlineStr">
        <is>
          <t>redalert2mod</t>
        </is>
      </c>
      <c r="B130" t="inlineStr">
        <is>
          <t>steelconsortium_cargoship</t>
        </is>
      </c>
      <c r="C130" t="inlineStr">
        <is>
          <t>Cargo Ship</t>
        </is>
      </c>
      <c r="D130" s="6" t="inlineStr">
        <is>
          <t>Helicopter</t>
        </is>
      </c>
      <c r="E130" s="6" t="n">
        <v>125000</v>
      </c>
      <c r="F130" s="6" t="n">
        <v>100</v>
      </c>
      <c r="G130" t="inlineStr">
        <is>
          <t>Helicopter</t>
        </is>
      </c>
      <c r="H130" s="6" t="n">
        <v>0.7020999999999999</v>
      </c>
      <c r="I130" s="6" t="n">
        <v>1</v>
      </c>
      <c r="J130" s="6" t="n">
        <v>1</v>
      </c>
      <c r="K130" s="6" t="n"/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4000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SteelCargoshipCannons</t>
        </is>
      </c>
      <c r="C131" s="7" t="inlineStr">
        <is>
          <t>Armament@PRIMARY</t>
        </is>
      </c>
      <c r="L131" s="6" t="n">
        <v>4000</v>
      </c>
      <c r="M131" s="6" t="n">
        <v>3</v>
      </c>
      <c r="N131" s="6" t="n">
        <v>1</v>
      </c>
      <c r="O131" s="6" t="n"/>
      <c r="P131" s="6" t="n">
        <v>4750</v>
      </c>
      <c r="Q131" s="6" t="n">
        <v>0.875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^Warhead_Bullet_Light, ^Warhead_Bullet_Medium</t>
        </is>
      </c>
    </row>
    <row r="132">
      <c r="A132" t="inlineStr">
        <is>
          <t>redalert2mod</t>
        </is>
      </c>
      <c r="B132" t="inlineStr">
        <is>
          <t>steelconsortium_cloudbreaker</t>
        </is>
      </c>
      <c r="C132" t="inlineStr">
        <is>
          <t>Cloud Breaker</t>
        </is>
      </c>
      <c r="D132" s="6" t="inlineStr">
        <is>
          <t>Spaceship</t>
        </is>
      </c>
      <c r="E132" s="6" t="n">
        <v>250000</v>
      </c>
      <c r="F132" s="6" t="n">
        <v>50</v>
      </c>
      <c r="G132" t="inlineStr">
        <is>
          <t>Spaceship</t>
        </is>
      </c>
      <c r="H132" s="6" t="n">
        <v>0.75</v>
      </c>
      <c r="I132" s="6" t="n">
        <v>1</v>
      </c>
      <c r="J132" s="6" t="n">
        <v>1.25</v>
      </c>
      <c r="K132" s="6" t="n">
        <v>0.005</v>
      </c>
      <c r="P132">
        <f>MAX(P133,P134,P135,P136)</f>
        <v/>
      </c>
      <c r="S132">
        <f>S133+S134+S135+S136</f>
        <v/>
      </c>
      <c r="T132">
        <f>(E132/100000+F132/100+(P132/1000)*J132/5+S132/200)*200*I132*H132</f>
        <v/>
      </c>
      <c r="U132">
        <f>((E132*F132/25000)+((P132/1000)*J132*S132/2.5))*I132*H132</f>
        <v/>
      </c>
      <c r="V132">
        <f>(E132*F132*(P132/1000)*J132*S132*I132*H132)/12500000</f>
        <v/>
      </c>
      <c r="W132">
        <f>(T132+U132+V132)/3</f>
        <v/>
      </c>
      <c r="X132" s="6" t="n">
        <v>5000</v>
      </c>
      <c r="Y132">
        <f>IFERROR(W132-X132,"")</f>
        <v/>
      </c>
      <c r="Z132">
        <f>IFERROR(ABS(Y132)/MAX(X132,1),"")</f>
        <v/>
      </c>
      <c r="AA132">
        <f>IFERROR((X132-(((E132/100000+F132/100+S132/200)*200*I132*H132)+((E132*F132/25000)*I132*H132))/3)/(((J132/5)*200*I132*H132)+((J132*S132/2.5)*I132*H132)+((E132*F132*J132*S132*I132*H132)/12500000))/3*1000,"")</f>
        <v/>
      </c>
    </row>
    <row r="133">
      <c r="B133" s="7" t="inlineStr">
        <is>
          <t xml:space="preserve">  ↳ SteelCruiserCannons</t>
        </is>
      </c>
      <c r="C133" s="7" t="inlineStr">
        <is>
          <t>Armament@PRIMARY</t>
        </is>
      </c>
      <c r="L133" s="6" t="n">
        <v>8000</v>
      </c>
      <c r="M133" s="6" t="n">
        <v>5</v>
      </c>
      <c r="N133" s="6" t="n">
        <v>1</v>
      </c>
      <c r="O133" s="6" t="n"/>
      <c r="P133" s="6" t="n">
        <v>7000</v>
      </c>
      <c r="Q133" s="6" t="n">
        <v>1</v>
      </c>
      <c r="R133">
        <f>M133+IF(N133&gt;1,N(O133)*(N133-1),0)</f>
        <v/>
      </c>
      <c r="S133">
        <f>IFERROR(L133*MAX(N133,1)/R133*IF(ISBLANK(K132),1,K132),0)</f>
        <v/>
      </c>
      <c r="AB133" s="7" t="inlineStr">
        <is>
          <t>^Warhead_Bullet_Medium</t>
        </is>
      </c>
    </row>
    <row r="134">
      <c r="B134" s="7" t="inlineStr">
        <is>
          <t xml:space="preserve">  ↳ SteelCruiserCannons_elite</t>
        </is>
      </c>
      <c r="C134" s="7" t="inlineStr">
        <is>
          <t>Armament@PRIMARYELITE</t>
        </is>
      </c>
      <c r="L134" s="6" t="n">
        <v>8000</v>
      </c>
      <c r="M134" s="6" t="n">
        <v>5</v>
      </c>
      <c r="N134" s="6" t="n">
        <v>2</v>
      </c>
      <c r="O134" s="6" t="n">
        <v>1</v>
      </c>
      <c r="P134" s="6" t="n">
        <v>8000</v>
      </c>
      <c r="Q134" s="6" t="n">
        <v>1</v>
      </c>
      <c r="R134">
        <f>M134+IF(N134&gt;1,N(O134)*(N134-1),0)</f>
        <v/>
      </c>
      <c r="S134">
        <f>IFERROR(L134*MAX(N134,1)/R134*IF(ISBLANK(K132),1,K132),0)</f>
        <v/>
      </c>
      <c r="AB134" s="7" t="inlineStr">
        <is>
          <t>^Warhead_Bullet_Medium</t>
        </is>
      </c>
    </row>
    <row r="135">
      <c r="B135" s="7" t="inlineStr">
        <is>
          <t xml:space="preserve">  ↳ SteelCruiserArtillery</t>
        </is>
      </c>
      <c r="C135" s="7" t="inlineStr">
        <is>
          <t>Armament@CANNON</t>
        </is>
      </c>
      <c r="L135" s="6" t="n">
        <v>32000</v>
      </c>
      <c r="M135" s="6" t="n">
        <v>20</v>
      </c>
      <c r="N135" s="6" t="n">
        <v>1</v>
      </c>
      <c r="O135" s="6" t="n"/>
      <c r="P135" s="6" t="n">
        <v>7000</v>
      </c>
      <c r="Q135" s="6" t="n">
        <v>0.875</v>
      </c>
      <c r="R135">
        <f>M135+IF(N135&gt;1,N(O135)*(N135-1),0)</f>
        <v/>
      </c>
      <c r="S135">
        <f>IFERROR(L135*MAX(N135,1)/R135*IF(ISBLANK(K132),1,K132),0)</f>
        <v/>
      </c>
      <c r="AB135" s="7" t="inlineStr">
        <is>
          <t>^Warhead_CannonHE_Medium, ^Warhead_Demolition_Light</t>
        </is>
      </c>
    </row>
    <row r="136">
      <c r="B136" s="7" t="inlineStr">
        <is>
          <t xml:space="preserve">  ↳ SteelCruiserArtillery_elite</t>
        </is>
      </c>
      <c r="C136" s="7" t="inlineStr">
        <is>
          <t>Armament@CANNONELITE</t>
        </is>
      </c>
      <c r="L136" s="6" t="n">
        <v>32000</v>
      </c>
      <c r="M136" s="6" t="n">
        <v>20</v>
      </c>
      <c r="N136" s="6" t="n">
        <v>2</v>
      </c>
      <c r="O136" s="6" t="n">
        <v>3</v>
      </c>
      <c r="P136" s="6" t="n">
        <v>8000</v>
      </c>
      <c r="Q136" s="6" t="n">
        <v>0.875</v>
      </c>
      <c r="R136">
        <f>M136+IF(N136&gt;1,N(O136)*(N136-1),0)</f>
        <v/>
      </c>
      <c r="S136">
        <f>IFERROR(L136*MAX(N136,1)/R136*IF(ISBLANK(K132),1,K132),0)</f>
        <v/>
      </c>
      <c r="AB136" s="7" t="inlineStr">
        <is>
          <t>^Warhead_CannonHE_Medium, ^Warhead_Demolition_Light</t>
        </is>
      </c>
    </row>
    <row r="137">
      <c r="A137" t="inlineStr">
        <is>
          <t>redalert2mod</t>
        </is>
      </c>
      <c r="B137" t="inlineStr">
        <is>
          <t>steelconsortium_empressstation</t>
        </is>
      </c>
      <c r="C137" t="inlineStr">
        <is>
          <t>Empress Station</t>
        </is>
      </c>
      <c r="D137" s="6" t="inlineStr">
        <is>
          <t>Spaceship</t>
        </is>
      </c>
      <c r="E137" s="6" t="n">
        <v>1500000</v>
      </c>
      <c r="F137" s="6" t="n">
        <v>25</v>
      </c>
      <c r="G137" t="inlineStr">
        <is>
          <t>Spaceship</t>
        </is>
      </c>
      <c r="H137" s="6" t="n">
        <v>0.75</v>
      </c>
      <c r="I137" s="6" t="n">
        <v>1</v>
      </c>
      <c r="J137" s="6" t="n">
        <v>1.25</v>
      </c>
      <c r="K137" s="6" t="n">
        <v>0.001</v>
      </c>
      <c r="P137">
        <f>MAX(P138)</f>
        <v/>
      </c>
      <c r="S137">
        <f>S138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(T137+U137+V137)/3</f>
        <v/>
      </c>
      <c r="X137" s="6" t="n">
        <v>5000</v>
      </c>
      <c r="Y137">
        <f>IFERROR(W137-X137,"")</f>
        <v/>
      </c>
      <c r="Z137">
        <f>IFERROR(ABS(Y137)/MAX(X137,1),"")</f>
        <v/>
      </c>
      <c r="AA137">
        <f>IFERROR((X137-(((E137/100000+F137/100+S137/200)*200*I137*H137)+((E137*F137/25000)*I137*H137))/3)/(((J137/5)*200*I137*H137)+((J137*S137/2.5)*I137*H137)+((E137*F137*J137*S137*I137*H137)/12500000))/3*1000,"")</f>
        <v/>
      </c>
    </row>
    <row r="138">
      <c r="B138" s="7" t="inlineStr">
        <is>
          <t xml:space="preserve">  ↳ SteelInspectorIonCannon</t>
        </is>
      </c>
      <c r="C138" s="7" t="inlineStr">
        <is>
          <t>Armament@PRIMARY</t>
        </is>
      </c>
      <c r="L138" s="6" t="n">
        <v>250000</v>
      </c>
      <c r="M138" s="6" t="n">
        <v>25</v>
      </c>
      <c r="N138" s="6" t="n">
        <v>1</v>
      </c>
      <c r="O138" s="6" t="n"/>
      <c r="P138" s="6" t="n">
        <v>2500</v>
      </c>
      <c r="Q138" s="6" t="n">
        <v>1.25</v>
      </c>
      <c r="R138">
        <f>M138+IF(N138&gt;1,N(O138)*(N138-1),0)</f>
        <v/>
      </c>
      <c r="S138">
        <f>IFERROR(L138*MAX(N138,1)/R138*IF(ISBLANK(K137),1,K137),0)</f>
        <v/>
      </c>
      <c r="AB138" s="7" t="inlineStr">
        <is>
          <t>^Warhead_Tesla_Heavy, ^Warhead_Tesla_Super</t>
        </is>
      </c>
    </row>
    <row r="139">
      <c r="A139" t="inlineStr">
        <is>
          <t>redalert2mod</t>
        </is>
      </c>
      <c r="B139" t="inlineStr">
        <is>
          <t>steelconsortium_skyhammer</t>
        </is>
      </c>
      <c r="C139" t="inlineStr">
        <is>
          <t>Sky Hammer</t>
        </is>
      </c>
      <c r="D139" s="6" t="inlineStr">
        <is>
          <t>Helicopter</t>
        </is>
      </c>
      <c r="E139" s="6" t="n">
        <v>120000</v>
      </c>
      <c r="F139" s="6" t="n">
        <v>120</v>
      </c>
      <c r="G139" t="inlineStr">
        <is>
          <t>Helicopter</t>
        </is>
      </c>
      <c r="H139" s="6" t="n">
        <v>0.75</v>
      </c>
      <c r="I139" s="6" t="n">
        <v>1</v>
      </c>
      <c r="J139" s="6" t="n">
        <v>1.25</v>
      </c>
      <c r="K139" s="6" t="n"/>
      <c r="P139">
        <f>MAX(P140,P141,P142)</f>
        <v/>
      </c>
      <c r="S139">
        <f>S140+S141+S142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4500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SteelAirTurret</t>
        </is>
      </c>
      <c r="C140" s="7" t="inlineStr">
        <is>
          <t>Armament@PRIMARY</t>
        </is>
      </c>
      <c r="L140" s="6" t="n">
        <v>48000</v>
      </c>
      <c r="M140" s="6" t="n">
        <v>60</v>
      </c>
      <c r="N140" s="6" t="n">
        <v>1</v>
      </c>
      <c r="O140" s="6" t="n"/>
      <c r="P140" s="6" t="n">
        <v>8000</v>
      </c>
      <c r="Q140" s="6" t="n">
        <v>1</v>
      </c>
      <c r="R140">
        <f>M140+IF(N140&gt;1,N(O140)*(N140-1),0)</f>
        <v/>
      </c>
      <c r="S140">
        <f>IFERROR(L140*MAX(N140,1)/R140*IF(ISBLANK(K139),1,K139),0)</f>
        <v/>
      </c>
      <c r="AB140" s="7" t="inlineStr">
        <is>
          <t>^LaserWeapon, ^RailgunWeapon</t>
        </is>
      </c>
    </row>
    <row r="141">
      <c r="B141" s="7" t="inlineStr">
        <is>
          <t xml:space="preserve">  ↳ SteelAirTurret_EMP</t>
        </is>
      </c>
      <c r="C141" s="7" t="inlineStr">
        <is>
          <t>Armament@Upgrade</t>
        </is>
      </c>
      <c r="L141" s="6" t="n">
        <v>48000</v>
      </c>
      <c r="M141" s="6" t="n">
        <v>60</v>
      </c>
      <c r="N141" s="6" t="n">
        <v>1</v>
      </c>
      <c r="O141" s="6" t="n"/>
      <c r="P141" s="6" t="n">
        <v>8000</v>
      </c>
      <c r="Q141" s="6" t="n">
        <v>1.25</v>
      </c>
      <c r="R141">
        <f>M141+IF(N141&gt;1,N(O141)*(N141-1),0)</f>
        <v/>
      </c>
      <c r="S141">
        <f>IFERROR(L141*MAX(N141,1)/R141*IF(ISBLANK(K139),1,K139),0)</f>
        <v/>
      </c>
      <c r="AB141" s="7" t="inlineStr">
        <is>
          <t>^Warhead_Tesla_Heavy</t>
        </is>
      </c>
    </row>
    <row r="142">
      <c r="B142" s="7" t="inlineStr">
        <is>
          <t xml:space="preserve">  ↳ SteelAirTurret_elite</t>
        </is>
      </c>
      <c r="C142" s="7" t="inlineStr">
        <is>
          <t>Armament@elite</t>
        </is>
      </c>
      <c r="L142" s="6" t="n">
        <v>72000</v>
      </c>
      <c r="M142" s="6" t="n">
        <v>60</v>
      </c>
      <c r="N142" s="6" t="n">
        <v>1</v>
      </c>
      <c r="O142" s="6" t="n"/>
      <c r="P142" s="6" t="n">
        <v>9000</v>
      </c>
      <c r="Q142" s="6" t="n">
        <v>1.25</v>
      </c>
      <c r="R142">
        <f>M142+IF(N142&gt;1,N(O142)*(N142-1),0)</f>
        <v/>
      </c>
      <c r="S142">
        <f>IFERROR(L142*MAX(N142,1)/R142*IF(ISBLANK(K139),1,K139),0)</f>
        <v/>
      </c>
      <c r="AB142" s="7" t="inlineStr">
        <is>
          <t>^Warhead_Tesla_Heavy</t>
        </is>
      </c>
    </row>
    <row r="143">
      <c r="A143" t="inlineStr">
        <is>
          <t>redalert2mod</t>
        </is>
      </c>
      <c r="B143" t="inlineStr">
        <is>
          <t>steelconsortium_twister</t>
        </is>
      </c>
      <c r="C143" t="inlineStr">
        <is>
          <t>Twister</t>
        </is>
      </c>
      <c r="D143" s="6" t="inlineStr">
        <is>
          <t>Fighter</t>
        </is>
      </c>
      <c r="E143" s="6" t="n">
        <v>50000</v>
      </c>
      <c r="F143" s="6" t="n">
        <v>150</v>
      </c>
      <c r="G143" t="inlineStr">
        <is>
          <t>Fighter</t>
        </is>
      </c>
      <c r="H143" s="6" t="n">
        <v>0.7020999999999999</v>
      </c>
      <c r="I143" s="6" t="n">
        <v>1</v>
      </c>
      <c r="J143" s="6" t="n">
        <v>1</v>
      </c>
      <c r="K143" s="6" t="n"/>
      <c r="P143">
        <f>MAX(P144,P145)</f>
        <v/>
      </c>
      <c r="S143">
        <f>S144+S145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1000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SteelTwisterMissiles</t>
        </is>
      </c>
      <c r="C144" s="7" t="inlineStr">
        <is>
          <t>Armament@PRIMARY</t>
        </is>
      </c>
      <c r="L144" s="6" t="n">
        <v>10000</v>
      </c>
      <c r="M144" s="6" t="n">
        <v>105</v>
      </c>
      <c r="N144" s="6" t="n">
        <v>5</v>
      </c>
      <c r="O144" s="6" t="n">
        <v>5</v>
      </c>
      <c r="P144" s="6" t="n">
        <v>5000</v>
      </c>
      <c r="Q144" s="6" t="n">
        <v>1</v>
      </c>
      <c r="R144">
        <f>M144+IF(N144&gt;1,N(O144)*(N144-1),0)</f>
        <v/>
      </c>
      <c r="S144">
        <f>IFERROR(L144*MAX(N144,1)/R144*IF(ISBLANK(K143),1,K143),0)</f>
        <v/>
      </c>
      <c r="AB144" s="7" t="inlineStr">
        <is>
          <t>^Warhead_MissileAP_Medium</t>
        </is>
      </c>
    </row>
    <row r="145">
      <c r="B145" s="7" t="inlineStr">
        <is>
          <t xml:space="preserve">  ↳ SteelTwisterMissiles_elite</t>
        </is>
      </c>
      <c r="C145" s="7" t="inlineStr">
        <is>
          <t>Armament@PRIMARYELITE</t>
        </is>
      </c>
      <c r="L145" s="6" t="n">
        <v>10000</v>
      </c>
      <c r="M145" s="6" t="n">
        <v>105</v>
      </c>
      <c r="N145" s="6" t="n">
        <v>10</v>
      </c>
      <c r="O145" s="6" t="n">
        <v>5</v>
      </c>
      <c r="P145" s="6" t="n">
        <v>6000</v>
      </c>
      <c r="Q145" s="6" t="n">
        <v>1</v>
      </c>
      <c r="R145">
        <f>M145+IF(N145&gt;1,N(O145)*(N145-1),0)</f>
        <v/>
      </c>
      <c r="S145">
        <f>IFERROR(L145*MAX(N145,1)/R145*IF(ISBLANK(K143),1,K143),0)</f>
        <v/>
      </c>
      <c r="AB145" s="7" t="inlineStr">
        <is>
          <t>^Warhead_MissileAP_Medium</t>
        </is>
      </c>
    </row>
    <row r="146">
      <c r="A146" s="4" t="inlineStr">
        <is>
          <t>BUILDINGS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t="inlineStr">
        <is>
          <t>redalert2mod</t>
        </is>
      </c>
      <c r="B147" t="inlineStr">
        <is>
          <t>steelconsortium_antiairquantummissileturret</t>
        </is>
      </c>
      <c r="C147" t="inlineStr">
        <is>
          <t>Anti Air Quantum Missile Turret</t>
        </is>
      </c>
      <c r="D147" s="6" t="inlineStr">
        <is>
          <t>AntiAirDefense</t>
        </is>
      </c>
      <c r="E147" s="6" t="n">
        <v>121000</v>
      </c>
      <c r="F147" s="6" t="n"/>
      <c r="G147" t="inlineStr">
        <is>
          <t>Concrete</t>
        </is>
      </c>
      <c r="H147" s="6" t="n">
        <v>0.8048999999999999</v>
      </c>
      <c r="I147" s="6" t="n">
        <v>1</v>
      </c>
      <c r="J147" s="6" t="n">
        <v>1</v>
      </c>
      <c r="K147" s="6" t="n"/>
      <c r="X147" s="6" t="n">
        <v>1000</v>
      </c>
    </row>
    <row r="148">
      <c r="B148" s="7" t="inlineStr">
        <is>
          <t xml:space="preserve">  ↳ GLStingerTargeting</t>
        </is>
      </c>
      <c r="C148" s="7" t="inlineStr">
        <is>
          <t>Armament@DroneTargeting</t>
        </is>
      </c>
      <c r="L148" s="6" t="n"/>
      <c r="M148" s="6" t="n">
        <v>25</v>
      </c>
      <c r="N148" s="6" t="n">
        <v>1</v>
      </c>
      <c r="O148" s="6" t="n"/>
      <c r="P148" s="6" t="n">
        <v>15000</v>
      </c>
      <c r="Q148" s="6" t="n">
        <v>1</v>
      </c>
      <c r="R148">
        <f>M148+IF(N148&gt;1,N(O148)*(N148-1),0)</f>
        <v/>
      </c>
      <c r="S148">
        <f>IFERROR(L148*MAX(N148,1)/R148*IF(ISBLANK(K147),1,K147),0)</f>
        <v/>
      </c>
      <c r="AB148" s="7" t="inlineStr"/>
    </row>
    <row r="149">
      <c r="B149" s="7" t="inlineStr">
        <is>
          <t xml:space="preserve">  ↳ ConsortiumMissileSystem</t>
        </is>
      </c>
      <c r="C149" s="7" t="inlineStr">
        <is>
          <t>Armament</t>
        </is>
      </c>
      <c r="L149" s="6" t="n">
        <v>24000</v>
      </c>
      <c r="M149" s="6" t="n">
        <v>60</v>
      </c>
      <c r="N149" s="6" t="n">
        <v>2</v>
      </c>
      <c r="O149" s="6" t="n">
        <v>10</v>
      </c>
      <c r="P149" s="6" t="n">
        <v>12000</v>
      </c>
      <c r="Q149" s="6" t="n">
        <v>1</v>
      </c>
      <c r="R149">
        <f>M149+IF(N149&gt;1,N(O149)*(N149-1),0)</f>
        <v/>
      </c>
      <c r="S149">
        <f>IFERROR(L149*MAX(N149,1)/R149*IF(ISBLANK(K147),1,K147),0)</f>
        <v/>
      </c>
      <c r="AB149" s="7" t="inlineStr">
        <is>
          <t>^Warhead_Flak_Medium, ^Warhead_MissileAP_Medium</t>
        </is>
      </c>
    </row>
    <row r="150">
      <c r="B150" s="7" t="inlineStr">
        <is>
          <t xml:space="preserve">  ↳ ConsortiumMissileSystem_EMP</t>
        </is>
      </c>
      <c r="C150" s="7" t="inlineStr">
        <is>
          <t>Armament@Upgrade</t>
        </is>
      </c>
      <c r="L150" s="6" t="n">
        <v>24000</v>
      </c>
      <c r="M150" s="6" t="n">
        <v>60</v>
      </c>
      <c r="N150" s="6" t="n">
        <v>2</v>
      </c>
      <c r="O150" s="6" t="n">
        <v>10</v>
      </c>
      <c r="P150" s="6" t="n">
        <v>12000</v>
      </c>
      <c r="Q150" s="6" t="n">
        <v>1</v>
      </c>
      <c r="R150">
        <f>M150+IF(N150&gt;1,N(O150)*(N150-1),0)</f>
        <v/>
      </c>
      <c r="S150">
        <f>IFERROR(L150*MAX(N150,1)/R150*IF(ISBLANK(K147),1,K147),0)</f>
        <v/>
      </c>
      <c r="AB150" s="7" t="inlineStr">
        <is>
          <t>^Warhead_Flak_Medium, ^Warhead_MissileAP_Medium</t>
        </is>
      </c>
    </row>
    <row r="151">
      <c r="A151" t="inlineStr">
        <is>
          <t>redalert2mod</t>
        </is>
      </c>
      <c r="B151" t="inlineStr">
        <is>
          <t>steelconsortium_bfg10000</t>
        </is>
      </c>
      <c r="C151" t="inlineStr">
        <is>
          <t>BFG 10000</t>
        </is>
      </c>
      <c r="D151" s="6" t="inlineStr">
        <is>
          <t>AdvancedDefense</t>
        </is>
      </c>
      <c r="E151" s="6" t="n">
        <v>1000000</v>
      </c>
      <c r="F151" s="6" t="n"/>
      <c r="G151" t="inlineStr">
        <is>
          <t>Steel</t>
        </is>
      </c>
      <c r="H151" s="6" t="n">
        <v>1</v>
      </c>
      <c r="I151" s="6" t="n">
        <v>0.5</v>
      </c>
      <c r="J151" s="6" t="n">
        <v>1</v>
      </c>
      <c r="K151" s="6" t="n"/>
      <c r="X151" s="6" t="n">
        <v>10000</v>
      </c>
    </row>
    <row r="152">
      <c r="B152" s="7" t="inlineStr">
        <is>
          <t xml:space="preserve">  ↳ bfg10kCannonDummy</t>
        </is>
      </c>
      <c r="C152" s="7" t="inlineStr">
        <is>
          <t>Armament@Dummy</t>
        </is>
      </c>
      <c r="L152" s="6" t="n"/>
      <c r="M152" s="6" t="n">
        <v>750</v>
      </c>
      <c r="N152" s="6" t="n">
        <v>1</v>
      </c>
      <c r="O152" s="6" t="n"/>
      <c r="P152" s="6" t="n">
        <v>25000</v>
      </c>
      <c r="Q152" s="6" t="n">
        <v>1</v>
      </c>
      <c r="R152">
        <f>M152+IF(N152&gt;1,N(O152)*(N152-1),0)</f>
        <v/>
      </c>
      <c r="S152">
        <f>IFERROR(L152*MAX(N152,1)/R152*IF(ISBLANK(K151),1,K151),0)</f>
        <v/>
      </c>
      <c r="AB152" s="7" t="inlineStr"/>
    </row>
    <row r="153">
      <c r="B153" s="7" t="inlineStr">
        <is>
          <t xml:space="preserve">  ↳ bfg10kCannon</t>
        </is>
      </c>
      <c r="C153" s="7" t="inlineStr">
        <is>
          <t>Armament@Weapon</t>
        </is>
      </c>
      <c r="L153" s="6" t="n">
        <v>1000000</v>
      </c>
      <c r="M153" s="6" t="n">
        <v>750</v>
      </c>
      <c r="N153" s="6" t="n">
        <v>1</v>
      </c>
      <c r="O153" s="6" t="n"/>
      <c r="P153" s="6" t="n">
        <v>25000</v>
      </c>
      <c r="Q153" s="6" t="n">
        <v>1</v>
      </c>
      <c r="R153">
        <f>M153+IF(N153&gt;1,N(O153)*(N153-1),0)</f>
        <v/>
      </c>
      <c r="S153">
        <f>IFERROR(L153*MAX(N153,1)/R153*IF(ISBLANK(K151),1,K151),0)</f>
        <v/>
      </c>
      <c r="AB153" s="7" t="inlineStr">
        <is>
          <t>^TeslaChargedWeapon, ^MagicWeapon, ^LaserWeapon, ^RailgunWeapon</t>
        </is>
      </c>
    </row>
    <row r="154">
      <c r="B154" s="7" t="inlineStr">
        <is>
          <t xml:space="preserve">  ↳ superbfg10kCannonDummy</t>
        </is>
      </c>
      <c r="C154" s="7" t="inlineStr">
        <is>
          <t>Armament@SuperDummy</t>
        </is>
      </c>
      <c r="L154" s="6" t="n"/>
      <c r="M154" s="6" t="n">
        <v>750</v>
      </c>
      <c r="N154" s="6" t="n">
        <v>1</v>
      </c>
      <c r="O154" s="6" t="n"/>
      <c r="P154" s="6" t="n">
        <v>10238976</v>
      </c>
      <c r="Q154" s="6" t="n">
        <v>1</v>
      </c>
      <c r="R154">
        <f>M154+IF(N154&gt;1,N(O154)*(N154-1),0)</f>
        <v/>
      </c>
      <c r="S154">
        <f>IFERROR(L154*MAX(N154,1)/R154*IF(ISBLANK(K151),1,K151),0)</f>
        <v/>
      </c>
      <c r="AB154" s="7" t="inlineStr">
        <is>
          <t>bfg10kCannonDummy</t>
        </is>
      </c>
    </row>
    <row r="155">
      <c r="B155" s="7" t="inlineStr">
        <is>
          <t xml:space="preserve">  ↳ superbfg10kCannon</t>
        </is>
      </c>
      <c r="C155" s="7" t="inlineStr">
        <is>
          <t>Armament@SuperWeapon</t>
        </is>
      </c>
      <c r="L155" s="6" t="n">
        <v>1000000</v>
      </c>
      <c r="M155" s="6" t="n">
        <v>750</v>
      </c>
      <c r="N155" s="6" t="n">
        <v>1</v>
      </c>
      <c r="O155" s="6" t="n"/>
      <c r="P155" s="6" t="n">
        <v>10238976</v>
      </c>
      <c r="Q155" s="6" t="n">
        <v>1</v>
      </c>
      <c r="R155">
        <f>M155+IF(N155&gt;1,N(O155)*(N155-1),0)</f>
        <v/>
      </c>
      <c r="S155">
        <f>IFERROR(L155*MAX(N155,1)/R155*IF(ISBLANK(K151),1,K151),0)</f>
        <v/>
      </c>
      <c r="AB155" s="7" t="inlineStr">
        <is>
          <t>bfg10kCannon</t>
        </is>
      </c>
    </row>
    <row r="156">
      <c r="A156" t="inlineStr">
        <is>
          <t>redalert2mod</t>
        </is>
      </c>
      <c r="B156" t="inlineStr">
        <is>
          <t>steelconsortium_cloningvats</t>
        </is>
      </c>
      <c r="C156" t="inlineStr">
        <is>
          <t>Cloning Vats</t>
        </is>
      </c>
      <c r="D156" s="6" t="inlineStr">
        <is>
          <t>Building</t>
        </is>
      </c>
      <c r="E156" s="6" t="n">
        <v>110000</v>
      </c>
      <c r="F156" s="6" t="n"/>
      <c r="G156" t="inlineStr">
        <is>
          <t>Wood</t>
        </is>
      </c>
      <c r="H156" s="6" t="n">
        <v>0.541</v>
      </c>
      <c r="I156" s="6" t="n">
        <v>1</v>
      </c>
      <c r="J156" s="6" t="n">
        <v>1</v>
      </c>
      <c r="K156" s="6" t="n"/>
      <c r="X156" s="6" t="n">
        <v>2000</v>
      </c>
    </row>
    <row r="157">
      <c r="A157" t="inlineStr">
        <is>
          <t>redalert2mod</t>
        </is>
      </c>
      <c r="B157" t="inlineStr">
        <is>
          <t>steelconsortium_consortiumairpad</t>
        </is>
      </c>
      <c r="C157" t="inlineStr">
        <is>
          <t>Consortium Airpad</t>
        </is>
      </c>
      <c r="D157" s="6" t="inlineStr">
        <is>
          <t>Building</t>
        </is>
      </c>
      <c r="E157" s="6" t="n">
        <v>300000</v>
      </c>
      <c r="F157" s="6" t="n"/>
      <c r="G157" t="inlineStr">
        <is>
          <t>Wood</t>
        </is>
      </c>
      <c r="H157" s="6" t="n">
        <v>0.8048999999999999</v>
      </c>
      <c r="I157" s="6" t="n">
        <v>1</v>
      </c>
      <c r="J157" s="6" t="n">
        <v>1</v>
      </c>
      <c r="K157" s="6" t="n"/>
      <c r="X157" s="6" t="n">
        <v>1500</v>
      </c>
    </row>
    <row r="158">
      <c r="A158" t="inlineStr">
        <is>
          <t>redalert2mod</t>
        </is>
      </c>
      <c r="B158" t="inlineStr">
        <is>
          <t>steelconsortium_consortiumbattlelab</t>
        </is>
      </c>
      <c r="C158" t="inlineStr">
        <is>
          <t>Consortium Battle Lab</t>
        </is>
      </c>
      <c r="D158" s="6" t="inlineStr">
        <is>
          <t>Building</t>
        </is>
      </c>
      <c r="E158" s="6" t="n">
        <v>500000</v>
      </c>
      <c r="F158" s="6" t="n"/>
      <c r="G158" t="inlineStr">
        <is>
          <t>Concrete</t>
        </is>
      </c>
      <c r="H158" s="6" t="n">
        <v>0.8048999999999999</v>
      </c>
      <c r="I158" s="6" t="n">
        <v>1</v>
      </c>
      <c r="J158" s="6" t="n">
        <v>1</v>
      </c>
      <c r="K158" s="6" t="n"/>
      <c r="X158" s="6" t="n">
        <v>5000</v>
      </c>
    </row>
    <row r="159">
      <c r="A159" t="inlineStr">
        <is>
          <t>redalert2mod</t>
        </is>
      </c>
      <c r="B159" t="inlineStr">
        <is>
          <t>steelconsortium_consortiumconstructionyard</t>
        </is>
      </c>
      <c r="C159" t="inlineStr">
        <is>
          <t>Consortium Construction Yard</t>
        </is>
      </c>
      <c r="D159" s="6" t="inlineStr">
        <is>
          <t>Building</t>
        </is>
      </c>
      <c r="E159" s="6" t="n">
        <v>1000000</v>
      </c>
      <c r="F159" s="6" t="n"/>
      <c r="G159" t="inlineStr">
        <is>
          <t>Concrete</t>
        </is>
      </c>
      <c r="H159" s="6" t="n">
        <v>1</v>
      </c>
      <c r="I159" s="6" t="n">
        <v>1</v>
      </c>
      <c r="J159" s="6" t="n">
        <v>1</v>
      </c>
      <c r="K159" s="6" t="n"/>
      <c r="X159" s="6" t="n">
        <v>5000</v>
      </c>
    </row>
    <row r="160">
      <c r="A160" t="inlineStr">
        <is>
          <t>redalert2mod</t>
        </is>
      </c>
      <c r="B160" t="inlineStr">
        <is>
          <t>steelconsortium_consortiumpowerplant</t>
        </is>
      </c>
      <c r="C160" t="inlineStr">
        <is>
          <t>Consortium Power Plant</t>
        </is>
      </c>
      <c r="D160" s="6" t="inlineStr">
        <is>
          <t>Building</t>
        </is>
      </c>
      <c r="E160" s="6" t="n">
        <v>250000</v>
      </c>
      <c r="F160" s="6" t="n"/>
      <c r="G160" t="inlineStr">
        <is>
          <t>Wood</t>
        </is>
      </c>
      <c r="H160" s="6" t="n">
        <v>1</v>
      </c>
      <c r="I160" s="6" t="n">
        <v>1</v>
      </c>
      <c r="J160" s="6" t="n">
        <v>1</v>
      </c>
      <c r="K160" s="6" t="n"/>
      <c r="X160" s="6" t="n">
        <v>1000</v>
      </c>
    </row>
    <row r="161">
      <c r="A161" t="inlineStr">
        <is>
          <t>redalert2mod</t>
        </is>
      </c>
      <c r="B161" t="inlineStr">
        <is>
          <t>steelconsortium_consortiumradar</t>
        </is>
      </c>
      <c r="C161" t="inlineStr">
        <is>
          <t>Consortium Radar</t>
        </is>
      </c>
      <c r="D161" s="6" t="inlineStr">
        <is>
          <t>Building</t>
        </is>
      </c>
      <c r="E161" s="6" t="n">
        <v>250000</v>
      </c>
      <c r="F161" s="6" t="n"/>
      <c r="G161" t="inlineStr">
        <is>
          <t>Wood</t>
        </is>
      </c>
      <c r="H161" s="6" t="n">
        <v>1</v>
      </c>
      <c r="I161" s="6" t="n">
        <v>1</v>
      </c>
      <c r="J161" s="6" t="n">
        <v>1</v>
      </c>
      <c r="K161" s="6" t="n"/>
      <c r="X161" s="6" t="n">
        <v>2500</v>
      </c>
    </row>
    <row r="162">
      <c r="A162" t="inlineStr">
        <is>
          <t>redalert2mod</t>
        </is>
      </c>
      <c r="B162" t="inlineStr">
        <is>
          <t>steelconsortium_consortiumrefinery</t>
        </is>
      </c>
      <c r="C162" t="inlineStr">
        <is>
          <t>Consortium Refinery</t>
        </is>
      </c>
      <c r="D162" s="6" t="inlineStr">
        <is>
          <t>Building</t>
        </is>
      </c>
      <c r="E162" s="6" t="n">
        <v>300000</v>
      </c>
      <c r="F162" s="6" t="n"/>
      <c r="G162" t="inlineStr">
        <is>
          <t>Concrete</t>
        </is>
      </c>
      <c r="H162" s="6" t="n">
        <v>1</v>
      </c>
      <c r="I162" s="6" t="n">
        <v>1</v>
      </c>
      <c r="J162" s="6" t="n">
        <v>1</v>
      </c>
      <c r="K162" s="6" t="n"/>
      <c r="X162" s="6" t="n">
        <v>3000</v>
      </c>
    </row>
    <row r="163">
      <c r="A163" t="inlineStr">
        <is>
          <t>redalert2mod</t>
        </is>
      </c>
      <c r="B163" t="inlineStr">
        <is>
          <t>steelconsortium_consortiumsentryturret</t>
        </is>
      </c>
      <c r="C163" t="inlineStr">
        <is>
          <t>Consortium Sentry Turret</t>
        </is>
      </c>
      <c r="D163" s="6" t="inlineStr">
        <is>
          <t>BasicDefense</t>
        </is>
      </c>
      <c r="E163" s="6" t="n">
        <v>88000</v>
      </c>
      <c r="F163" s="6" t="n"/>
      <c r="G163" t="inlineStr">
        <is>
          <t>Concrete</t>
        </is>
      </c>
      <c r="H163" s="6" t="n">
        <v>1</v>
      </c>
      <c r="I163" s="6" t="n">
        <v>0.35</v>
      </c>
      <c r="J163" s="6" t="n">
        <v>1</v>
      </c>
      <c r="K163" s="6" t="n"/>
      <c r="X163" s="6" t="n">
        <v>700</v>
      </c>
    </row>
    <row r="164">
      <c r="B164" s="7" t="inlineStr">
        <is>
          <t xml:space="preserve">  ↳ GLStingerTargeting</t>
        </is>
      </c>
      <c r="C164" s="7" t="inlineStr">
        <is>
          <t>Armament@DroneTargeting</t>
        </is>
      </c>
      <c r="L164" s="6" t="n"/>
      <c r="M164" s="6" t="n">
        <v>25</v>
      </c>
      <c r="N164" s="6" t="n">
        <v>1</v>
      </c>
      <c r="O164" s="6" t="n"/>
      <c r="P164" s="6" t="n">
        <v>15000</v>
      </c>
      <c r="Q164" s="6" t="n">
        <v>1</v>
      </c>
      <c r="R164">
        <f>M164+IF(N164&gt;1,N(O164)*(N164-1),0)</f>
        <v/>
      </c>
      <c r="S164">
        <f>IFERROR(L164*MAX(N164,1)/R164*IF(ISBLANK(K163),1,K163),0)</f>
        <v/>
      </c>
      <c r="AB164" s="7" t="inlineStr"/>
    </row>
    <row r="165">
      <c r="B165" s="7" t="inlineStr">
        <is>
          <t xml:space="preserve">  ↳ SteelVulcan</t>
        </is>
      </c>
      <c r="C165" s="7" t="inlineStr">
        <is>
          <t>Armament</t>
        </is>
      </c>
      <c r="L165" s="6" t="n">
        <v>6000</v>
      </c>
      <c r="M165" s="6" t="n">
        <v>10</v>
      </c>
      <c r="N165" s="6" t="n">
        <v>1</v>
      </c>
      <c r="O165" s="6" t="n"/>
      <c r="P165" s="6" t="n">
        <v>6666</v>
      </c>
      <c r="Q165" s="6" t="n">
        <v>1</v>
      </c>
      <c r="R165">
        <f>M165+IF(N165&gt;1,N(O165)*(N165-1),0)</f>
        <v/>
      </c>
      <c r="S165">
        <f>IFERROR(L165*MAX(N165,1)/R165*IF(ISBLANK(K163),1,K163),0)</f>
        <v/>
      </c>
      <c r="AB165" s="7" t="inlineStr">
        <is>
          <t>^Warhead_CannonHE_Heavy, ^Warhead_Bullet_Light, ^Warhead_Bullet_Medium</t>
        </is>
      </c>
    </row>
    <row r="166">
      <c r="B166" s="7" t="inlineStr">
        <is>
          <t xml:space="preserve">  ↳ SteelVulcanResonance</t>
        </is>
      </c>
      <c r="C166" s="7" t="inlineStr">
        <is>
          <t>Armament@Upgrade</t>
        </is>
      </c>
      <c r="L166" s="6" t="n">
        <v>6000</v>
      </c>
      <c r="M166" s="6" t="n">
        <v>10</v>
      </c>
      <c r="N166" s="6" t="n">
        <v>1</v>
      </c>
      <c r="O166" s="6" t="n"/>
      <c r="P166" s="6" t="n">
        <v>6666</v>
      </c>
      <c r="Q166" s="6" t="n">
        <v>1</v>
      </c>
      <c r="R166">
        <f>M166+IF(N166&gt;1,N(O166)*(N166-1),0)</f>
        <v/>
      </c>
      <c r="S166">
        <f>IFERROR(L166*MAX(N166,1)/R166*IF(ISBLANK(K163),1,K163),0)</f>
        <v/>
      </c>
      <c r="AB166" s="7" t="inlineStr">
        <is>
          <t>^Warhead_CannonHE_Heavy, ^Warhead_Bullet_Light, ^Warhead_Bullet_Medium</t>
        </is>
      </c>
    </row>
    <row r="167">
      <c r="A167" t="inlineStr">
        <is>
          <t>redalert2mod</t>
        </is>
      </c>
      <c r="B167" t="inlineStr">
        <is>
          <t>steelconsortium_consortiumwarfactory</t>
        </is>
      </c>
      <c r="C167" t="inlineStr">
        <is>
          <t>Consortium War Factory</t>
        </is>
      </c>
      <c r="D167" s="6" t="inlineStr">
        <is>
          <t>Building</t>
        </is>
      </c>
      <c r="E167" s="6" t="n">
        <v>400000</v>
      </c>
      <c r="F167" s="6" t="n"/>
      <c r="G167" t="inlineStr">
        <is>
          <t>Concrete</t>
        </is>
      </c>
      <c r="H167" s="6" t="n">
        <v>1</v>
      </c>
      <c r="I167" s="6" t="n">
        <v>1</v>
      </c>
      <c r="J167" s="6" t="n">
        <v>1</v>
      </c>
      <c r="K167" s="6" t="n"/>
      <c r="X167" s="6" t="n">
        <v>2000</v>
      </c>
    </row>
    <row r="168">
      <c r="A168" t="inlineStr">
        <is>
          <t>redalert2mod</t>
        </is>
      </c>
      <c r="B168" t="inlineStr">
        <is>
          <t>steelconsortium_geothermalreactor</t>
        </is>
      </c>
      <c r="C168" t="inlineStr">
        <is>
          <t>Geothermal Reactor</t>
        </is>
      </c>
      <c r="D168" s="6" t="inlineStr">
        <is>
          <t>Building</t>
        </is>
      </c>
      <c r="E168" s="6" t="n">
        <v>750000</v>
      </c>
      <c r="F168" s="6" t="n"/>
      <c r="G168" t="inlineStr">
        <is>
          <t>Concrete</t>
        </is>
      </c>
      <c r="H168" s="6" t="n">
        <v>0.541</v>
      </c>
      <c r="I168" s="6" t="n">
        <v>1</v>
      </c>
      <c r="J168" s="6" t="n">
        <v>1</v>
      </c>
      <c r="K168" s="6" t="n"/>
      <c r="X168" s="6" t="n">
        <v>7500</v>
      </c>
    </row>
    <row r="169">
      <c r="A169" t="inlineStr">
        <is>
          <t>redalert2mod</t>
        </is>
      </c>
      <c r="B169" t="inlineStr">
        <is>
          <t>steelconsortium_orbitalcannonactivator</t>
        </is>
      </c>
      <c r="C169" t="inlineStr">
        <is>
          <t>Orbital Cannon Activator</t>
        </is>
      </c>
      <c r="D169" s="6" t="inlineStr">
        <is>
          <t>Building</t>
        </is>
      </c>
      <c r="E169" s="6" t="n">
        <v>1000000</v>
      </c>
      <c r="F169" s="6" t="n"/>
      <c r="G169" t="inlineStr">
        <is>
          <t>Concrete</t>
        </is>
      </c>
      <c r="H169" s="6" t="n">
        <v>0.541</v>
      </c>
      <c r="I169" s="6" t="n">
        <v>1</v>
      </c>
      <c r="J169" s="6" t="n">
        <v>1</v>
      </c>
      <c r="K169" s="6" t="n"/>
      <c r="X169" s="6" t="n">
        <v>10000</v>
      </c>
    </row>
    <row r="170">
      <c r="A170" t="inlineStr">
        <is>
          <t>redalert2mod</t>
        </is>
      </c>
      <c r="B170" t="inlineStr">
        <is>
          <t>steelconsortium_quantumcannon</t>
        </is>
      </c>
      <c r="C170" t="inlineStr">
        <is>
          <t>Quantum Cannon</t>
        </is>
      </c>
      <c r="D170" s="6" t="inlineStr">
        <is>
          <t>AdvancedDefense</t>
        </is>
      </c>
      <c r="E170" s="6" t="n">
        <v>230000</v>
      </c>
      <c r="F170" s="6" t="n"/>
      <c r="G170" t="inlineStr">
        <is>
          <t>Steel</t>
        </is>
      </c>
      <c r="H170" s="6" t="n">
        <v>0.541</v>
      </c>
      <c r="I170" s="6" t="n">
        <v>1</v>
      </c>
      <c r="J170" s="6" t="n">
        <v>1</v>
      </c>
      <c r="K170" s="6" t="n"/>
      <c r="X170" s="6" t="n">
        <v>2000</v>
      </c>
    </row>
    <row r="171">
      <c r="B171" s="7" t="inlineStr">
        <is>
          <t xml:space="preserve">  ↳ GLStingerTargeting</t>
        </is>
      </c>
      <c r="C171" s="7" t="inlineStr">
        <is>
          <t>Armament@DroneTargeting</t>
        </is>
      </c>
      <c r="L171" s="6" t="n"/>
      <c r="M171" s="6" t="n">
        <v>25</v>
      </c>
      <c r="N171" s="6" t="n">
        <v>1</v>
      </c>
      <c r="O171" s="6" t="n"/>
      <c r="P171" s="6" t="n">
        <v>15000</v>
      </c>
      <c r="Q171" s="6" t="n">
        <v>1</v>
      </c>
      <c r="R171">
        <f>M171+IF(N171&gt;1,N(O171)*(N171-1),0)</f>
        <v/>
      </c>
      <c r="S171">
        <f>IFERROR(L171*MAX(N171,1)/R171*IF(ISBLANK(K170),1,K170),0)</f>
        <v/>
      </c>
      <c r="AB171" s="7" t="inlineStr"/>
    </row>
    <row r="172">
      <c r="B172" s="7" t="inlineStr">
        <is>
          <t xml:space="preserve">  ↳ SteelQuantumTurretRail</t>
        </is>
      </c>
      <c r="C172" s="7" t="inlineStr">
        <is>
          <t>Armament@1</t>
        </is>
      </c>
      <c r="L172" s="6" t="n">
        <v>12000</v>
      </c>
      <c r="M172" s="6" t="n">
        <v>38</v>
      </c>
      <c r="N172" s="6" t="n">
        <v>1</v>
      </c>
      <c r="O172" s="6" t="n"/>
      <c r="P172" s="6" t="n">
        <v>8888</v>
      </c>
      <c r="Q172" s="6" t="n">
        <v>1.25</v>
      </c>
      <c r="R172">
        <f>M172+IF(N172&gt;1,N(O172)*(N172-1),0)</f>
        <v/>
      </c>
      <c r="S172">
        <f>IFERROR(L172*MAX(N172,1)/R172*IF(ISBLANK(K170),1,K170),0)</f>
        <v/>
      </c>
      <c r="AB172" s="7" t="inlineStr">
        <is>
          <t>^Warhead_CannonHE_Heavy</t>
        </is>
      </c>
    </row>
    <row r="173">
      <c r="B173" s="7" t="inlineStr">
        <is>
          <t xml:space="preserve">  ↳ SteelQuantumTurretRail</t>
        </is>
      </c>
      <c r="C173" s="7" t="inlineStr">
        <is>
          <t>Armament@2</t>
        </is>
      </c>
      <c r="L173" s="6" t="n">
        <v>12000</v>
      </c>
      <c r="M173" s="6" t="n">
        <v>38</v>
      </c>
      <c r="N173" s="6" t="n">
        <v>1</v>
      </c>
      <c r="O173" s="6" t="n"/>
      <c r="P173" s="6" t="n">
        <v>8888</v>
      </c>
      <c r="Q173" s="6" t="n">
        <v>1.25</v>
      </c>
      <c r="R173">
        <f>M173+IF(N173&gt;1,N(O173)*(N173-1),0)</f>
        <v/>
      </c>
      <c r="S173">
        <f>IFERROR(L173*MAX(N173,1)/R173*IF(ISBLANK(K170),1,K170),0)</f>
        <v/>
      </c>
      <c r="AB173" s="7" t="inlineStr">
        <is>
          <t>^Warhead_CannonHE_Heavy</t>
        </is>
      </c>
    </row>
    <row r="174">
      <c r="B174" s="7" t="inlineStr">
        <is>
          <t xml:space="preserve">  ↳ SteelQuantumTurretRail_EMP</t>
        </is>
      </c>
      <c r="C174" s="7" t="inlineStr">
        <is>
          <t>Armament@Upgrade1</t>
        </is>
      </c>
      <c r="L174" s="6" t="n">
        <v>12000</v>
      </c>
      <c r="M174" s="6" t="n">
        <v>38</v>
      </c>
      <c r="N174" s="6" t="n">
        <v>1</v>
      </c>
      <c r="O174" s="6" t="n"/>
      <c r="P174" s="6" t="n">
        <v>8888</v>
      </c>
      <c r="Q174" s="6" t="n">
        <v>1.25</v>
      </c>
      <c r="R174">
        <f>M174+IF(N174&gt;1,N(O174)*(N174-1),0)</f>
        <v/>
      </c>
      <c r="S174">
        <f>IFERROR(L174*MAX(N174,1)/R174*IF(ISBLANK(K170),1,K170),0)</f>
        <v/>
      </c>
      <c r="AB174" s="7" t="inlineStr">
        <is>
          <t>^Warhead_CannonHE_Heavy</t>
        </is>
      </c>
    </row>
    <row r="175">
      <c r="B175" s="7" t="inlineStr">
        <is>
          <t xml:space="preserve">  ↳ SteelQuantumTurretRail_EMP</t>
        </is>
      </c>
      <c r="C175" s="7" t="inlineStr">
        <is>
          <t>Armament@Upgrade2</t>
        </is>
      </c>
      <c r="L175" s="6" t="n">
        <v>12000</v>
      </c>
      <c r="M175" s="6" t="n">
        <v>38</v>
      </c>
      <c r="N175" s="6" t="n">
        <v>1</v>
      </c>
      <c r="O175" s="6" t="n"/>
      <c r="P175" s="6" t="n">
        <v>8888</v>
      </c>
      <c r="Q175" s="6" t="n">
        <v>1.25</v>
      </c>
      <c r="R175">
        <f>M175+IF(N175&gt;1,N(O175)*(N175-1),0)</f>
        <v/>
      </c>
      <c r="S175">
        <f>IFERROR(L175*MAX(N175,1)/R175*IF(ISBLANK(K170),1,K170),0)</f>
        <v/>
      </c>
      <c r="AB175" s="7" t="inlineStr">
        <is>
          <t>^Warhead_CannonHE_Heavy</t>
        </is>
      </c>
    </row>
    <row r="176">
      <c r="A176" t="inlineStr">
        <is>
          <t>redalert2mod</t>
        </is>
      </c>
      <c r="B176" t="inlineStr">
        <is>
          <t>steelconsortium_steelbarracks</t>
        </is>
      </c>
      <c r="C176" t="inlineStr">
        <is>
          <t>Steel Barracks</t>
        </is>
      </c>
      <c r="D176" s="6" t="inlineStr">
        <is>
          <t>Building</t>
        </is>
      </c>
      <c r="E176" s="6" t="n">
        <v>200000</v>
      </c>
      <c r="F176" s="6" t="n"/>
      <c r="G176" t="inlineStr">
        <is>
          <t>Wood</t>
        </is>
      </c>
      <c r="H176" s="6" t="n">
        <v>1</v>
      </c>
      <c r="I176" s="6" t="n">
        <v>1</v>
      </c>
      <c r="J176" s="6" t="n">
        <v>1</v>
      </c>
      <c r="K176" s="6" t="n"/>
      <c r="X176" s="6" t="n">
        <v>1000</v>
      </c>
    </row>
    <row r="177">
      <c r="A177" s="4" t="inlineStr">
        <is>
          <t>UPGRADES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t="inlineStr">
        <is>
          <t>redalert2mod</t>
        </is>
      </c>
      <c r="B178" t="inlineStr">
        <is>
          <t>qacst_infiltrated.steel</t>
        </is>
      </c>
      <c r="C178" t="inlineStr">
        <is>
          <t>Stolen Consortium Buildings Plans</t>
        </is>
      </c>
      <c r="D178" s="6" t="inlineStr">
        <is>
          <t>ResearchedUpgrade</t>
        </is>
      </c>
      <c r="E178" s="6" t="n"/>
      <c r="F178" s="6" t="n"/>
      <c r="H178" s="6" t="n">
        <v>1</v>
      </c>
      <c r="I178" s="6" t="n">
        <v>1</v>
      </c>
      <c r="J178" s="6" t="n">
        <v>1</v>
      </c>
      <c r="K178" s="6" t="n"/>
      <c r="X178" s="6" t="n"/>
    </row>
    <row r="179">
      <c r="A179" t="inlineStr">
        <is>
          <t>redalert2mod</t>
        </is>
      </c>
      <c r="B179" t="inlineStr">
        <is>
          <t>steelconsortium_upgrade_empcannon</t>
        </is>
      </c>
      <c r="C179" t="inlineStr">
        <is>
          <t>Unlock Emp Cannon</t>
        </is>
      </c>
      <c r="D179" s="6" t="inlineStr">
        <is>
          <t>ResearchedUpgrade</t>
        </is>
      </c>
      <c r="E179" s="6" t="n"/>
      <c r="F179" s="6" t="n"/>
      <c r="H179" s="6" t="n">
        <v>0.541</v>
      </c>
      <c r="I179" s="6" t="n">
        <v>1</v>
      </c>
      <c r="J179" s="6" t="n">
        <v>1</v>
      </c>
      <c r="K179" s="6" t="n"/>
      <c r="X179" s="6" t="n">
        <v>7500</v>
      </c>
    </row>
    <row r="180">
      <c r="A180" t="inlineStr">
        <is>
          <t>redalert2mod</t>
        </is>
      </c>
      <c r="B180" t="inlineStr">
        <is>
          <t>steelconsortium_upgrade_ferrocretecurtain</t>
        </is>
      </c>
      <c r="C180" t="inlineStr">
        <is>
          <t>Ferrocrete Curtain</t>
        </is>
      </c>
      <c r="D180" s="6" t="inlineStr">
        <is>
          <t>ResearchedUpgrade</t>
        </is>
      </c>
      <c r="E180" s="6" t="n"/>
      <c r="F180" s="6" t="n"/>
      <c r="H180" s="6" t="n">
        <v>0.8048999999999999</v>
      </c>
      <c r="I180" s="6" t="n">
        <v>1</v>
      </c>
      <c r="J180" s="6" t="n">
        <v>1</v>
      </c>
      <c r="K180" s="6" t="n"/>
      <c r="X180" s="6" t="n">
        <v>5000</v>
      </c>
    </row>
    <row r="181">
      <c r="A181" t="inlineStr">
        <is>
          <t>redalert2mod</t>
        </is>
      </c>
      <c r="B181" t="inlineStr">
        <is>
          <t>steelconsortium_upgrade_naniteinfusion</t>
        </is>
      </c>
      <c r="C181" t="inlineStr">
        <is>
          <t>Nanite Infusion</t>
        </is>
      </c>
      <c r="D181" s="6" t="inlineStr">
        <is>
          <t>ResearchedUpgrade</t>
        </is>
      </c>
      <c r="E181" s="6" t="n"/>
      <c r="F181" s="6" t="n"/>
      <c r="H181" s="6" t="n">
        <v>0.8048999999999999</v>
      </c>
      <c r="I181" s="6" t="n">
        <v>1</v>
      </c>
      <c r="J181" s="6" t="n">
        <v>1</v>
      </c>
      <c r="K181" s="6" t="n"/>
      <c r="X181" s="6" t="n">
        <v>5000</v>
      </c>
    </row>
    <row r="182">
      <c r="A182" t="inlineStr">
        <is>
          <t>redalert2mod</t>
        </is>
      </c>
      <c r="B182" t="inlineStr">
        <is>
          <t>steelconsortium_upgrade_pulseweapons</t>
        </is>
      </c>
      <c r="C182" t="inlineStr">
        <is>
          <t>Pulse Weapons</t>
        </is>
      </c>
      <c r="D182" s="6" t="inlineStr">
        <is>
          <t>ResearchedUpgrade</t>
        </is>
      </c>
      <c r="E182" s="6" t="n"/>
      <c r="F182" s="6" t="n"/>
      <c r="H182" s="6" t="n">
        <v>0.8048999999999999</v>
      </c>
      <c r="I182" s="6" t="n">
        <v>1</v>
      </c>
      <c r="J182" s="6" t="n">
        <v>1</v>
      </c>
      <c r="K182" s="6" t="n"/>
      <c r="X182" s="6" t="n">
        <v>5000</v>
      </c>
    </row>
    <row r="183">
      <c r="A183" t="inlineStr">
        <is>
          <t>redalert2mod</t>
        </is>
      </c>
      <c r="B183" t="inlineStr">
        <is>
          <t>steelconsortium_upgrade_quantumweaponpower</t>
        </is>
      </c>
      <c r="C183" t="inlineStr">
        <is>
          <t>Quantum Weapon Power</t>
        </is>
      </c>
      <c r="D183" s="6" t="inlineStr">
        <is>
          <t>ResearchedUpgrade</t>
        </is>
      </c>
      <c r="E183" s="6" t="n"/>
      <c r="F183" s="6" t="n"/>
      <c r="H183" s="6" t="n">
        <v>0.541</v>
      </c>
      <c r="I183" s="6" t="n">
        <v>1</v>
      </c>
      <c r="J183" s="6" t="n">
        <v>1</v>
      </c>
      <c r="K183" s="6" t="n"/>
      <c r="X183" s="6" t="n">
        <v>10000</v>
      </c>
    </row>
    <row r="184">
      <c r="A184" t="inlineStr">
        <is>
          <t>redalert2mod</t>
        </is>
      </c>
      <c r="B184" t="inlineStr">
        <is>
          <t>steelconsortium_upgrade_resonanceammo</t>
        </is>
      </c>
      <c r="C184" t="inlineStr">
        <is>
          <t>Resonance Ammo</t>
        </is>
      </c>
      <c r="D184" s="6" t="inlineStr">
        <is>
          <t>ResearchedUpgrade</t>
        </is>
      </c>
      <c r="E184" s="6" t="n"/>
      <c r="F184" s="6" t="n"/>
      <c r="H184" s="6" t="n">
        <v>0.541</v>
      </c>
      <c r="I184" s="6" t="n">
        <v>1</v>
      </c>
      <c r="J184" s="6" t="n">
        <v>1</v>
      </c>
      <c r="K184" s="6" t="n"/>
      <c r="X184" s="6" t="n">
        <v>7500</v>
      </c>
    </row>
    <row r="185">
      <c r="A185" t="inlineStr">
        <is>
          <t>redalert2mod</t>
        </is>
      </c>
      <c r="B185" t="inlineStr">
        <is>
          <t>steelconsortium_upgrade_scalpeldefenders</t>
        </is>
      </c>
      <c r="C185" t="inlineStr">
        <is>
          <t>Scalpel Defenders</t>
        </is>
      </c>
      <c r="D185" s="6" t="inlineStr">
        <is>
          <t>ResearchedUpgrade</t>
        </is>
      </c>
      <c r="E185" s="6" t="n"/>
      <c r="F185" s="6" t="n"/>
      <c r="H185" s="6" t="n">
        <v>0.541</v>
      </c>
      <c r="I185" s="6" t="n">
        <v>1</v>
      </c>
      <c r="J185" s="6" t="n">
        <v>1</v>
      </c>
      <c r="K185" s="6" t="n"/>
      <c r="X185" s="6" t="n">
        <v>7500</v>
      </c>
    </row>
    <row r="186">
      <c r="A186" t="inlineStr">
        <is>
          <t>redalert2mod</t>
        </is>
      </c>
      <c r="B186" t="inlineStr">
        <is>
          <t>steelconsortium_upgrade_shieldresistance</t>
        </is>
      </c>
      <c r="C186" t="inlineStr">
        <is>
          <t>Shield Resistance</t>
        </is>
      </c>
      <c r="D186" s="6" t="inlineStr">
        <is>
          <t>Upgrade</t>
        </is>
      </c>
      <c r="E186" s="6" t="n"/>
      <c r="F186" s="6" t="n"/>
      <c r="H186" s="6" t="n">
        <v>0.541</v>
      </c>
      <c r="I186" s="6" t="n">
        <v>1</v>
      </c>
      <c r="J186" s="6" t="n">
        <v>1</v>
      </c>
      <c r="K186" s="6" t="n"/>
      <c r="X186" s="6" t="n">
        <v>12500</v>
      </c>
    </row>
    <row r="187">
      <c r="A187" t="inlineStr">
        <is>
          <t>redalert2mod</t>
        </is>
      </c>
      <c r="B187" t="inlineStr">
        <is>
          <t>up_team_shielresistance.steel</t>
        </is>
      </c>
      <c r="C187" t="inlineStr">
        <is>
          <t>Shield Resistance</t>
        </is>
      </c>
      <c r="D187" s="6" t="inlineStr">
        <is>
          <t>ResearchedUpgrade</t>
        </is>
      </c>
      <c r="E187" s="6" t="n"/>
      <c r="F187" s="6" t="n"/>
      <c r="H187" s="6" t="n">
        <v>1</v>
      </c>
      <c r="I187" s="6" t="n">
        <v>1</v>
      </c>
      <c r="J187" s="6" t="n">
        <v>1</v>
      </c>
      <c r="K187" s="6" t="n"/>
      <c r="X187" s="6" t="n"/>
    </row>
    <row r="188">
      <c r="A188" s="4" t="inlineStr">
        <is>
          <t>PROMOTIONS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t="inlineStr">
        <is>
          <t>redalert2mod</t>
        </is>
      </c>
      <c r="B189" t="inlineStr">
        <is>
          <t>steelconsortium_promotion_barracuda</t>
        </is>
      </c>
      <c r="C189" t="inlineStr">
        <is>
          <t>Unlock Barracuda</t>
        </is>
      </c>
      <c r="D189" s="6" t="inlineStr">
        <is>
          <t>PromotionUpgrade</t>
        </is>
      </c>
      <c r="E189" s="6" t="n"/>
      <c r="F189" s="6" t="n"/>
      <c r="H189" s="6" t="n">
        <v>1</v>
      </c>
      <c r="I189" s="6" t="n">
        <v>1</v>
      </c>
      <c r="J189" s="6" t="n">
        <v>1</v>
      </c>
      <c r="K189" s="6" t="n"/>
      <c r="X189" s="6" t="n"/>
    </row>
    <row r="190">
      <c r="A190" t="inlineStr">
        <is>
          <t>redalert2mod</t>
        </is>
      </c>
      <c r="B190" t="inlineStr">
        <is>
          <t>steelconsortium_promotion_cloudbreaker</t>
        </is>
      </c>
      <c r="C190" t="inlineStr">
        <is>
          <t>Unlock Cloud Breaker</t>
        </is>
      </c>
      <c r="D190" s="6" t="inlineStr">
        <is>
          <t>PromotionUpgrade</t>
        </is>
      </c>
      <c r="E190" s="6" t="n"/>
      <c r="F190" s="6" t="n"/>
      <c r="H190" s="6" t="n">
        <v>1</v>
      </c>
      <c r="I190" s="6" t="n">
        <v>1</v>
      </c>
      <c r="J190" s="6" t="n">
        <v>1</v>
      </c>
      <c r="K190" s="6" t="n"/>
      <c r="X190" s="6" t="n"/>
    </row>
    <row r="191">
      <c r="A191" t="inlineStr">
        <is>
          <t>redalert2mod</t>
        </is>
      </c>
      <c r="B191" t="inlineStr">
        <is>
          <t>steelconsortium_promotion_daggerartillery</t>
        </is>
      </c>
      <c r="C191" t="inlineStr">
        <is>
          <t>Dagger Artillery</t>
        </is>
      </c>
      <c r="D191" s="6" t="inlineStr">
        <is>
          <t>PromotionUpgrade</t>
        </is>
      </c>
      <c r="E191" s="6" t="n"/>
      <c r="F191" s="6" t="n"/>
      <c r="H191" s="6" t="n">
        <v>1</v>
      </c>
      <c r="I191" s="6" t="n">
        <v>1</v>
      </c>
      <c r="J191" s="6" t="n">
        <v>1</v>
      </c>
      <c r="K191" s="6" t="n"/>
      <c r="X191" s="6" t="n"/>
    </row>
    <row r="192">
      <c r="A192" t="inlineStr">
        <is>
          <t>redalert2mod</t>
        </is>
      </c>
      <c r="B192" t="inlineStr">
        <is>
          <t>steelconsortium_promotion_defenderbot</t>
        </is>
      </c>
      <c r="C192" t="inlineStr">
        <is>
          <t>Unlock Defender Bot</t>
        </is>
      </c>
      <c r="D192" s="6" t="inlineStr">
        <is>
          <t>PromotionUpgrade</t>
        </is>
      </c>
      <c r="E192" s="6" t="n"/>
      <c r="F192" s="6" t="n"/>
      <c r="H192" s="6" t="n">
        <v>1</v>
      </c>
      <c r="I192" s="6" t="n">
        <v>1</v>
      </c>
      <c r="J192" s="6" t="n">
        <v>1</v>
      </c>
      <c r="K192" s="6" t="n"/>
      <c r="X192" s="6" t="n"/>
    </row>
    <row r="193">
      <c r="A193" t="inlineStr">
        <is>
          <t>redalert2mod</t>
        </is>
      </c>
      <c r="B193" t="inlineStr">
        <is>
          <t>steelconsortium_promotion_katytank</t>
        </is>
      </c>
      <c r="C193" t="inlineStr">
        <is>
          <t>Katy Tank</t>
        </is>
      </c>
      <c r="D193" s="6" t="inlineStr">
        <is>
          <t>PromotionUpgrade</t>
        </is>
      </c>
      <c r="E193" s="6" t="n"/>
      <c r="F193" s="6" t="n"/>
      <c r="H193" s="6" t="n">
        <v>1</v>
      </c>
      <c r="I193" s="6" t="n">
        <v>1</v>
      </c>
      <c r="J193" s="6" t="n">
        <v>1</v>
      </c>
      <c r="K193" s="6" t="n"/>
      <c r="X193" s="6" t="n"/>
    </row>
    <row r="194">
      <c r="A194" t="inlineStr">
        <is>
          <t>redalert2mod</t>
        </is>
      </c>
      <c r="B194" t="inlineStr">
        <is>
          <t>steelconsortium_promotion_quantumtank</t>
        </is>
      </c>
      <c r="C194" t="inlineStr">
        <is>
          <t>Quantum Tank</t>
        </is>
      </c>
      <c r="D194" s="6" t="inlineStr">
        <is>
          <t>PromotionUpgrade</t>
        </is>
      </c>
      <c r="E194" s="6" t="n"/>
      <c r="F194" s="6" t="n"/>
      <c r="H194" s="6" t="n">
        <v>1</v>
      </c>
      <c r="I194" s="6" t="n">
        <v>1</v>
      </c>
      <c r="J194" s="6" t="n">
        <v>1</v>
      </c>
      <c r="K194" s="6" t="n"/>
      <c r="X194" s="6" t="n"/>
    </row>
    <row r="195">
      <c r="A195" t="inlineStr">
        <is>
          <t>redalert2mod</t>
        </is>
      </c>
      <c r="B195" t="inlineStr">
        <is>
          <t>steelconsortium_promotion_stalker</t>
        </is>
      </c>
      <c r="C195" t="inlineStr">
        <is>
          <t>Unlock Stalker</t>
        </is>
      </c>
      <c r="D195" s="6" t="inlineStr">
        <is>
          <t>PromotionUpgrade</t>
        </is>
      </c>
      <c r="E195" s="6" t="n"/>
      <c r="F195" s="6" t="n"/>
      <c r="H195" s="6" t="n">
        <v>1</v>
      </c>
      <c r="I195" s="6" t="n">
        <v>1</v>
      </c>
      <c r="J195" s="6" t="n">
        <v>1</v>
      </c>
      <c r="K195" s="6" t="n"/>
      <c r="X195" s="6" t="n"/>
    </row>
    <row r="196">
      <c r="A196" t="inlineStr">
        <is>
          <t>redalert2mod</t>
        </is>
      </c>
      <c r="B196" t="inlineStr">
        <is>
          <t>steelconsortium_promotion_supportlvl1</t>
        </is>
      </c>
      <c r="C196" t="inlineStr">
        <is>
          <t>Unlock Support LVL1</t>
        </is>
      </c>
      <c r="D196" s="6" t="inlineStr">
        <is>
          <t>PromotionUpgrade</t>
        </is>
      </c>
      <c r="E196" s="6" t="n"/>
      <c r="F196" s="6" t="n"/>
      <c r="H196" s="6" t="n">
        <v>1</v>
      </c>
      <c r="I196" s="6" t="n">
        <v>1</v>
      </c>
      <c r="J196" s="6" t="n">
        <v>1</v>
      </c>
      <c r="K196" s="6" t="n"/>
      <c r="X196" s="6" t="n"/>
    </row>
    <row r="197">
      <c r="A197" t="inlineStr">
        <is>
          <t>redalert2mod</t>
        </is>
      </c>
      <c r="B197" t="inlineStr">
        <is>
          <t>steelconsortium_promotion_supportlvl2</t>
        </is>
      </c>
      <c r="C197" t="inlineStr">
        <is>
          <t>Unlock Support LVL2</t>
        </is>
      </c>
      <c r="D197" s="6" t="inlineStr">
        <is>
          <t>PromotionUpgrade</t>
        </is>
      </c>
      <c r="E197" s="6" t="n"/>
      <c r="F197" s="6" t="n"/>
      <c r="H197" s="6" t="n">
        <v>1</v>
      </c>
      <c r="I197" s="6" t="n">
        <v>1</v>
      </c>
      <c r="J197" s="6" t="n">
        <v>1</v>
      </c>
      <c r="K197" s="6" t="n"/>
      <c r="X197" s="6" t="n"/>
    </row>
    <row r="198">
      <c r="A198" t="inlineStr">
        <is>
          <t>redalert2mod</t>
        </is>
      </c>
      <c r="B198" t="inlineStr">
        <is>
          <t>steelconsortium_promotion_supportlvl3</t>
        </is>
      </c>
      <c r="C198" t="inlineStr">
        <is>
          <t>Unlock Support LVL3</t>
        </is>
      </c>
      <c r="D198" s="6" t="inlineStr">
        <is>
          <t>PromotionUpgrade</t>
        </is>
      </c>
      <c r="E198" s="6" t="n"/>
      <c r="F198" s="6" t="n"/>
      <c r="H198" s="6" t="n">
        <v>1</v>
      </c>
      <c r="I198" s="6" t="n">
        <v>1</v>
      </c>
      <c r="J198" s="6" t="n">
        <v>1</v>
      </c>
      <c r="K198" s="6" t="n"/>
      <c r="X198" s="6" t="n"/>
    </row>
    <row r="199">
      <c r="A199" t="inlineStr">
        <is>
          <t>redalert2mod</t>
        </is>
      </c>
      <c r="B199" t="inlineStr">
        <is>
          <t>steelconsortium_promotion_supportlvl4</t>
        </is>
      </c>
      <c r="C199" t="inlineStr">
        <is>
          <t>Unlock Support LVL4</t>
        </is>
      </c>
      <c r="D199" s="6" t="inlineStr">
        <is>
          <t>PromotionUpgrade</t>
        </is>
      </c>
      <c r="E199" s="6" t="n"/>
      <c r="F199" s="6" t="n"/>
      <c r="H199" s="6" t="n">
        <v>1</v>
      </c>
      <c r="I199" s="6" t="n">
        <v>1</v>
      </c>
      <c r="J199" s="6" t="n">
        <v>1</v>
      </c>
      <c r="K199" s="6" t="n"/>
      <c r="X199" s="6" t="n"/>
    </row>
    <row r="200">
      <c r="A200" t="inlineStr">
        <is>
          <t>redalert2mod</t>
        </is>
      </c>
      <c r="B200" t="inlineStr">
        <is>
          <t>steelconsortium_promotion_whiterabbit</t>
        </is>
      </c>
      <c r="C200" t="inlineStr">
        <is>
          <t>Unlock White Rabbit</t>
        </is>
      </c>
      <c r="D200" s="6" t="inlineStr">
        <is>
          <t>PromotionUpgrade</t>
        </is>
      </c>
      <c r="E200" s="6" t="n"/>
      <c r="F200" s="6" t="n"/>
      <c r="H200" s="6" t="n">
        <v>1</v>
      </c>
      <c r="I200" s="6" t="n">
        <v>1</v>
      </c>
      <c r="J200" s="6" t="n">
        <v>1</v>
      </c>
      <c r="K200" s="6" t="n"/>
      <c r="X2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latinsyndicate_engineer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L4" s="6" t="n"/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L5" s="6" t="n"/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/>
    </row>
    <row r="6">
      <c r="A6" t="inlineStr">
        <is>
          <t>redalert2mod</t>
        </is>
      </c>
      <c r="B6" t="inlineStr">
        <is>
          <t>latinsyndicate_freedomfighter</t>
        </is>
      </c>
      <c r="C6" t="inlineStr">
        <is>
          <t>Freedom Fighter</t>
        </is>
      </c>
      <c r="D6" s="6" t="inlineStr">
        <is>
          <t>HeroInfantry</t>
        </is>
      </c>
      <c r="E6" s="6" t="n">
        <v>77000</v>
      </c>
      <c r="F6" s="6" t="n">
        <v>55</v>
      </c>
      <c r="G6" t="inlineStr">
        <is>
          <t>Heroic</t>
        </is>
      </c>
      <c r="H6" s="6" t="n">
        <v>0.75</v>
      </c>
      <c r="I6" s="6" t="n">
        <v>1</v>
      </c>
      <c r="J6" s="6" t="n">
        <v>1</v>
      </c>
      <c r="K6" s="6" t="n">
        <v>0.005</v>
      </c>
      <c r="P6">
        <f>MAX(P7,P8,P9,P10)</f>
        <v/>
      </c>
      <c r="S6">
        <f>S7+S8+S9+S10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3000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RA2FreedomAK47</t>
        </is>
      </c>
      <c r="C7" s="7" t="inlineStr">
        <is>
          <t>Armament@PRIMARY</t>
        </is>
      </c>
      <c r="L7" s="6" t="n">
        <v>18000</v>
      </c>
      <c r="M7" s="6" t="n">
        <v>42</v>
      </c>
      <c r="N7" s="6" t="n">
        <v>5</v>
      </c>
      <c r="O7" s="6" t="n">
        <v>2</v>
      </c>
      <c r="P7" s="6" t="n">
        <v>7130</v>
      </c>
      <c r="Q7" s="6" t="n">
        <v>1.25</v>
      </c>
      <c r="R7">
        <f>M7+IF(N7&gt;1,N(O7)*(N7-1),0)</f>
        <v/>
      </c>
      <c r="S7">
        <f>IFERROR(L7*MAX(N7,1)/R7*IF(ISBLANK(K6),1,K6),0)</f>
        <v/>
      </c>
      <c r="AB7" s="7" t="inlineStr">
        <is>
          <t>^Warhead_CannonHE_Heavy</t>
        </is>
      </c>
    </row>
    <row r="8">
      <c r="B8" s="7" t="inlineStr">
        <is>
          <t xml:space="preserve">  ↳ RA2FreedomAK47_elite</t>
        </is>
      </c>
      <c r="C8" s="7" t="inlineStr">
        <is>
          <t>Armament@ELITE</t>
        </is>
      </c>
      <c r="L8" s="6" t="n">
        <v>18000</v>
      </c>
      <c r="M8" s="6" t="n">
        <v>42</v>
      </c>
      <c r="N8" s="6" t="n">
        <v>10</v>
      </c>
      <c r="O8" s="6" t="n">
        <v>1</v>
      </c>
      <c r="P8" s="6" t="n">
        <v>8130</v>
      </c>
      <c r="Q8" s="6" t="n">
        <v>1.25</v>
      </c>
      <c r="R8">
        <f>M8+IF(N8&gt;1,N(O8)*(N8-1),0)</f>
        <v/>
      </c>
      <c r="S8">
        <f>IFERROR(L8*MAX(N8,1)/R8*IF(ISBLANK(K6),1,K6),0)</f>
        <v/>
      </c>
      <c r="AB8" s="7" t="inlineStr">
        <is>
          <t>^Warhead_CannonHE_Heavy</t>
        </is>
      </c>
    </row>
    <row r="9">
      <c r="B9" s="7" t="inlineStr">
        <is>
          <t xml:space="preserve">  ↳ RA2FreedomRocket</t>
        </is>
      </c>
      <c r="C9" s="7" t="inlineStr">
        <is>
          <t>Armament@ROCKET</t>
        </is>
      </c>
      <c r="L9" s="6" t="n">
        <v>180000</v>
      </c>
      <c r="M9" s="6" t="n">
        <v>100</v>
      </c>
      <c r="N9" s="6" t="n">
        <v>1</v>
      </c>
      <c r="O9" s="6" t="n"/>
      <c r="P9" s="6" t="n">
        <v>7130</v>
      </c>
      <c r="Q9" s="6" t="n">
        <v>1</v>
      </c>
      <c r="R9">
        <f>M9+IF(N9&gt;1,N(O9)*(N9-1),0)</f>
        <v/>
      </c>
      <c r="S9">
        <f>IFERROR(L9*MAX(N9,1)/R9*IF(ISBLANK(K6),1,K6),0)</f>
        <v/>
      </c>
      <c r="AB9" s="7" t="inlineStr">
        <is>
          <t>^Warhead_MissileAP_Medium</t>
        </is>
      </c>
    </row>
    <row r="10">
      <c r="B10" s="7" t="inlineStr">
        <is>
          <t xml:space="preserve">  ↳ RA2FreedomRocket_elite</t>
        </is>
      </c>
      <c r="C10" s="7" t="inlineStr">
        <is>
          <t>Armament@ROCKETELITE</t>
        </is>
      </c>
      <c r="L10" s="6" t="n">
        <v>360000</v>
      </c>
      <c r="M10" s="6" t="n">
        <v>100</v>
      </c>
      <c r="N10" s="6" t="n">
        <v>1</v>
      </c>
      <c r="O10" s="6" t="n"/>
      <c r="P10" s="6" t="n">
        <v>8130</v>
      </c>
      <c r="Q10" s="6" t="n">
        <v>1</v>
      </c>
      <c r="R10">
        <f>M10+IF(N10&gt;1,N(O10)*(N10-1),0)</f>
        <v/>
      </c>
      <c r="S10">
        <f>IFERROR(L10*MAX(N10,1)/R10*IF(ISBLANK(K6),1,K6),0)</f>
        <v/>
      </c>
      <c r="AB10" s="7" t="inlineStr">
        <is>
          <t>^Warhead_MissileAP_Medium</t>
        </is>
      </c>
    </row>
    <row r="11">
      <c r="B11" s="7" t="inlineStr">
        <is>
          <t xml:space="preserve">  ↳ RA2FreedomAK47</t>
        </is>
      </c>
      <c r="C11" s="7" t="inlineStr">
        <is>
          <t>Armament@GARRISONED</t>
        </is>
      </c>
      <c r="L11" s="6" t="n">
        <v>18000</v>
      </c>
      <c r="M11" s="6" t="n">
        <v>42</v>
      </c>
      <c r="N11" s="6" t="n">
        <v>5</v>
      </c>
      <c r="O11" s="6" t="n">
        <v>2</v>
      </c>
      <c r="P11" s="6" t="n">
        <v>7130</v>
      </c>
      <c r="Q11" s="6" t="n">
        <v>1.25</v>
      </c>
      <c r="R11">
        <f>M11+IF(N11&gt;1,N(O11)*(N11-1),0)</f>
        <v/>
      </c>
      <c r="S11">
        <f>IFERROR(L11*MAX(N11,1)/R11*IF(ISBLANK(K6),1,K6),0)</f>
        <v/>
      </c>
      <c r="AB11" s="7" t="inlineStr">
        <is>
          <t>^Warhead_CannonHE_Heavy</t>
        </is>
      </c>
    </row>
    <row r="12">
      <c r="B12" s="7" t="inlineStr">
        <is>
          <t xml:space="preserve">  ↳ RA2FreedomAK47_elite</t>
        </is>
      </c>
      <c r="C12" s="7" t="inlineStr">
        <is>
          <t>Armament@GARRISONEDELITE</t>
        </is>
      </c>
      <c r="L12" s="6" t="n">
        <v>18000</v>
      </c>
      <c r="M12" s="6" t="n">
        <v>42</v>
      </c>
      <c r="N12" s="6" t="n">
        <v>10</v>
      </c>
      <c r="O12" s="6" t="n">
        <v>1</v>
      </c>
      <c r="P12" s="6" t="n">
        <v>8130</v>
      </c>
      <c r="Q12" s="6" t="n">
        <v>1.25</v>
      </c>
      <c r="R12">
        <f>M12+IF(N12&gt;1,N(O12)*(N12-1),0)</f>
        <v/>
      </c>
      <c r="S12">
        <f>IFERROR(L12*MAX(N12,1)/R12*IF(ISBLANK(K6),1,K6),0)</f>
        <v/>
      </c>
      <c r="AB12" s="7" t="inlineStr">
        <is>
          <t>^Warhead_CannonHE_Heavy</t>
        </is>
      </c>
    </row>
    <row r="13">
      <c r="B13" s="7" t="inlineStr">
        <is>
          <t xml:space="preserve">  ↳ RA2FreedomRocket</t>
        </is>
      </c>
      <c r="C13" s="7" t="inlineStr">
        <is>
          <t>Armament@RocketGARRISONED</t>
        </is>
      </c>
      <c r="L13" s="6" t="n">
        <v>180000</v>
      </c>
      <c r="M13" s="6" t="n">
        <v>100</v>
      </c>
      <c r="N13" s="6" t="n">
        <v>1</v>
      </c>
      <c r="O13" s="6" t="n"/>
      <c r="P13" s="6" t="n">
        <v>7130</v>
      </c>
      <c r="Q13" s="6" t="n">
        <v>1</v>
      </c>
      <c r="R13">
        <f>M13+IF(N13&gt;1,N(O13)*(N13-1),0)</f>
        <v/>
      </c>
      <c r="S13">
        <f>IFERROR(L13*MAX(N13,1)/R13*IF(ISBLANK(K6),1,K6),0)</f>
        <v/>
      </c>
      <c r="AB13" s="7" t="inlineStr">
        <is>
          <t>^Warhead_MissileAP_Medium</t>
        </is>
      </c>
    </row>
    <row r="14">
      <c r="B14" s="7" t="inlineStr">
        <is>
          <t xml:space="preserve">  ↳ RA2FreedomRocket_elite</t>
        </is>
      </c>
      <c r="C14" s="7" t="inlineStr">
        <is>
          <t>Armament@RocketGARRISONEDELITE</t>
        </is>
      </c>
      <c r="L14" s="6" t="n">
        <v>360000</v>
      </c>
      <c r="M14" s="6" t="n">
        <v>100</v>
      </c>
      <c r="N14" s="6" t="n">
        <v>1</v>
      </c>
      <c r="O14" s="6" t="n"/>
      <c r="P14" s="6" t="n">
        <v>8130</v>
      </c>
      <c r="Q14" s="6" t="n">
        <v>1</v>
      </c>
      <c r="R14">
        <f>M14+IF(N14&gt;1,N(O14)*(N14-1),0)</f>
        <v/>
      </c>
      <c r="S14">
        <f>IFERROR(L14*MAX(N14,1)/R14*IF(ISBLANK(K6),1,K6),0)</f>
        <v/>
      </c>
      <c r="AB14" s="7" t="inlineStr">
        <is>
          <t>^Warhead_MissileAP_Medium</t>
        </is>
      </c>
    </row>
    <row r="15">
      <c r="A15" t="inlineStr">
        <is>
          <t>redalert2mod</t>
        </is>
      </c>
      <c r="B15" t="inlineStr">
        <is>
          <t>latinsyndicate_grenademonkey</t>
        </is>
      </c>
      <c r="C15" t="inlineStr">
        <is>
          <t>Grenade Monkey</t>
        </is>
      </c>
      <c r="D15" s="6" t="inlineStr">
        <is>
          <t>GrenadierInfantry</t>
        </is>
      </c>
      <c r="E15" s="6" t="n">
        <v>30000</v>
      </c>
      <c r="F15" s="6" t="n">
        <v>80</v>
      </c>
      <c r="G15" t="inlineStr">
        <is>
          <t>None</t>
        </is>
      </c>
      <c r="H15" s="6" t="n">
        <v>1</v>
      </c>
      <c r="I15" s="6" t="n">
        <v>0.4</v>
      </c>
      <c r="J15" s="6" t="n">
        <v>1</v>
      </c>
      <c r="K15" s="6" t="n"/>
      <c r="P15">
        <f>MAX(P16,P17,P18)</f>
        <v/>
      </c>
      <c r="S15">
        <f>S16+S17+S18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400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LatinMonkeyGrenade1</t>
        </is>
      </c>
      <c r="C16" s="7" t="inlineStr">
        <is>
          <t>Armament@PRIMARY</t>
        </is>
      </c>
      <c r="L16" s="6" t="n">
        <v>30000</v>
      </c>
      <c r="M16" s="6" t="n">
        <v>60</v>
      </c>
      <c r="N16" s="6" t="n">
        <v>1</v>
      </c>
      <c r="O16" s="6" t="n"/>
      <c r="P16" s="6" t="n">
        <v>6500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^Warhead_Demolition_Light, ^Warhead_Concussion_Medium, ^Warhead_CannonHE_Heavy</t>
        </is>
      </c>
    </row>
    <row r="17">
      <c r="B17" s="7" t="inlineStr">
        <is>
          <t xml:space="preserve">  ↳ LatinMonkeyGrenade2</t>
        </is>
      </c>
      <c r="C17" s="7" t="inlineStr">
        <is>
          <t>Armament@SECONDARY</t>
        </is>
      </c>
      <c r="L17" s="6" t="n">
        <v>30000</v>
      </c>
      <c r="M17" s="6" t="n">
        <v>60</v>
      </c>
      <c r="N17" s="6" t="n">
        <v>2</v>
      </c>
      <c r="O17" s="6" t="n">
        <v>3</v>
      </c>
      <c r="P17" s="6" t="n">
        <v>7000</v>
      </c>
      <c r="Q17" s="6" t="n">
        <v>1</v>
      </c>
      <c r="R17">
        <f>M17+IF(N17&gt;1,N(O17)*(N17-1),0)</f>
        <v/>
      </c>
      <c r="S17">
        <f>IFERROR(L17*MAX(N17,1)/R17*IF(ISBLANK(K15),1,K15),0)</f>
        <v/>
      </c>
      <c r="AB17" s="7" t="inlineStr">
        <is>
          <t>^Warhead_Demolition_Light, ^Warhead_Concussion_Medium, ^Warhead_CannonHE_Heavy</t>
        </is>
      </c>
    </row>
    <row r="18">
      <c r="B18" s="7" t="inlineStr">
        <is>
          <t xml:space="preserve">  ↳ LatinMonkeyGrenade3</t>
        </is>
      </c>
      <c r="C18" s="7" t="inlineStr">
        <is>
          <t>Armament@ELITE</t>
        </is>
      </c>
      <c r="L18" s="6" t="n">
        <v>30000</v>
      </c>
      <c r="M18" s="6" t="n">
        <v>60</v>
      </c>
      <c r="N18" s="6" t="n">
        <v>3</v>
      </c>
      <c r="O18" s="6" t="n">
        <v>3</v>
      </c>
      <c r="P18" s="6" t="n">
        <v>7500</v>
      </c>
      <c r="Q18" s="6" t="n">
        <v>1</v>
      </c>
      <c r="R18">
        <f>M18+IF(N18&gt;1,N(O18)*(N18-1),0)</f>
        <v/>
      </c>
      <c r="S18">
        <f>IFERROR(L18*MAX(N18,1)/R18*IF(ISBLANK(K15),1,K15),0)</f>
        <v/>
      </c>
      <c r="AB18" s="7" t="inlineStr">
        <is>
          <t>^Warhead_Demolition_Light, ^Warhead_Concussion_Medium, ^Warhead_CannonHE_Heavy</t>
        </is>
      </c>
    </row>
    <row r="19">
      <c r="B19" s="7" t="inlineStr">
        <is>
          <t xml:space="preserve">  ↳ LatinMonkeyGrenade1</t>
        </is>
      </c>
      <c r="C19" s="7" t="inlineStr">
        <is>
          <t>Armament@GARRISONED</t>
        </is>
      </c>
      <c r="L19" s="6" t="n">
        <v>30000</v>
      </c>
      <c r="M19" s="6" t="n">
        <v>60</v>
      </c>
      <c r="N19" s="6" t="n">
        <v>1</v>
      </c>
      <c r="O19" s="6" t="n"/>
      <c r="P19" s="6" t="n">
        <v>6500</v>
      </c>
      <c r="Q19" s="6" t="n">
        <v>1</v>
      </c>
      <c r="R19">
        <f>M19+IF(N19&gt;1,N(O19)*(N19-1),0)</f>
        <v/>
      </c>
      <c r="S19">
        <f>IFERROR(L19*MAX(N19,1)/R19*IF(ISBLANK(K15),1,K15),0)</f>
        <v/>
      </c>
      <c r="AB19" s="7" t="inlineStr">
        <is>
          <t>^Warhead_Demolition_Light, ^Warhead_Concussion_Medium, ^Warhead_CannonHE_Heavy</t>
        </is>
      </c>
    </row>
    <row r="20">
      <c r="B20" s="7" t="inlineStr">
        <is>
          <t xml:space="preserve">  ↳ LatinMonkeyGrenade2</t>
        </is>
      </c>
      <c r="C20" s="7" t="inlineStr">
        <is>
          <t>Armament@GARRISONEDSECONDARY</t>
        </is>
      </c>
      <c r="L20" s="6" t="n">
        <v>30000</v>
      </c>
      <c r="M20" s="6" t="n">
        <v>60</v>
      </c>
      <c r="N20" s="6" t="n">
        <v>2</v>
      </c>
      <c r="O20" s="6" t="n">
        <v>3</v>
      </c>
      <c r="P20" s="6" t="n">
        <v>7000</v>
      </c>
      <c r="Q20" s="6" t="n">
        <v>1</v>
      </c>
      <c r="R20">
        <f>M20+IF(N20&gt;1,N(O20)*(N20-1),0)</f>
        <v/>
      </c>
      <c r="S20">
        <f>IFERROR(L20*MAX(N20,1)/R20*IF(ISBLANK(K15),1,K15),0)</f>
        <v/>
      </c>
      <c r="AB20" s="7" t="inlineStr">
        <is>
          <t>^Warhead_Demolition_Light, ^Warhead_Concussion_Medium, ^Warhead_CannonHE_Heavy</t>
        </is>
      </c>
    </row>
    <row r="21">
      <c r="B21" s="7" t="inlineStr">
        <is>
          <t xml:space="preserve">  ↳ LatinMonkeyGrenade3</t>
        </is>
      </c>
      <c r="C21" s="7" t="inlineStr">
        <is>
          <t>Armament@GARRISONEDELITE</t>
        </is>
      </c>
      <c r="L21" s="6" t="n">
        <v>30000</v>
      </c>
      <c r="M21" s="6" t="n">
        <v>60</v>
      </c>
      <c r="N21" s="6" t="n">
        <v>3</v>
      </c>
      <c r="O21" s="6" t="n">
        <v>3</v>
      </c>
      <c r="P21" s="6" t="n">
        <v>7500</v>
      </c>
      <c r="Q21" s="6" t="n">
        <v>1</v>
      </c>
      <c r="R21">
        <f>M21+IF(N21&gt;1,N(O21)*(N21-1),0)</f>
        <v/>
      </c>
      <c r="S21">
        <f>IFERROR(L21*MAX(N21,1)/R21*IF(ISBLANK(K15),1,K15),0)</f>
        <v/>
      </c>
      <c r="AB21" s="7" t="inlineStr">
        <is>
          <t>^Warhead_Demolition_Light, ^Warhead_Concussion_Medium, ^Warhead_CannonHE_Heavy</t>
        </is>
      </c>
    </row>
    <row r="22">
      <c r="A22" t="inlineStr">
        <is>
          <t>redalert2mod</t>
        </is>
      </c>
      <c r="B22" t="inlineStr">
        <is>
          <t>latinsyndicate_latinflametrooper</t>
        </is>
      </c>
      <c r="C22" t="inlineStr">
        <is>
          <t>Latin Flame Trooper</t>
        </is>
      </c>
      <c r="D22" s="6" t="inlineStr">
        <is>
          <t>HeavyInfantry</t>
        </is>
      </c>
      <c r="E22" s="6" t="n">
        <v>55000</v>
      </c>
      <c r="F22" s="6" t="n">
        <v>55</v>
      </c>
      <c r="G22" t="inlineStr">
        <is>
          <t>Plate</t>
        </is>
      </c>
      <c r="H22" s="6" t="n">
        <v>0.5077</v>
      </c>
      <c r="I22" s="6" t="n">
        <v>1</v>
      </c>
      <c r="J22" s="6" t="n">
        <v>1</v>
      </c>
      <c r="K22" s="6" t="n"/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500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SyndicateFireballLauncher</t>
        </is>
      </c>
      <c r="C23" s="7" t="inlineStr">
        <is>
          <t>Armament@PRIMARY</t>
        </is>
      </c>
      <c r="L23" s="6" t="n">
        <v>6000</v>
      </c>
      <c r="M23" s="6" t="n">
        <v>44</v>
      </c>
      <c r="N23" s="6" t="n">
        <v>4</v>
      </c>
      <c r="O23" s="6" t="n">
        <v>4</v>
      </c>
      <c r="P23" s="6" t="n">
        <v>5555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^Warhead_Flame_Light, ^Warhead_Flame_Medium, ^Warhead_Flame_Heavy</t>
        </is>
      </c>
    </row>
    <row r="24">
      <c r="B24" s="7" t="inlineStr">
        <is>
          <t xml:space="preserve">  ↳ SyndicateFireballLauncher_elite</t>
        </is>
      </c>
      <c r="C24" s="7" t="inlineStr">
        <is>
          <t>Armament@ELITE</t>
        </is>
      </c>
      <c r="L24" s="6" t="n">
        <v>6000</v>
      </c>
      <c r="M24" s="6" t="n">
        <v>44</v>
      </c>
      <c r="N24" s="6" t="n">
        <v>8</v>
      </c>
      <c r="O24" s="6" t="n">
        <v>3</v>
      </c>
      <c r="P24" s="6" t="n">
        <v>6666</v>
      </c>
      <c r="Q24" s="6" t="n">
        <v>1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^Warhead_Flame_Light, ^Warhead_Flame_Medium, ^Warhead_Flame_Heavy</t>
        </is>
      </c>
    </row>
    <row r="25">
      <c r="B25" s="7" t="inlineStr">
        <is>
          <t xml:space="preserve">  ↳ SyndicateFireballLauncher</t>
        </is>
      </c>
      <c r="C25" s="7" t="inlineStr">
        <is>
          <t>Armament@GARRISONED</t>
        </is>
      </c>
      <c r="L25" s="6" t="n">
        <v>6000</v>
      </c>
      <c r="M25" s="6" t="n">
        <v>44</v>
      </c>
      <c r="N25" s="6" t="n">
        <v>4</v>
      </c>
      <c r="O25" s="6" t="n">
        <v>4</v>
      </c>
      <c r="P25" s="6" t="n">
        <v>5555</v>
      </c>
      <c r="Q25" s="6" t="n">
        <v>1</v>
      </c>
      <c r="R25">
        <f>M25+IF(N25&gt;1,N(O25)*(N25-1),0)</f>
        <v/>
      </c>
      <c r="S25">
        <f>IFERROR(L25*MAX(N25,1)/R25*IF(ISBLANK(K22),1,K22),0)</f>
        <v/>
      </c>
      <c r="AB25" s="7" t="inlineStr">
        <is>
          <t>^Warhead_Flame_Light, ^Warhead_Flame_Medium, ^Warhead_Flame_Heavy</t>
        </is>
      </c>
    </row>
    <row r="26">
      <c r="B26" s="7" t="inlineStr">
        <is>
          <t xml:space="preserve">  ↳ SyndicateFireballLauncher_elite</t>
        </is>
      </c>
      <c r="C26" s="7" t="inlineStr">
        <is>
          <t>Armament@GARRISONEDELITE</t>
        </is>
      </c>
      <c r="L26" s="6" t="n">
        <v>6000</v>
      </c>
      <c r="M26" s="6" t="n">
        <v>44</v>
      </c>
      <c r="N26" s="6" t="n">
        <v>8</v>
      </c>
      <c r="O26" s="6" t="n">
        <v>3</v>
      </c>
      <c r="P26" s="6" t="n">
        <v>6666</v>
      </c>
      <c r="Q26" s="6" t="n">
        <v>1</v>
      </c>
      <c r="R26">
        <f>M26+IF(N26&gt;1,N(O26)*(N26-1),0)</f>
        <v/>
      </c>
      <c r="S26">
        <f>IFERROR(L26*MAX(N26,1)/R26*IF(ISBLANK(K22),1,K22),0)</f>
        <v/>
      </c>
      <c r="AB26" s="7" t="inlineStr">
        <is>
          <t>^Warhead_Flame_Light, ^Warhead_Flame_Medium, ^Warhead_Flame_Heavy</t>
        </is>
      </c>
    </row>
    <row r="27">
      <c r="A27" t="inlineStr">
        <is>
          <t>redalert2mod</t>
        </is>
      </c>
      <c r="B27" t="inlineStr">
        <is>
          <t>latinsyndicate_latinmilitia</t>
        </is>
      </c>
      <c r="C27" t="inlineStr">
        <is>
          <t>Latin Militia</t>
        </is>
      </c>
      <c r="D27" s="6" t="inlineStr">
        <is>
          <t>ScoutInfantry</t>
        </is>
      </c>
      <c r="E27" s="6" t="n">
        <v>25000</v>
      </c>
      <c r="F27" s="6" t="n">
        <v>51</v>
      </c>
      <c r="G27" t="inlineStr">
        <is>
          <t>None</t>
        </is>
      </c>
      <c r="H27" s="6" t="n">
        <v>1</v>
      </c>
      <c r="I27" s="6" t="n">
        <v>1</v>
      </c>
      <c r="J27" s="6" t="n">
        <v>1</v>
      </c>
      <c r="K27" s="6" t="n">
        <v>0.0039</v>
      </c>
      <c r="P27">
        <f>MAX(P28,P29,P30,P31)</f>
        <v/>
      </c>
      <c r="S27">
        <f>S28+S29+S30+S31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(((E27/20000)+(F27/60)+(S27/60)+((P27/5000)*J27))*100/4+(((E27/20000)*(F27/60))+(((P27/5000)*J27)*(S27/60)))*100/2+((E27/20000)*(F27/60)*((P27/5000)*J27)*(S27/60))*100)*(H27/1.0)/3</f>
        <v/>
      </c>
      <c r="X27" s="6" t="n">
        <v>130</v>
      </c>
      <c r="Y27">
        <f>IFERROR(W27-X27,"")</f>
        <v/>
      </c>
      <c r="Z27">
        <f>IFERROR(ABS(Y27)/MAX(X27,1),"")</f>
        <v/>
      </c>
      <c r="AA27">
        <f>IFERROR(ROUND(((3*X27-(((E27/20000)+(F27/60)+(S27/60))*100/4+((E27/20000)*(F27/60))*100/2)*(H27/1.0))/(100/4+((S27/60))*100/2+((E27/20000)*(F27/60)*(S27/60))*100)*(H27/1.0)*5000)/J27,-1),"")</f>
        <v/>
      </c>
    </row>
    <row r="28">
      <c r="B28" s="7" t="inlineStr">
        <is>
          <t xml:space="preserve">  ↳ latinsyndicate_latinmilitia_ak47</t>
        </is>
      </c>
      <c r="C28" s="7" t="inlineStr">
        <is>
          <t>Armament@PRIMARY</t>
        </is>
      </c>
      <c r="L28" s="6" t="n">
        <v>2000</v>
      </c>
      <c r="M28" s="6" t="n">
        <v>22</v>
      </c>
      <c r="N28" s="6" t="n">
        <v>3</v>
      </c>
      <c r="O28" s="6" t="n">
        <v>4</v>
      </c>
      <c r="P28" s="6" t="n">
        <v>5395</v>
      </c>
      <c r="Q28" s="6" t="n">
        <v>0.75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^Warhead_Bullet_Light</t>
        </is>
      </c>
    </row>
    <row r="29">
      <c r="B29" s="7" t="inlineStr">
        <is>
          <t xml:space="preserve">  ↳ latinsyndicate_latinmilitia_ak47_elite</t>
        </is>
      </c>
      <c r="C29" s="7" t="inlineStr">
        <is>
          <t>Armament@ELITE</t>
        </is>
      </c>
      <c r="L29" s="6" t="n">
        <v>2000</v>
      </c>
      <c r="M29" s="6" t="n">
        <v>22</v>
      </c>
      <c r="N29" s="6" t="n">
        <v>6</v>
      </c>
      <c r="O29" s="6" t="n">
        <v>3</v>
      </c>
      <c r="P29" s="6" t="n">
        <v>5500</v>
      </c>
      <c r="Q29" s="6" t="n">
        <v>0.75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^Warhead_Bullet_Light</t>
        </is>
      </c>
    </row>
    <row r="30">
      <c r="B30" s="7" t="inlineStr">
        <is>
          <t xml:space="preserve">  ↳ latinsyndicate_latinmilitia_molotov</t>
        </is>
      </c>
      <c r="C30" s="7" t="inlineStr">
        <is>
          <t>Armament@Molotov</t>
        </is>
      </c>
      <c r="L30" s="6" t="n">
        <v>8000</v>
      </c>
      <c r="M30" s="6" t="n">
        <v>93</v>
      </c>
      <c r="N30" s="6" t="n">
        <v>1</v>
      </c>
      <c r="O30" s="6" t="n"/>
      <c r="P30" s="6" t="n">
        <v>4500</v>
      </c>
      <c r="Q30" s="6" t="n">
        <v>0.75</v>
      </c>
      <c r="R30">
        <f>M30+IF(N30&gt;1,N(O30)*(N30-1),0)</f>
        <v/>
      </c>
      <c r="S30">
        <f>IFERROR(L30*MAX(N30,1)/R30*IF(ISBLANK(K27),1,K27),0)</f>
        <v/>
      </c>
      <c r="AB30" s="7" t="inlineStr">
        <is>
          <t>^Warhead_Flame_Light, ^Warhead_Demolition_Light</t>
        </is>
      </c>
    </row>
    <row r="31">
      <c r="B31" s="7" t="inlineStr">
        <is>
          <t xml:space="preserve">  ↳ latinsyndicate_latinmilitia_molotov_elite</t>
        </is>
      </c>
      <c r="C31" s="7" t="inlineStr">
        <is>
          <t>Armament@MolotovELITE</t>
        </is>
      </c>
      <c r="L31" s="6" t="n">
        <v>8000</v>
      </c>
      <c r="M31" s="6" t="n">
        <v>93</v>
      </c>
      <c r="N31" s="6" t="n">
        <v>2</v>
      </c>
      <c r="O31" s="6" t="n">
        <v>3</v>
      </c>
      <c r="P31" s="6" t="n">
        <v>5500</v>
      </c>
      <c r="Q31" s="6" t="n">
        <v>0.75</v>
      </c>
      <c r="R31">
        <f>M31+IF(N31&gt;1,N(O31)*(N31-1),0)</f>
        <v/>
      </c>
      <c r="S31">
        <f>IFERROR(L31*MAX(N31,1)/R31*IF(ISBLANK(K27),1,K27),0)</f>
        <v/>
      </c>
      <c r="AB31" s="7" t="inlineStr">
        <is>
          <t>^Warhead_Flame_Light, ^Warhead_Demolition_Light</t>
        </is>
      </c>
    </row>
    <row r="32">
      <c r="B32" s="7" t="inlineStr">
        <is>
          <t xml:space="preserve">  ↳ latinsyndicate_latinmilitia_ak47</t>
        </is>
      </c>
      <c r="C32" s="7" t="inlineStr">
        <is>
          <t>Armament@GARRISONED</t>
        </is>
      </c>
      <c r="L32" s="6" t="n">
        <v>2000</v>
      </c>
      <c r="M32" s="6" t="n">
        <v>22</v>
      </c>
      <c r="N32" s="6" t="n">
        <v>3</v>
      </c>
      <c r="O32" s="6" t="n">
        <v>4</v>
      </c>
      <c r="P32" s="6" t="n">
        <v>5395</v>
      </c>
      <c r="Q32" s="6" t="n">
        <v>0.75</v>
      </c>
      <c r="R32">
        <f>M32+IF(N32&gt;1,N(O32)*(N32-1),0)</f>
        <v/>
      </c>
      <c r="S32">
        <f>IFERROR(L32*MAX(N32,1)/R32*IF(ISBLANK(K27),1,K27),0)</f>
        <v/>
      </c>
      <c r="AB32" s="7" t="inlineStr">
        <is>
          <t>^Warhead_Bullet_Light</t>
        </is>
      </c>
    </row>
    <row r="33">
      <c r="B33" s="7" t="inlineStr">
        <is>
          <t xml:space="preserve">  ↳ latinsyndicate_latinmilitia_ak47_elite</t>
        </is>
      </c>
      <c r="C33" s="7" t="inlineStr">
        <is>
          <t>Armament@GARRISONEDELITE</t>
        </is>
      </c>
      <c r="L33" s="6" t="n">
        <v>2000</v>
      </c>
      <c r="M33" s="6" t="n">
        <v>22</v>
      </c>
      <c r="N33" s="6" t="n">
        <v>6</v>
      </c>
      <c r="O33" s="6" t="n">
        <v>3</v>
      </c>
      <c r="P33" s="6" t="n">
        <v>5500</v>
      </c>
      <c r="Q33" s="6" t="n">
        <v>0.75</v>
      </c>
      <c r="R33">
        <f>M33+IF(N33&gt;1,N(O33)*(N33-1),0)</f>
        <v/>
      </c>
      <c r="S33">
        <f>IFERROR(L33*MAX(N33,1)/R33*IF(ISBLANK(K27),1,K27),0)</f>
        <v/>
      </c>
      <c r="AB33" s="7" t="inlineStr">
        <is>
          <t>^Warhead_Bullet_Light</t>
        </is>
      </c>
    </row>
    <row r="34">
      <c r="B34" s="7" t="inlineStr">
        <is>
          <t xml:space="preserve">  ↳ latinsyndicate_latinmilitia_molotov</t>
        </is>
      </c>
      <c r="C34" s="7" t="inlineStr">
        <is>
          <t>Armament@MolotovGARRISONED</t>
        </is>
      </c>
      <c r="L34" s="6" t="n">
        <v>8000</v>
      </c>
      <c r="M34" s="6" t="n">
        <v>93</v>
      </c>
      <c r="N34" s="6" t="n">
        <v>1</v>
      </c>
      <c r="O34" s="6" t="n"/>
      <c r="P34" s="6" t="n">
        <v>4500</v>
      </c>
      <c r="Q34" s="6" t="n">
        <v>0.75</v>
      </c>
      <c r="R34">
        <f>M34+IF(N34&gt;1,N(O34)*(N34-1),0)</f>
        <v/>
      </c>
      <c r="S34">
        <f>IFERROR(L34*MAX(N34,1)/R34*IF(ISBLANK(K27),1,K27),0)</f>
        <v/>
      </c>
      <c r="AB34" s="7" t="inlineStr">
        <is>
          <t>^Warhead_Flame_Light, ^Warhead_Demolition_Light</t>
        </is>
      </c>
    </row>
    <row r="35">
      <c r="B35" s="7" t="inlineStr">
        <is>
          <t xml:space="preserve">  ↳ latinsyndicate_latinmilitia_molotov_elite</t>
        </is>
      </c>
      <c r="C35" s="7" t="inlineStr">
        <is>
          <t>Armament@MolotovGARRISONEDELITE</t>
        </is>
      </c>
      <c r="L35" s="6" t="n">
        <v>8000</v>
      </c>
      <c r="M35" s="6" t="n">
        <v>93</v>
      </c>
      <c r="N35" s="6" t="n">
        <v>2</v>
      </c>
      <c r="O35" s="6" t="n">
        <v>3</v>
      </c>
      <c r="P35" s="6" t="n">
        <v>5500</v>
      </c>
      <c r="Q35" s="6" t="n">
        <v>0.75</v>
      </c>
      <c r="R35">
        <f>M35+IF(N35&gt;1,N(O35)*(N35-1),0)</f>
        <v/>
      </c>
      <c r="S35">
        <f>IFERROR(L35*MAX(N35,1)/R35*IF(ISBLANK(K27),1,K27),0)</f>
        <v/>
      </c>
      <c r="AB35" s="7" t="inlineStr">
        <is>
          <t>^Warhead_Flame_Light, ^Warhead_Demolition_Light</t>
        </is>
      </c>
    </row>
    <row r="36">
      <c r="A36" t="inlineStr">
        <is>
          <t>redalert2mod</t>
        </is>
      </c>
      <c r="B36" t="inlineStr">
        <is>
          <t>latinsyndicate_narco</t>
        </is>
      </c>
      <c r="C36" t="inlineStr">
        <is>
          <t>Narco</t>
        </is>
      </c>
      <c r="D36" s="6" t="inlineStr">
        <is>
          <t>SniperInfantry</t>
        </is>
      </c>
      <c r="E36" s="6" t="n">
        <v>28000</v>
      </c>
      <c r="F36" s="6" t="n">
        <v>70</v>
      </c>
      <c r="G36" t="inlineStr">
        <is>
          <t>Flak</t>
        </is>
      </c>
      <c r="H36" s="6" t="n">
        <v>0.75</v>
      </c>
      <c r="I36" s="6" t="n">
        <v>0.75</v>
      </c>
      <c r="J36" s="6" t="n">
        <v>1</v>
      </c>
      <c r="K36" s="6" t="n">
        <v>0.0105</v>
      </c>
      <c r="P36">
        <f>MAX(P37,P38,P39,P40)</f>
        <v/>
      </c>
      <c r="S36">
        <f>S37+S38+S39+S40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(((E36/5000)+(F36/50)+(S36/0)+((P36/0)*J36))*500/4+(((E36/5000)*(F36/50))+(((P36/0)*J36)*(S36/0)))*500/2+((E36/5000)*(F36/50)*((P36/0)*J36)*(S36/0))*500)*(H36/1.0)/3</f>
        <v/>
      </c>
      <c r="X36" s="6" t="n">
        <v>756</v>
      </c>
      <c r="Y36">
        <f>IFERROR(W36-X36,"")</f>
        <v/>
      </c>
      <c r="Z36">
        <f>IFERROR(ABS(Y36)/MAX(X36,1),"")</f>
        <v/>
      </c>
      <c r="AA36">
        <f>IFERROR(ROUND(((3*X36-(((E36/5000)+(F36/50)+(S36/0))*500/4+((E36/5000)*(F36/50))*500/2)*(H36/1.0))/(500/4+((S36/0))*500/2+((E36/5000)*(F36/50)*(S36/0))*500)*(H36/1.0)*0)/J36,-1),"")</f>
        <v/>
      </c>
    </row>
    <row r="37">
      <c r="B37" s="7" t="inlineStr">
        <is>
          <t xml:space="preserve">  ↳ NarcoGrenade</t>
        </is>
      </c>
      <c r="C37" s="7" t="inlineStr">
        <is>
          <t>Armament@Grenade</t>
        </is>
      </c>
      <c r="L37" s="6" t="n">
        <v>70000</v>
      </c>
      <c r="M37" s="6" t="n">
        <v>77</v>
      </c>
      <c r="N37" s="6" t="n">
        <v>1</v>
      </c>
      <c r="O37" s="6" t="n"/>
      <c r="P37" s="6" t="n">
        <v>5701</v>
      </c>
      <c r="Q37" s="6" t="n">
        <v>0.75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^Warhead_Demolition_Light</t>
        </is>
      </c>
    </row>
    <row r="38">
      <c r="B38" s="7" t="inlineStr">
        <is>
          <t xml:space="preserve">  ↳ NarcoGrenade_elite</t>
        </is>
      </c>
      <c r="C38" s="7" t="inlineStr">
        <is>
          <t>Armament@GrenadeELITE</t>
        </is>
      </c>
      <c r="L38" s="6" t="n">
        <v>70000</v>
      </c>
      <c r="M38" s="6" t="n">
        <v>77</v>
      </c>
      <c r="N38" s="6" t="n">
        <v>2</v>
      </c>
      <c r="O38" s="6" t="n">
        <v>3</v>
      </c>
      <c r="P38" s="6" t="n">
        <v>7300</v>
      </c>
      <c r="Q38" s="6" t="n">
        <v>0.75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^Warhead_Demolition_Light</t>
        </is>
      </c>
    </row>
    <row r="39">
      <c r="B39" s="7" t="inlineStr">
        <is>
          <t xml:space="preserve">  ↳ RA2NarcoPistol</t>
        </is>
      </c>
      <c r="C39" s="7" t="inlineStr">
        <is>
          <t>Armament@Pistol</t>
        </is>
      </c>
      <c r="L39" s="6" t="n">
        <v>20000</v>
      </c>
      <c r="M39" s="6" t="n">
        <v>22</v>
      </c>
      <c r="N39" s="6" t="n">
        <v>1</v>
      </c>
      <c r="O39" s="6" t="n"/>
      <c r="P39" s="6" t="n">
        <v>6300</v>
      </c>
      <c r="Q39" s="6" t="n">
        <v>0.75</v>
      </c>
      <c r="R39">
        <f>M39+IF(N39&gt;1,N(O39)*(N39-1),0)</f>
        <v/>
      </c>
      <c r="S39">
        <f>IFERROR(L39*MAX(N39,1)/R39*IF(ISBLANK(K36),1,K36),0)</f>
        <v/>
      </c>
      <c r="AB39" s="7" t="inlineStr">
        <is>
          <t>^Warhead_Sniper_Light</t>
        </is>
      </c>
    </row>
    <row r="40">
      <c r="B40" s="7" t="inlineStr">
        <is>
          <t xml:space="preserve">  ↳ RA2NarcoPistols_elite</t>
        </is>
      </c>
      <c r="C40" s="7" t="inlineStr">
        <is>
          <t>Armament@PistolELITE</t>
        </is>
      </c>
      <c r="L40" s="6" t="n">
        <v>20000</v>
      </c>
      <c r="M40" s="6" t="n">
        <v>22</v>
      </c>
      <c r="N40" s="6" t="n">
        <v>2</v>
      </c>
      <c r="O40" s="6" t="n">
        <v>3</v>
      </c>
      <c r="P40" s="6" t="n">
        <v>7300</v>
      </c>
      <c r="Q40" s="6" t="n">
        <v>0.75</v>
      </c>
      <c r="R40">
        <f>M40+IF(N40&gt;1,N(O40)*(N40-1),0)</f>
        <v/>
      </c>
      <c r="S40">
        <f>IFERROR(L40*MAX(N40,1)/R40*IF(ISBLANK(K36),1,K36),0)</f>
        <v/>
      </c>
      <c r="AB40" s="7" t="inlineStr">
        <is>
          <t>^Warhead_Sniper_Light</t>
        </is>
      </c>
    </row>
    <row r="41">
      <c r="B41" s="7" t="inlineStr">
        <is>
          <t xml:space="preserve">  ↳ NarcoGrenade</t>
        </is>
      </c>
      <c r="C41" s="7" t="inlineStr">
        <is>
          <t>Armament@GrenadeGARRISONED</t>
        </is>
      </c>
      <c r="L41" s="6" t="n">
        <v>70000</v>
      </c>
      <c r="M41" s="6" t="n">
        <v>77</v>
      </c>
      <c r="N41" s="6" t="n">
        <v>1</v>
      </c>
      <c r="O41" s="6" t="n"/>
      <c r="P41" s="6" t="n">
        <v>5701</v>
      </c>
      <c r="Q41" s="6" t="n">
        <v>0.75</v>
      </c>
      <c r="R41">
        <f>M41+IF(N41&gt;1,N(O41)*(N41-1),0)</f>
        <v/>
      </c>
      <c r="S41">
        <f>IFERROR(L41*MAX(N41,1)/R41*IF(ISBLANK(K36),1,K36),0)</f>
        <v/>
      </c>
      <c r="AB41" s="7" t="inlineStr">
        <is>
          <t>^Warhead_Demolition_Light</t>
        </is>
      </c>
    </row>
    <row r="42">
      <c r="B42" s="7" t="inlineStr">
        <is>
          <t xml:space="preserve">  ↳ NarcoGrenade_elite</t>
        </is>
      </c>
      <c r="C42" s="7" t="inlineStr">
        <is>
          <t>Armament@GrenadeGARRISONEDELITE</t>
        </is>
      </c>
      <c r="L42" s="6" t="n">
        <v>70000</v>
      </c>
      <c r="M42" s="6" t="n">
        <v>77</v>
      </c>
      <c r="N42" s="6" t="n">
        <v>2</v>
      </c>
      <c r="O42" s="6" t="n">
        <v>3</v>
      </c>
      <c r="P42" s="6" t="n">
        <v>7300</v>
      </c>
      <c r="Q42" s="6" t="n">
        <v>0.75</v>
      </c>
      <c r="R42">
        <f>M42+IF(N42&gt;1,N(O42)*(N42-1),0)</f>
        <v/>
      </c>
      <c r="S42">
        <f>IFERROR(L42*MAX(N42,1)/R42*IF(ISBLANK(K36),1,K36),0)</f>
        <v/>
      </c>
      <c r="AB42" s="7" t="inlineStr">
        <is>
          <t>^Warhead_Demolition_Light</t>
        </is>
      </c>
    </row>
    <row r="43">
      <c r="B43" s="7" t="inlineStr">
        <is>
          <t xml:space="preserve">  ↳ RA2NarcoPistol</t>
        </is>
      </c>
      <c r="C43" s="7" t="inlineStr">
        <is>
          <t>Armament@PistolGARRISONED</t>
        </is>
      </c>
      <c r="L43" s="6" t="n">
        <v>20000</v>
      </c>
      <c r="M43" s="6" t="n">
        <v>22</v>
      </c>
      <c r="N43" s="6" t="n">
        <v>1</v>
      </c>
      <c r="O43" s="6" t="n"/>
      <c r="P43" s="6" t="n">
        <v>6300</v>
      </c>
      <c r="Q43" s="6" t="n">
        <v>0.75</v>
      </c>
      <c r="R43">
        <f>M43+IF(N43&gt;1,N(O43)*(N43-1),0)</f>
        <v/>
      </c>
      <c r="S43">
        <f>IFERROR(L43*MAX(N43,1)/R43*IF(ISBLANK(K36),1,K36),0)</f>
        <v/>
      </c>
      <c r="AB43" s="7" t="inlineStr">
        <is>
          <t>^Warhead_Sniper_Light</t>
        </is>
      </c>
    </row>
    <row r="44">
      <c r="B44" s="7" t="inlineStr">
        <is>
          <t xml:space="preserve">  ↳ RA2NarcoPistols_elite</t>
        </is>
      </c>
      <c r="C44" s="7" t="inlineStr">
        <is>
          <t>Armament@PistolGARRISONEDELITE</t>
        </is>
      </c>
      <c r="L44" s="6" t="n">
        <v>20000</v>
      </c>
      <c r="M44" s="6" t="n">
        <v>22</v>
      </c>
      <c r="N44" s="6" t="n">
        <v>2</v>
      </c>
      <c r="O44" s="6" t="n">
        <v>3</v>
      </c>
      <c r="P44" s="6" t="n">
        <v>7300</v>
      </c>
      <c r="Q44" s="6" t="n">
        <v>0.75</v>
      </c>
      <c r="R44">
        <f>M44+IF(N44&gt;1,N(O44)*(N44-1),0)</f>
        <v/>
      </c>
      <c r="S44">
        <f>IFERROR(L44*MAX(N44,1)/R44*IF(ISBLANK(K36),1,K36),0)</f>
        <v/>
      </c>
      <c r="AB44" s="7" t="inlineStr">
        <is>
          <t>^Warhead_Sniper_Light</t>
        </is>
      </c>
    </row>
    <row r="45">
      <c r="A45" t="inlineStr">
        <is>
          <t>redalert2mod</t>
        </is>
      </c>
      <c r="B45" t="inlineStr">
        <is>
          <t>latinsyndicate_tankkiller</t>
        </is>
      </c>
      <c r="C45" t="inlineStr">
        <is>
          <t>Latin Tank Killer</t>
        </is>
      </c>
      <c r="D45" s="6" t="inlineStr">
        <is>
          <t>AntiTankAntiAirInfantry</t>
        </is>
      </c>
      <c r="E45" s="6" t="n">
        <v>13000</v>
      </c>
      <c r="F45" s="6" t="n">
        <v>53</v>
      </c>
      <c r="G45" t="inlineStr">
        <is>
          <t>Flak</t>
        </is>
      </c>
      <c r="H45" s="6" t="n">
        <v>1</v>
      </c>
      <c r="I45" s="6" t="n">
        <v>1</v>
      </c>
      <c r="J45" s="6" t="n">
        <v>1</v>
      </c>
      <c r="K45" s="6" t="n"/>
      <c r="P45">
        <f>MAX(P46,P48)</f>
        <v/>
      </c>
      <c r="S45">
        <f>S46+S48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270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LatinTankKillerRocket</t>
        </is>
      </c>
      <c r="C46" s="7" t="inlineStr">
        <is>
          <t>Armament@PRIMARY</t>
        </is>
      </c>
      <c r="L46" s="6" t="n">
        <v>26000</v>
      </c>
      <c r="M46" s="6" t="n">
        <v>66</v>
      </c>
      <c r="N46" s="6" t="n">
        <v>1</v>
      </c>
      <c r="O46" s="6" t="n"/>
      <c r="P46" s="6" t="n">
        <v>6666</v>
      </c>
      <c r="Q46" s="6" t="n">
        <v>0.75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^Warhead_MissileAP_Light</t>
        </is>
      </c>
    </row>
    <row r="47">
      <c r="B47" s="7" t="inlineStr">
        <is>
          <t xml:space="preserve">  ↳ LatinTankKillerRocket</t>
        </is>
      </c>
      <c r="C47" s="7" t="inlineStr">
        <is>
          <t>Armament@GARRISONED</t>
        </is>
      </c>
      <c r="L47" s="6" t="n">
        <v>26000</v>
      </c>
      <c r="M47" s="6" t="n">
        <v>66</v>
      </c>
      <c r="N47" s="6" t="n">
        <v>1</v>
      </c>
      <c r="O47" s="6" t="n"/>
      <c r="P47" s="6" t="n">
        <v>6666</v>
      </c>
      <c r="Q47" s="6" t="n">
        <v>0.75</v>
      </c>
      <c r="R47">
        <f>M47+IF(N47&gt;1,N(O47)*(N47-1),0)</f>
        <v/>
      </c>
      <c r="S47">
        <f>IFERROR(L47*MAX(N47,1)/R47*IF(ISBLANK(K45),1,K45),0)</f>
        <v/>
      </c>
      <c r="AB47" s="7" t="inlineStr">
        <is>
          <t>^Warhead_MissileAP_Light</t>
        </is>
      </c>
    </row>
    <row r="48">
      <c r="B48" s="7" t="inlineStr">
        <is>
          <t xml:space="preserve">  ↳ LatinTankKillerRocket_elite</t>
        </is>
      </c>
      <c r="C48" s="7" t="inlineStr">
        <is>
          <t>Armament@PRIMARYE</t>
        </is>
      </c>
      <c r="L48" s="6" t="n">
        <v>52000</v>
      </c>
      <c r="M48" s="6" t="n">
        <v>66</v>
      </c>
      <c r="N48" s="6" t="n">
        <v>1</v>
      </c>
      <c r="O48" s="6" t="n"/>
      <c r="P48" s="6" t="n">
        <v>7777</v>
      </c>
      <c r="Q48" s="6" t="n">
        <v>0.75</v>
      </c>
      <c r="R48">
        <f>M48+IF(N48&gt;1,N(O48)*(N48-1),0)</f>
        <v/>
      </c>
      <c r="S48">
        <f>IFERROR(L48*MAX(N48,1)/R48*IF(ISBLANK(K45),1,K45),0)</f>
        <v/>
      </c>
      <c r="AB48" s="7" t="inlineStr">
        <is>
          <t>^Warhead_MissileAP_Light</t>
        </is>
      </c>
    </row>
    <row r="49">
      <c r="B49" s="7" t="inlineStr">
        <is>
          <t xml:space="preserve">  ↳ LatinTankKillerRocket_elite</t>
        </is>
      </c>
      <c r="C49" s="7" t="inlineStr">
        <is>
          <t>Armament@GARRISONEDE</t>
        </is>
      </c>
      <c r="L49" s="6" t="n">
        <v>52000</v>
      </c>
      <c r="M49" s="6" t="n">
        <v>66</v>
      </c>
      <c r="N49" s="6" t="n">
        <v>1</v>
      </c>
      <c r="O49" s="6" t="n"/>
      <c r="P49" s="6" t="n">
        <v>7777</v>
      </c>
      <c r="Q49" s="6" t="n">
        <v>0.75</v>
      </c>
      <c r="R49">
        <f>M49+IF(N49&gt;1,N(O49)*(N49-1),0)</f>
        <v/>
      </c>
      <c r="S49">
        <f>IFERROR(L49*MAX(N49,1)/R49*IF(ISBLANK(K45),1,K45),0)</f>
        <v/>
      </c>
      <c r="AB49" s="7" t="inlineStr">
        <is>
          <t>^Warhead_MissileAP_Light</t>
        </is>
      </c>
    </row>
    <row r="50">
      <c r="A50" t="inlineStr">
        <is>
          <t>redalert2mod</t>
        </is>
      </c>
      <c r="B50" t="inlineStr">
        <is>
          <t>latinsyndicate_terrorist</t>
        </is>
      </c>
      <c r="C50" t="inlineStr">
        <is>
          <t>Terrorist</t>
        </is>
      </c>
      <c r="D50" s="6" t="inlineStr">
        <is>
          <t>MeleeInfantry</t>
        </is>
      </c>
      <c r="E50" s="6" t="n">
        <v>15000</v>
      </c>
      <c r="F50" s="6" t="n">
        <v>75</v>
      </c>
      <c r="G50" t="inlineStr">
        <is>
          <t>Plate</t>
        </is>
      </c>
      <c r="H50" s="6" t="n">
        <v>1</v>
      </c>
      <c r="I50" s="6" t="n">
        <v>1</v>
      </c>
      <c r="J50" s="6" t="n">
        <v>1</v>
      </c>
      <c r="K50" s="6" t="n">
        <v>0.02</v>
      </c>
      <c r="X50" s="6" t="n">
        <v>200</v>
      </c>
    </row>
    <row r="51">
      <c r="B51" s="7" t="inlineStr">
        <is>
          <t xml:space="preserve">  ↳ SuicideBomberTargeting</t>
        </is>
      </c>
      <c r="C51" s="7" t="inlineStr">
        <is>
          <t>Armament@PRIMARY</t>
        </is>
      </c>
      <c r="L51" s="6" t="n"/>
      <c r="M51" s="6" t="n"/>
      <c r="N51" s="6" t="n">
        <v>1</v>
      </c>
      <c r="O51" s="6" t="n"/>
      <c r="P51" s="6" t="n">
        <v>1536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DemoTruckTargeting</t>
        </is>
      </c>
    </row>
    <row r="52">
      <c r="A52" s="4" t="inlineStr">
        <is>
          <t>VEHICLES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>
      <c r="A53" t="inlineStr">
        <is>
          <t>redalert2mod</t>
        </is>
      </c>
      <c r="B53" t="inlineStr">
        <is>
          <t>latinsyndicate_burrito</t>
        </is>
      </c>
      <c r="C53" t="inlineStr">
        <is>
          <t>Burrito</t>
        </is>
      </c>
      <c r="D53" s="6" t="inlineStr">
        <is>
          <t>Artillery</t>
        </is>
      </c>
      <c r="E53" s="6" t="n">
        <v>35000</v>
      </c>
      <c r="F53" s="6" t="n">
        <v>80</v>
      </c>
      <c r="G53" t="inlineStr">
        <is>
          <t>Light</t>
        </is>
      </c>
      <c r="H53" s="6" t="n">
        <v>0.75</v>
      </c>
      <c r="I53" s="6" t="n">
        <v>0.5</v>
      </c>
      <c r="J53" s="6" t="n">
        <v>1</v>
      </c>
      <c r="K53" s="6" t="n">
        <v>0.0125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(((E53/60000)+(F53/75)+(S53/500)+((P53/15000)*J53))*500/4+(((E53/60000)*(F53/75))+(((P53/15000)*J53)*(S53/500)))*500/2+((E53/60000)*(F53/75)*((P53/15000)*J53)*(S53/500))*500)*(H53/1.0)/3</f>
        <v/>
      </c>
      <c r="X53" s="6" t="n">
        <v>1800</v>
      </c>
      <c r="Y53">
        <f>IFERROR(W53-X53,"")</f>
        <v/>
      </c>
      <c r="Z53">
        <f>IFERROR(ABS(Y53)/MAX(X53,1),"")</f>
        <v/>
      </c>
      <c r="AA53">
        <f>IFERROR(ROUND(((3*X53-(((E53/60000)+(F53/75)+(S53/500))*500/4+((E53/60000)*(F53/75))*500/2)*(H53/1.0))/(500/4+((S53/500))*500/2+((E53/60000)*(F53/75)*(S53/500))*500)*(H53/1.0)*15000)/J53,-1),"")</f>
        <v/>
      </c>
    </row>
    <row r="54">
      <c r="B54" s="7" t="inlineStr">
        <is>
          <t xml:space="preserve">  ↳ RA2RBurritoRocket</t>
        </is>
      </c>
      <c r="C54" s="7" t="inlineStr">
        <is>
          <t>Armament</t>
        </is>
      </c>
      <c r="L54" s="6" t="n">
        <v>20000</v>
      </c>
      <c r="M54" s="6" t="n">
        <v>122</v>
      </c>
      <c r="N54" s="6" t="n">
        <v>8</v>
      </c>
      <c r="O54" s="6" t="n">
        <v>4</v>
      </c>
      <c r="P54" s="6" t="n">
        <v>12000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^Warhead_Demolition_Light, ^Warhead_MissileAP_Heavy</t>
        </is>
      </c>
    </row>
    <row r="55">
      <c r="B55" s="7" t="inlineStr">
        <is>
          <t xml:space="preserve">  ↳ RA2RBurritoRocket</t>
        </is>
      </c>
      <c r="C55" s="7" t="inlineStr">
        <is>
          <t>Armament@PRIMARYELITE</t>
        </is>
      </c>
      <c r="L55" s="6" t="n">
        <v>20000</v>
      </c>
      <c r="M55" s="6" t="n">
        <v>122</v>
      </c>
      <c r="N55" s="6" t="n">
        <v>8</v>
      </c>
      <c r="O55" s="6" t="n">
        <v>4</v>
      </c>
      <c r="P55" s="6" t="n">
        <v>12000</v>
      </c>
      <c r="Q55" s="6" t="n">
        <v>1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^Warhead_Demolition_Light, ^Warhead_MissileAP_Heavy</t>
        </is>
      </c>
    </row>
    <row r="56">
      <c r="A56" t="inlineStr">
        <is>
          <t>redalert2mod</t>
        </is>
      </c>
      <c r="B56" t="inlineStr">
        <is>
          <t>latinsyndicate_carteltruck</t>
        </is>
      </c>
      <c r="C56" t="inlineStr">
        <is>
          <t>Cartel Truck</t>
        </is>
      </c>
      <c r="D56" s="6" t="inlineStr">
        <is>
          <t>LineBreaker</t>
        </is>
      </c>
      <c r="E56" s="6" t="n">
        <v>167500</v>
      </c>
      <c r="F56" s="6" t="n">
        <v>70</v>
      </c>
      <c r="G56" t="inlineStr">
        <is>
          <t>Superheavy</t>
        </is>
      </c>
      <c r="H56" s="6" t="n">
        <v>0.75</v>
      </c>
      <c r="I56" s="6" t="n">
        <v>1.25</v>
      </c>
      <c r="J56" s="6" t="n">
        <v>1</v>
      </c>
      <c r="K56" s="6" t="n"/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(((E56/750000)+(F56/80)+(S56/1600)+((P56/2500)*J56))*1600/4+(((E56/750000)*(F56/80))+(((P56/2500)*J56)*(S56/1600)))*1600/2+((E56/750000)*(F56/80)*((P56/2500)*J56)*(S56/1600))*1600)*(H56/1.0)/3</f>
        <v/>
      </c>
      <c r="X56" s="6" t="n">
        <v>6000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RA2Narco60mm</t>
        </is>
      </c>
      <c r="C57" s="7" t="inlineStr">
        <is>
          <t>Armament@AG</t>
        </is>
      </c>
      <c r="L57" s="6" t="n">
        <v>16000</v>
      </c>
      <c r="M57" s="6" t="n">
        <v>20</v>
      </c>
      <c r="N57" s="6" t="n">
        <v>1</v>
      </c>
      <c r="O57" s="6" t="n"/>
      <c r="P57" s="6" t="n">
        <v>5800</v>
      </c>
      <c r="Q57" s="6" t="n">
        <v>1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^Warhead_CannonHE_Medium</t>
        </is>
      </c>
    </row>
    <row r="58">
      <c r="B58" s="7" t="inlineStr">
        <is>
          <t xml:space="preserve">  ↳ RA2Narco60mm_elite</t>
        </is>
      </c>
      <c r="C58" s="7" t="inlineStr">
        <is>
          <t>Armament@AGE</t>
        </is>
      </c>
      <c r="L58" s="6" t="n">
        <v>16000</v>
      </c>
      <c r="M58" s="6" t="n">
        <v>20</v>
      </c>
      <c r="N58" s="6" t="n">
        <v>2</v>
      </c>
      <c r="O58" s="6" t="n">
        <v>3</v>
      </c>
      <c r="P58" s="6" t="n">
        <v>6800</v>
      </c>
      <c r="Q58" s="6" t="n">
        <v>1</v>
      </c>
      <c r="R58">
        <f>M58+IF(N58&gt;1,N(O58)*(N58-1),0)</f>
        <v/>
      </c>
      <c r="S58">
        <f>IFERROR(L58*MAX(N58,1)/R58*IF(ISBLANK(K56),1,K56),0)</f>
        <v/>
      </c>
      <c r="AB58" s="7" t="inlineStr">
        <is>
          <t>^Warhead_CannonHE_Medium</t>
        </is>
      </c>
    </row>
    <row r="59">
      <c r="A59" t="inlineStr">
        <is>
          <t>redalert2mod</t>
        </is>
      </c>
      <c r="B59" t="inlineStr">
        <is>
          <t>latinsyndicate_collectiontruck</t>
        </is>
      </c>
      <c r="C59" t="inlineStr">
        <is>
          <t>Collection Truck</t>
        </is>
      </c>
      <c r="D59" s="6" t="inlineStr">
        <is>
          <t>Harvester</t>
        </is>
      </c>
      <c r="E59" s="6" t="n">
        <v>85000</v>
      </c>
      <c r="F59" s="6" t="n">
        <v>115</v>
      </c>
      <c r="G59" t="inlineStr">
        <is>
          <t>Medium</t>
        </is>
      </c>
      <c r="H59" s="6" t="n">
        <v>1</v>
      </c>
      <c r="I59" s="6" t="n">
        <v>1</v>
      </c>
      <c r="J59" s="6" t="n">
        <v>1</v>
      </c>
      <c r="K59" s="6" t="n"/>
      <c r="X59" s="6" t="n">
        <v>1000</v>
      </c>
    </row>
    <row r="60">
      <c r="A60" t="inlineStr">
        <is>
          <t>redalert2mod</t>
        </is>
      </c>
      <c r="B60" t="inlineStr">
        <is>
          <t>latinsyndicate_demolitiontruck</t>
        </is>
      </c>
      <c r="C60" t="inlineStr">
        <is>
          <t>Demolition Truck</t>
        </is>
      </c>
      <c r="D60" s="6" t="inlineStr">
        <is>
          <t>Vehicle</t>
        </is>
      </c>
      <c r="E60" s="6" t="n">
        <v>30000</v>
      </c>
      <c r="F60" s="6" t="n">
        <v>100</v>
      </c>
      <c r="G60" t="inlineStr">
        <is>
          <t>Light</t>
        </is>
      </c>
      <c r="H60" s="6" t="n">
        <v>0.6735</v>
      </c>
      <c r="I60" s="6" t="n">
        <v>1</v>
      </c>
      <c r="J60" s="6" t="n">
        <v>1</v>
      </c>
      <c r="K60" s="6" t="n">
        <v>0.02</v>
      </c>
      <c r="X60" s="6" t="n">
        <v>1500</v>
      </c>
    </row>
    <row r="61">
      <c r="B61" s="7" t="inlineStr">
        <is>
          <t xml:space="preserve">  ↳ DemoTruckTargeting</t>
        </is>
      </c>
      <c r="C61" s="7" t="inlineStr">
        <is>
          <t>Armament@PRIMARY</t>
        </is>
      </c>
      <c r="L61" s="6" t="n"/>
      <c r="M61" s="6" t="n"/>
      <c r="N61" s="6" t="n">
        <v>1</v>
      </c>
      <c r="O61" s="6" t="n"/>
      <c r="P61" s="6" t="n">
        <v>2000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/>
    </row>
    <row r="62">
      <c r="A62" t="inlineStr">
        <is>
          <t>redalert2mod</t>
        </is>
      </c>
      <c r="B62" t="inlineStr">
        <is>
          <t>latinsyndicate_diablo</t>
        </is>
      </c>
      <c r="C62" t="inlineStr">
        <is>
          <t>Diablo</t>
        </is>
      </c>
      <c r="D62" s="6" t="inlineStr">
        <is>
          <t>AntiAirVehicle</t>
        </is>
      </c>
      <c r="E62" s="6" t="n">
        <v>45000</v>
      </c>
      <c r="F62" s="6" t="n">
        <v>125</v>
      </c>
      <c r="G62" t="inlineStr">
        <is>
          <t>Medium</t>
        </is>
      </c>
      <c r="H62" s="6" t="n">
        <v>1</v>
      </c>
      <c r="I62" s="6" t="n">
        <v>1</v>
      </c>
      <c r="J62" s="6" t="n">
        <v>1</v>
      </c>
      <c r="K62" s="6" t="n"/>
      <c r="P62">
        <f>MAX(P63,P64,P65,P66)</f>
        <v/>
      </c>
      <c r="S62">
        <f>S63+S64+S65+S66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(((E62/170000)+(F62/110)+(S62/1250)+((P62/6000)*J62))*1000/4+(((E62/170000)*(F62/110))+(((P62/6000)*J62)*(S62/1250)))*1000/2+((E62/170000)*(F62/110)*((P62/6000)*J62)*(S62/1250))*1000)*(H62/1.0)/3</f>
        <v/>
      </c>
      <c r="X62" s="6" t="n">
        <v>1200</v>
      </c>
      <c r="Y62">
        <f>IFERROR(W62-X62,"")</f>
        <v/>
      </c>
      <c r="Z62">
        <f>IFERROR(ABS(Y62)/MAX(X62,1),"")</f>
        <v/>
      </c>
      <c r="AA62">
        <f>IFERROR(ROUND(((3*X62-(((E62/170000)+(F62/110)+(S62/1250))*1000/4+((E62/170000)*(F62/110))*1000/2)*(H62/1.0))/(1000/4+((S62/1250))*1000/2+((E62/170000)*(F62/110)*(S62/1250))*1000)*(H62/1.0)*6000)/J62,-1),"")</f>
        <v/>
      </c>
    </row>
    <row r="63">
      <c r="B63" s="7" t="inlineStr">
        <is>
          <t xml:space="preserve">  ↳ DiabloCannon</t>
        </is>
      </c>
      <c r="C63" s="7" t="inlineStr">
        <is>
          <t>Armament</t>
        </is>
      </c>
      <c r="L63" s="6" t="n">
        <v>8000</v>
      </c>
      <c r="M63" s="6" t="n">
        <v>16</v>
      </c>
      <c r="N63" s="6" t="n">
        <v>1</v>
      </c>
      <c r="O63" s="6" t="n"/>
      <c r="P63" s="6" t="n">
        <v>6300</v>
      </c>
      <c r="Q63" s="6" t="n">
        <v>1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^Warhead_Flak_Medium</t>
        </is>
      </c>
    </row>
    <row r="64">
      <c r="B64" s="7" t="inlineStr">
        <is>
          <t xml:space="preserve">  ↳ DiabloCannon_elite</t>
        </is>
      </c>
      <c r="C64" s="7" t="inlineStr">
        <is>
          <t>Armament@Elite</t>
        </is>
      </c>
      <c r="L64" s="6" t="n">
        <v>8000</v>
      </c>
      <c r="M64" s="6" t="n">
        <v>16</v>
      </c>
      <c r="N64" s="6" t="n">
        <v>2</v>
      </c>
      <c r="O64" s="6" t="n">
        <v>3</v>
      </c>
      <c r="P64" s="6" t="n">
        <v>7300</v>
      </c>
      <c r="Q64" s="6" t="n">
        <v>1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^Warhead_Flak_Medium</t>
        </is>
      </c>
    </row>
    <row r="65">
      <c r="B65" s="7" t="inlineStr">
        <is>
          <t xml:space="preserve">  ↳ DiabloCannon_AA</t>
        </is>
      </c>
      <c r="C65" s="7" t="inlineStr">
        <is>
          <t>Armament@AA</t>
        </is>
      </c>
      <c r="L65" s="6" t="n">
        <v>8000</v>
      </c>
      <c r="M65" s="6" t="n">
        <v>16</v>
      </c>
      <c r="N65" s="6" t="n">
        <v>1</v>
      </c>
      <c r="O65" s="6" t="n"/>
      <c r="P65" s="6" t="n">
        <v>9450</v>
      </c>
      <c r="Q65" s="6" t="n">
        <v>1</v>
      </c>
      <c r="R65">
        <f>M65+IF(N65&gt;1,N(O65)*(N65-1),0)</f>
        <v/>
      </c>
      <c r="S65">
        <f>IFERROR(L65*MAX(N65,1)/R65*IF(ISBLANK(K62),1,K62),0)</f>
        <v/>
      </c>
      <c r="AB65" s="7" t="inlineStr">
        <is>
          <t>^Warhead_Flak_Medium</t>
        </is>
      </c>
    </row>
    <row r="66">
      <c r="B66" s="7" t="inlineStr">
        <is>
          <t xml:space="preserve">  ↳ DiabloCannonAAE_AA</t>
        </is>
      </c>
      <c r="C66" s="7" t="inlineStr">
        <is>
          <t>Armament@AAE</t>
        </is>
      </c>
      <c r="L66" s="6" t="n">
        <v>8000</v>
      </c>
      <c r="M66" s="6" t="n">
        <v>16</v>
      </c>
      <c r="N66" s="6" t="n">
        <v>2</v>
      </c>
      <c r="O66" s="6" t="n">
        <v>3</v>
      </c>
      <c r="P66" s="6" t="n">
        <v>10450</v>
      </c>
      <c r="Q66" s="6" t="n">
        <v>1</v>
      </c>
      <c r="R66">
        <f>M66+IF(N66&gt;1,N(O66)*(N66-1),0)</f>
        <v/>
      </c>
      <c r="S66">
        <f>IFERROR(L66*MAX(N66,1)/R66*IF(ISBLANK(K62),1,K62),0)</f>
        <v/>
      </c>
      <c r="AB66" s="7" t="inlineStr">
        <is>
          <t>^Warhead_Flak_Medium</t>
        </is>
      </c>
    </row>
    <row r="67">
      <c r="A67" t="inlineStr">
        <is>
          <t>redalert2mod</t>
        </is>
      </c>
      <c r="B67" t="inlineStr">
        <is>
          <t>latinsyndicate_lars</t>
        </is>
      </c>
      <c r="C67" t="inlineStr">
        <is>
          <t>LARS</t>
        </is>
      </c>
      <c r="D67" s="6" t="inlineStr">
        <is>
          <t>MissileVehicle</t>
        </is>
      </c>
      <c r="E67" s="6" t="n">
        <v>47500</v>
      </c>
      <c r="F67" s="6" t="n">
        <v>70</v>
      </c>
      <c r="G67" t="inlineStr">
        <is>
          <t>Light</t>
        </is>
      </c>
      <c r="H67" s="6" t="n">
        <v>0.75</v>
      </c>
      <c r="I67" s="6" t="n">
        <v>1</v>
      </c>
      <c r="J67" s="6" t="n">
        <v>1</v>
      </c>
      <c r="K67" s="6" t="n">
        <v>0.0125</v>
      </c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(((E67/160000)+(F67/100)+(S67/1200)+((P67/8000)*J67))*1200/4+(((E67/160000)*(F67/100))+(((P67/8000)*J67)*(S67/1200)))*1200/2+((E67/160000)*(F67/100)*((P67/8000)*J67)*(S67/1200))*1200)*(H67/1.0)/3</f>
        <v/>
      </c>
      <c r="X67" s="6" t="n">
        <v>1300</v>
      </c>
      <c r="Y67">
        <f>IFERROR(W67-X67,"")</f>
        <v/>
      </c>
      <c r="Z67">
        <f>IFERROR(ABS(Y67)/MAX(X67,1),"")</f>
        <v/>
      </c>
      <c r="AA67">
        <f>IFERROR(ROUND(((3*X67-(((E67/160000)+(F67/100)+(S67/1200))*1200/4+((E67/160000)*(F67/100))*1200/2)*(H67/1.0))/(1200/4+((S67/1200))*1200/2+((E67/160000)*(F67/100)*(S67/1200))*1200)*(H67/1.0)*8000)/J67,-1),"")</f>
        <v/>
      </c>
    </row>
    <row r="68">
      <c r="B68" s="7" t="inlineStr">
        <is>
          <t xml:space="preserve">  ↳ RA2LarsRocket</t>
        </is>
      </c>
      <c r="C68" s="7" t="inlineStr">
        <is>
          <t>Armament</t>
        </is>
      </c>
      <c r="L68" s="6" t="n">
        <v>10000</v>
      </c>
      <c r="M68" s="6" t="n">
        <v>139</v>
      </c>
      <c r="N68" s="6" t="n">
        <v>10</v>
      </c>
      <c r="O68" s="6" t="n">
        <v>4</v>
      </c>
      <c r="P68" s="6" t="n">
        <v>10130</v>
      </c>
      <c r="Q68" s="6" t="n">
        <v>1.125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^Warhead_MissileAP_Heavy, ^Warhead_MissileAP_Medium</t>
        </is>
      </c>
    </row>
    <row r="69">
      <c r="B69" s="7" t="inlineStr">
        <is>
          <t xml:space="preserve">  ↳ RA2LarsRocket</t>
        </is>
      </c>
      <c r="C69" s="7" t="inlineStr">
        <is>
          <t>Armament@PRIMARYELITE</t>
        </is>
      </c>
      <c r="L69" s="6" t="n">
        <v>10000</v>
      </c>
      <c r="M69" s="6" t="n">
        <v>139</v>
      </c>
      <c r="N69" s="6" t="n">
        <v>10</v>
      </c>
      <c r="O69" s="6" t="n">
        <v>4</v>
      </c>
      <c r="P69" s="6" t="n">
        <v>10130</v>
      </c>
      <c r="Q69" s="6" t="n">
        <v>1.125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^Warhead_MissileAP_Heavy, ^Warhead_MissileAP_Medium</t>
        </is>
      </c>
    </row>
    <row r="70">
      <c r="A70" t="inlineStr">
        <is>
          <t>redalert2mod</t>
        </is>
      </c>
      <c r="B70" t="inlineStr">
        <is>
          <t>latinsyndicate_latinapc</t>
        </is>
      </c>
      <c r="C70" t="inlineStr">
        <is>
          <t>Latin APC</t>
        </is>
      </c>
      <c r="D70" s="6" t="inlineStr">
        <is>
          <t>SupportVehicle</t>
        </is>
      </c>
      <c r="E70" s="6" t="n">
        <v>180000</v>
      </c>
      <c r="F70" s="6" t="n">
        <v>90</v>
      </c>
      <c r="G70" t="inlineStr">
        <is>
          <t>Medium</t>
        </is>
      </c>
      <c r="H70" s="6" t="n">
        <v>0.4783</v>
      </c>
      <c r="I70" s="6" t="n">
        <v>1</v>
      </c>
      <c r="J70" s="6" t="n">
        <v>1</v>
      </c>
      <c r="K70" s="6" t="n"/>
      <c r="P70">
        <f>MAX(P71,P72,P73,P74,P75,P76,P77,P78,P79,P80,P81,P82)</f>
        <v/>
      </c>
      <c r="S70">
        <f>S71+S72+S73+S74+S75+S76+S77+S78+S79+S80+S81+S82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2400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RA2APCFlakCannon</t>
        </is>
      </c>
      <c r="C71" s="7" t="inlineStr">
        <is>
          <t>Armament@Flak</t>
        </is>
      </c>
      <c r="L71" s="6" t="n">
        <v>8000</v>
      </c>
      <c r="M71" s="6" t="n">
        <v>12</v>
      </c>
      <c r="N71" s="6" t="n">
        <v>1</v>
      </c>
      <c r="O71" s="6" t="n"/>
      <c r="P71" s="6" t="n">
        <v>5740</v>
      </c>
      <c r="Q71" s="6" t="n">
        <v>1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^Warhead_Flak_Medium</t>
        </is>
      </c>
    </row>
    <row r="72">
      <c r="B72" s="7" t="inlineStr">
        <is>
          <t xml:space="preserve">  ↳ RA2APCFlakCannon_elite</t>
        </is>
      </c>
      <c r="C72" s="7" t="inlineStr">
        <is>
          <t>Armament@FlakELITE</t>
        </is>
      </c>
      <c r="L72" s="6" t="n">
        <v>8000</v>
      </c>
      <c r="M72" s="6" t="n">
        <v>12</v>
      </c>
      <c r="N72" s="6" t="n">
        <v>2</v>
      </c>
      <c r="O72" s="6" t="n">
        <v>3</v>
      </c>
      <c r="P72" s="6" t="n">
        <v>6740</v>
      </c>
      <c r="Q72" s="6" t="n">
        <v>1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^Warhead_Flak_Medium</t>
        </is>
      </c>
    </row>
    <row r="73">
      <c r="B73" s="7" t="inlineStr">
        <is>
          <t xml:space="preserve">  ↳ RA2APCFlakCannonAA</t>
        </is>
      </c>
      <c r="C73" s="7" t="inlineStr">
        <is>
          <t>Armament@FlakAA</t>
        </is>
      </c>
      <c r="L73" s="6" t="n">
        <v>8000</v>
      </c>
      <c r="M73" s="6" t="n">
        <v>12</v>
      </c>
      <c r="N73" s="6" t="n">
        <v>1</v>
      </c>
      <c r="O73" s="6" t="n"/>
      <c r="P73" s="6" t="n">
        <v>8610</v>
      </c>
      <c r="Q73" s="6" t="n">
        <v>1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^Warhead_Flak_Medium</t>
        </is>
      </c>
    </row>
    <row r="74">
      <c r="B74" s="7" t="inlineStr">
        <is>
          <t xml:space="preserve">  ↳ RA2APCFlakCannonAA_elite</t>
        </is>
      </c>
      <c r="C74" s="7" t="inlineStr">
        <is>
          <t>Armament@FlakAAELITE</t>
        </is>
      </c>
      <c r="L74" s="6" t="n">
        <v>8000</v>
      </c>
      <c r="M74" s="6" t="n">
        <v>12</v>
      </c>
      <c r="N74" s="6" t="n">
        <v>2</v>
      </c>
      <c r="O74" s="6" t="n">
        <v>3</v>
      </c>
      <c r="P74" s="6" t="n">
        <v>9610</v>
      </c>
      <c r="Q74" s="6" t="n">
        <v>1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^Warhead_Flak_Medium</t>
        </is>
      </c>
    </row>
    <row r="75">
      <c r="B75" s="7" t="inlineStr">
        <is>
          <t xml:space="preserve">  ↳ RA2APCMachineGun</t>
        </is>
      </c>
      <c r="C75" s="7" t="inlineStr">
        <is>
          <t>Armament@Machinegun</t>
        </is>
      </c>
      <c r="L75" s="6" t="n">
        <v>4000</v>
      </c>
      <c r="M75" s="6" t="n">
        <v>12</v>
      </c>
      <c r="N75" s="6" t="n">
        <v>4</v>
      </c>
      <c r="O75" s="6" t="n">
        <v>4</v>
      </c>
      <c r="P75" s="6" t="n">
        <v>5740</v>
      </c>
      <c r="Q75" s="6" t="n">
        <v>0.875</v>
      </c>
      <c r="R75">
        <f>M75+IF(N75&gt;1,N(O75)*(N75-1),0)</f>
        <v/>
      </c>
      <c r="S75">
        <f>IFERROR(L75*MAX(N75,1)/R75*IF(ISBLANK(K70),1,K70),0)</f>
        <v/>
      </c>
      <c r="AB75" s="7" t="inlineStr">
        <is>
          <t>^Warhead_Bullet_Light, ^Warhead_Bullet_Medium</t>
        </is>
      </c>
    </row>
    <row r="76">
      <c r="B76" s="7" t="inlineStr">
        <is>
          <t xml:space="preserve">  ↳ RA2APCMachineGun_elite</t>
        </is>
      </c>
      <c r="C76" s="7" t="inlineStr">
        <is>
          <t>Armament@MachinegunELITE</t>
        </is>
      </c>
      <c r="L76" s="6" t="n">
        <v>4000</v>
      </c>
      <c r="M76" s="6" t="n">
        <v>12</v>
      </c>
      <c r="N76" s="6" t="n">
        <v>8</v>
      </c>
      <c r="O76" s="6" t="n">
        <v>2</v>
      </c>
      <c r="P76" s="6" t="n">
        <v>6740</v>
      </c>
      <c r="Q76" s="6" t="n">
        <v>0.875</v>
      </c>
      <c r="R76">
        <f>M76+IF(N76&gt;1,N(O76)*(N76-1),0)</f>
        <v/>
      </c>
      <c r="S76">
        <f>IFERROR(L76*MAX(N76,1)/R76*IF(ISBLANK(K70),1,K70),0)</f>
        <v/>
      </c>
      <c r="AB76" s="7" t="inlineStr">
        <is>
          <t>^Warhead_Bullet_Light, ^Warhead_Bullet_Medium</t>
        </is>
      </c>
    </row>
    <row r="77">
      <c r="B77" s="7" t="inlineStr">
        <is>
          <t xml:space="preserve">  ↳ RA2APCMachineGun_AA</t>
        </is>
      </c>
      <c r="C77" s="7" t="inlineStr">
        <is>
          <t>Armament@MachinegunAA</t>
        </is>
      </c>
      <c r="L77" s="6" t="n">
        <v>4000</v>
      </c>
      <c r="M77" s="6" t="n">
        <v>12</v>
      </c>
      <c r="N77" s="6" t="n">
        <v>4</v>
      </c>
      <c r="O77" s="6" t="n">
        <v>4</v>
      </c>
      <c r="P77" s="6" t="n">
        <v>8610</v>
      </c>
      <c r="Q77" s="6" t="n">
        <v>0.875</v>
      </c>
      <c r="R77">
        <f>M77+IF(N77&gt;1,N(O77)*(N77-1),0)</f>
        <v/>
      </c>
      <c r="S77">
        <f>IFERROR(L77*MAX(N77,1)/R77*IF(ISBLANK(K70),1,K70),0)</f>
        <v/>
      </c>
      <c r="AB77" s="7" t="inlineStr">
        <is>
          <t>^Warhead_Bullet_Light, ^Warhead_Bullet_Medium</t>
        </is>
      </c>
    </row>
    <row r="78">
      <c r="B78" s="7" t="inlineStr">
        <is>
          <t xml:space="preserve">  ↳ RA2APCMachineGun_AA_elite</t>
        </is>
      </c>
      <c r="C78" s="7" t="inlineStr">
        <is>
          <t>Armament@MachinegunAAELITE</t>
        </is>
      </c>
      <c r="L78" s="6" t="n">
        <v>4000</v>
      </c>
      <c r="M78" s="6" t="n">
        <v>12</v>
      </c>
      <c r="N78" s="6" t="n">
        <v>8</v>
      </c>
      <c r="O78" s="6" t="n">
        <v>2</v>
      </c>
      <c r="P78" s="6" t="n">
        <v>9610</v>
      </c>
      <c r="Q78" s="6" t="n">
        <v>0.875</v>
      </c>
      <c r="R78">
        <f>M78+IF(N78&gt;1,N(O78)*(N78-1),0)</f>
        <v/>
      </c>
      <c r="S78">
        <f>IFERROR(L78*MAX(N78,1)/R78*IF(ISBLANK(K70),1,K70),0)</f>
        <v/>
      </c>
      <c r="AB78" s="7" t="inlineStr">
        <is>
          <t>^Warhead_Bullet_Light, ^Warhead_Bullet_Medium</t>
        </is>
      </c>
    </row>
    <row r="79">
      <c r="B79" s="7" t="inlineStr">
        <is>
          <t xml:space="preserve">  ↳ RA2APCRocket</t>
        </is>
      </c>
      <c r="C79" s="7" t="inlineStr">
        <is>
          <t>Armament@Rockets</t>
        </is>
      </c>
      <c r="L79" s="6" t="n">
        <v>8000</v>
      </c>
      <c r="M79" s="6" t="n">
        <v>53</v>
      </c>
      <c r="N79" s="6" t="n">
        <v>4</v>
      </c>
      <c r="O79" s="6" t="n">
        <v>3</v>
      </c>
      <c r="P79" s="6" t="n">
        <v>5740</v>
      </c>
      <c r="Q79" s="6" t="n">
        <v>1</v>
      </c>
      <c r="R79">
        <f>M79+IF(N79&gt;1,N(O79)*(N79-1),0)</f>
        <v/>
      </c>
      <c r="S79">
        <f>IFERROR(L79*MAX(N79,1)/R79*IF(ISBLANK(K70),1,K70),0)</f>
        <v/>
      </c>
      <c r="AB79" s="7" t="inlineStr">
        <is>
          <t>^Warhead_MissileAP_Medium</t>
        </is>
      </c>
    </row>
    <row r="80">
      <c r="B80" s="7" t="inlineStr">
        <is>
          <t xml:space="preserve">  ↳ RA2APCRocket_elite</t>
        </is>
      </c>
      <c r="C80" s="7" t="inlineStr">
        <is>
          <t>Armament@RocketsELITE</t>
        </is>
      </c>
      <c r="L80" s="6" t="n">
        <v>8000</v>
      </c>
      <c r="M80" s="6" t="n">
        <v>53</v>
      </c>
      <c r="N80" s="6" t="n">
        <v>8</v>
      </c>
      <c r="O80" s="6" t="n">
        <v>3</v>
      </c>
      <c r="P80" s="6" t="n">
        <v>6740</v>
      </c>
      <c r="Q80" s="6" t="n">
        <v>1</v>
      </c>
      <c r="R80">
        <f>M80+IF(N80&gt;1,N(O80)*(N80-1),0)</f>
        <v/>
      </c>
      <c r="S80">
        <f>IFERROR(L80*MAX(N80,1)/R80*IF(ISBLANK(K70),1,K70),0)</f>
        <v/>
      </c>
      <c r="AB80" s="7" t="inlineStr">
        <is>
          <t>^Warhead_MissileAP_Medium</t>
        </is>
      </c>
    </row>
    <row r="81">
      <c r="B81" s="7" t="inlineStr">
        <is>
          <t xml:space="preserve">  ↳ RA2APCRocket_AA</t>
        </is>
      </c>
      <c r="C81" s="7" t="inlineStr">
        <is>
          <t>Armament@RocketsAA</t>
        </is>
      </c>
      <c r="L81" s="6" t="n">
        <v>8000</v>
      </c>
      <c r="M81" s="6" t="n">
        <v>53</v>
      </c>
      <c r="N81" s="6" t="n">
        <v>4</v>
      </c>
      <c r="O81" s="6" t="n">
        <v>3</v>
      </c>
      <c r="P81" s="6" t="n">
        <v>8610</v>
      </c>
      <c r="Q81" s="6" t="n">
        <v>1</v>
      </c>
      <c r="R81">
        <f>M81+IF(N81&gt;1,N(O81)*(N81-1),0)</f>
        <v/>
      </c>
      <c r="S81">
        <f>IFERROR(L81*MAX(N81,1)/R81*IF(ISBLANK(K70),1,K70),0)</f>
        <v/>
      </c>
      <c r="AB81" s="7" t="inlineStr">
        <is>
          <t>^Warhead_MissileAP_Medium</t>
        </is>
      </c>
    </row>
    <row r="82">
      <c r="B82" s="7" t="inlineStr">
        <is>
          <t xml:space="preserve">  ↳ RA2APCRocket_AA_elite</t>
        </is>
      </c>
      <c r="C82" s="7" t="inlineStr">
        <is>
          <t>Armament@RocketsAAELITE</t>
        </is>
      </c>
      <c r="L82" s="6" t="n">
        <v>8000</v>
      </c>
      <c r="M82" s="6" t="n">
        <v>53</v>
      </c>
      <c r="N82" s="6" t="n">
        <v>8</v>
      </c>
      <c r="O82" s="6" t="n">
        <v>3</v>
      </c>
      <c r="P82" s="6" t="n">
        <v>9610</v>
      </c>
      <c r="Q82" s="6" t="n">
        <v>1</v>
      </c>
      <c r="R82">
        <f>M82+IF(N82&gt;1,N(O82)*(N82-1),0)</f>
        <v/>
      </c>
      <c r="S82">
        <f>IFERROR(L82*MAX(N82,1)/R82*IF(ISBLANK(K70),1,K70),0)</f>
        <v/>
      </c>
      <c r="AB82" s="7" t="inlineStr">
        <is>
          <t>^Warhead_MissileAP_Medium</t>
        </is>
      </c>
    </row>
    <row r="83">
      <c r="A83" t="inlineStr">
        <is>
          <t>redalert2mod</t>
        </is>
      </c>
      <c r="B83" t="inlineStr">
        <is>
          <t>latinsyndicate_missiletruck</t>
        </is>
      </c>
      <c r="C83" t="inlineStr">
        <is>
          <t>Missile Truck</t>
        </is>
      </c>
      <c r="D83" s="6" t="inlineStr">
        <is>
          <t>FireSupport</t>
        </is>
      </c>
      <c r="E83" s="6" t="n">
        <v>30000</v>
      </c>
      <c r="F83" s="6" t="n">
        <v>75</v>
      </c>
      <c r="G83" t="inlineStr">
        <is>
          <t>Light</t>
        </is>
      </c>
      <c r="H83" s="6" t="n">
        <v>0.6735</v>
      </c>
      <c r="I83" s="6" t="n">
        <v>1</v>
      </c>
      <c r="J83" s="6" t="n">
        <v>1</v>
      </c>
      <c r="K83" s="6" t="n">
        <v>0.0125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(((E83/120000)+(F83/90)+(S83/2100)+((P83/10000)*J83))*1400/4+(((E83/120000)*(F83/90))+(((P83/10000)*J83)*(S83/2100)))*1400/2+((E83/120000)*(F83/90)*((P83/10000)*J83)*(S83/2100))*1400)*(H83/0.6735)/3</f>
        <v/>
      </c>
      <c r="X83" s="6" t="n">
        <v>1000</v>
      </c>
      <c r="Y83">
        <f>IFERROR(W83-X83,"")</f>
        <v/>
      </c>
      <c r="Z83">
        <f>IFERROR(ABS(Y83)/MAX(X83,1),"")</f>
        <v/>
      </c>
      <c r="AA83">
        <f>IFERROR(ROUND(((3*X83-(((E83/120000)+(F83/90)+(S83/2100))*1400/4+((E83/120000)*(F83/90))*1400/2)*(H83/0.6735))/(1400/4+((S83/2100))*1400/2+((E83/120000)*(F83/90)*(S83/2100))*1400)*(H83/0.6735)*10000)/J83,-1),"")</f>
        <v/>
      </c>
    </row>
    <row r="84">
      <c r="B84" s="7" t="inlineStr">
        <is>
          <t xml:space="preserve">  ↳ RA2RTruckRocket</t>
        </is>
      </c>
      <c r="C84" s="7" t="inlineStr">
        <is>
          <t>Armament</t>
        </is>
      </c>
      <c r="L84" s="6" t="n">
        <v>8000</v>
      </c>
      <c r="M84" s="6" t="n">
        <v>108</v>
      </c>
      <c r="N84" s="6" t="n">
        <v>8</v>
      </c>
      <c r="O84" s="6" t="n">
        <v>3</v>
      </c>
      <c r="P84" s="6" t="n">
        <v>7777</v>
      </c>
      <c r="Q84" s="6" t="n">
        <v>1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^Warhead_MissileHE_Medium</t>
        </is>
      </c>
    </row>
    <row r="85">
      <c r="B85" s="7" t="inlineStr">
        <is>
          <t xml:space="preserve">  ↳ RA2RTruckRocket</t>
        </is>
      </c>
      <c r="C85" s="7" t="inlineStr">
        <is>
          <t>Armament@PRIMARYELITE</t>
        </is>
      </c>
      <c r="L85" s="6" t="n">
        <v>8000</v>
      </c>
      <c r="M85" s="6" t="n">
        <v>108</v>
      </c>
      <c r="N85" s="6" t="n">
        <v>8</v>
      </c>
      <c r="O85" s="6" t="n">
        <v>3</v>
      </c>
      <c r="P85" s="6" t="n">
        <v>7777</v>
      </c>
      <c r="Q85" s="6" t="n">
        <v>1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^Warhead_MissileHE_Medium</t>
        </is>
      </c>
    </row>
    <row r="86">
      <c r="A86" t="inlineStr">
        <is>
          <t>redalert2mod</t>
        </is>
      </c>
      <c r="B86" t="inlineStr">
        <is>
          <t>latinsyndicate_mortarbike</t>
        </is>
      </c>
      <c r="C86" t="inlineStr">
        <is>
          <t>Mortar Bike</t>
        </is>
      </c>
      <c r="D86" s="6" t="inlineStr">
        <is>
          <t>MortarInfantry</t>
        </is>
      </c>
      <c r="E86" s="6" t="n">
        <v>28000</v>
      </c>
      <c r="F86" s="6" t="n">
        <v>140</v>
      </c>
      <c r="G86" t="inlineStr">
        <is>
          <t>None</t>
        </is>
      </c>
      <c r="H86" s="6" t="n">
        <v>1</v>
      </c>
      <c r="I86" s="6" t="n">
        <v>0.6</v>
      </c>
      <c r="J86" s="6" t="n">
        <v>1</v>
      </c>
      <c r="K86" s="6" t="n">
        <v>0.005</v>
      </c>
      <c r="P86">
        <f>MAX(P87,P88)</f>
        <v/>
      </c>
      <c r="S86">
        <f>S87+S88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500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RA2MortarBike</t>
        </is>
      </c>
      <c r="C87" s="7" t="inlineStr">
        <is>
          <t>Armament</t>
        </is>
      </c>
      <c r="L87" s="6" t="n">
        <v>36000</v>
      </c>
      <c r="M87" s="6" t="n">
        <v>67</v>
      </c>
      <c r="N87" s="6" t="n">
        <v>1</v>
      </c>
      <c r="O87" s="6" t="n"/>
      <c r="P87" s="6" t="n">
        <v>7500</v>
      </c>
      <c r="Q87" s="6" t="n">
        <v>1.25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^Warhead_CannonHE_Heavy</t>
        </is>
      </c>
    </row>
    <row r="88">
      <c r="B88" s="7" t="inlineStr">
        <is>
          <t xml:space="preserve">  ↳ RA2MortarBike_elite</t>
        </is>
      </c>
      <c r="C88" s="7" t="inlineStr">
        <is>
          <t>Armament@ELITE</t>
        </is>
      </c>
      <c r="L88" s="6" t="n">
        <v>36000</v>
      </c>
      <c r="M88" s="6" t="n">
        <v>67</v>
      </c>
      <c r="N88" s="6" t="n">
        <v>2</v>
      </c>
      <c r="O88" s="6" t="n">
        <v>3</v>
      </c>
      <c r="P88" s="6" t="n">
        <v>8500</v>
      </c>
      <c r="Q88" s="6" t="n">
        <v>1.25</v>
      </c>
      <c r="R88">
        <f>M88+IF(N88&gt;1,N(O88)*(N88-1),0)</f>
        <v/>
      </c>
      <c r="S88">
        <f>IFERROR(L88*MAX(N88,1)/R88*IF(ISBLANK(K86),1,K86),0)</f>
        <v/>
      </c>
      <c r="AB88" s="7" t="inlineStr">
        <is>
          <t>^Warhead_CannonHE_Heavy</t>
        </is>
      </c>
    </row>
    <row r="89">
      <c r="A89" t="inlineStr">
        <is>
          <t>redalert2mod</t>
        </is>
      </c>
      <c r="B89" t="inlineStr">
        <is>
          <t>latinsyndicate_narcohummer</t>
        </is>
      </c>
      <c r="C89" t="inlineStr">
        <is>
          <t>Narco Hummer</t>
        </is>
      </c>
      <c r="D89" s="6" t="inlineStr">
        <is>
          <t>SupportVehicle</t>
        </is>
      </c>
      <c r="E89" s="6" t="n">
        <v>97500</v>
      </c>
      <c r="F89" s="6" t="n">
        <v>110</v>
      </c>
      <c r="G89" t="inlineStr">
        <is>
          <t>Medium</t>
        </is>
      </c>
      <c r="H89" s="6" t="n">
        <v>0.75</v>
      </c>
      <c r="I89" s="6" t="n">
        <v>1.25</v>
      </c>
      <c r="J89" s="6" t="n">
        <v>1</v>
      </c>
      <c r="K89" s="6" t="n"/>
      <c r="P89">
        <f>MAX(P90,P91)</f>
        <v/>
      </c>
      <c r="S89">
        <f>S90+S91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(T89+U89+V89)/3</f>
        <v/>
      </c>
      <c r="X89" s="6" t="n">
        <v>3000</v>
      </c>
      <c r="Y89">
        <f>IFERROR(W89-X89,"")</f>
        <v/>
      </c>
      <c r="Z89">
        <f>IFERROR(ABS(Y89)/MAX(X89,1),"")</f>
        <v/>
      </c>
      <c r="AA89">
        <f>IFERROR((X89-(((E89/100000+F89/100+S89/200)*200*I89*H89)+((E89*F89/25000)*I89*H89))/3)/(((J89/5)*200*I89*H89)+((J89*S89/2.5)*I89*H89)+((E89*F89*J89*S89*I89*H89)/12500000))/3*1000,"")</f>
        <v/>
      </c>
    </row>
    <row r="90">
      <c r="B90" s="7" t="inlineStr">
        <is>
          <t xml:space="preserve">  ↳ RA2NarcoAKM</t>
        </is>
      </c>
      <c r="C90" s="7" t="inlineStr">
        <is>
          <t>Armament@AG</t>
        </is>
      </c>
      <c r="L90" s="6" t="n">
        <v>4000</v>
      </c>
      <c r="M90" s="6" t="n">
        <v>10</v>
      </c>
      <c r="N90" s="6" t="n">
        <v>1</v>
      </c>
      <c r="O90" s="6" t="n"/>
      <c r="P90" s="6" t="n">
        <v>5800</v>
      </c>
      <c r="Q90" s="6" t="n">
        <v>0.875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^Warhead_Bullet_Light, ^Warhead_Bullet_Medium</t>
        </is>
      </c>
    </row>
    <row r="91">
      <c r="B91" s="7" t="inlineStr">
        <is>
          <t xml:space="preserve">  ↳ RA2NarcoAKM_elite</t>
        </is>
      </c>
      <c r="C91" s="7" t="inlineStr">
        <is>
          <t>Armament@AGE</t>
        </is>
      </c>
      <c r="L91" s="6" t="n">
        <v>4000</v>
      </c>
      <c r="M91" s="6" t="n">
        <v>10</v>
      </c>
      <c r="N91" s="6" t="n">
        <v>2</v>
      </c>
      <c r="O91" s="6" t="n">
        <v>3</v>
      </c>
      <c r="P91" s="6" t="n">
        <v>6800</v>
      </c>
      <c r="Q91" s="6" t="n">
        <v>0.875</v>
      </c>
      <c r="R91">
        <f>M91+IF(N91&gt;1,N(O91)*(N91-1),0)</f>
        <v/>
      </c>
      <c r="S91">
        <f>IFERROR(L91*MAX(N91,1)/R91*IF(ISBLANK(K89),1,K89),0)</f>
        <v/>
      </c>
      <c r="AB91" s="7" t="inlineStr">
        <is>
          <t>^Warhead_Bullet_Light, ^Warhead_Bullet_Medium</t>
        </is>
      </c>
    </row>
    <row r="92">
      <c r="A92" t="inlineStr">
        <is>
          <t>redalert2mod</t>
        </is>
      </c>
      <c r="B92" t="inlineStr">
        <is>
          <t>latinsyndicate_nuketruck</t>
        </is>
      </c>
      <c r="C92" t="inlineStr">
        <is>
          <t>Nuke Truck</t>
        </is>
      </c>
      <c r="D92" s="6" t="inlineStr">
        <is>
          <t>EpicVehicle</t>
        </is>
      </c>
      <c r="E92" s="6" t="n">
        <v>60000</v>
      </c>
      <c r="F92" s="6" t="n">
        <v>100</v>
      </c>
      <c r="G92" t="inlineStr">
        <is>
          <t>Superheavy</t>
        </is>
      </c>
      <c r="H92" s="6" t="n">
        <v>0.4783</v>
      </c>
      <c r="I92" s="6" t="n">
        <v>1</v>
      </c>
      <c r="J92" s="6" t="n">
        <v>1</v>
      </c>
      <c r="K92" s="6" t="n"/>
      <c r="X92" s="6" t="n">
        <v>3000</v>
      </c>
    </row>
    <row r="93">
      <c r="B93" s="7" t="inlineStr">
        <is>
          <t xml:space="preserve">  ↳ DemoTruckTargeting</t>
        </is>
      </c>
      <c r="C93" s="7" t="inlineStr">
        <is>
          <t>Armament@PRIMARY</t>
        </is>
      </c>
      <c r="L93" s="6" t="n"/>
      <c r="M93" s="6" t="n"/>
      <c r="N93" s="6" t="n">
        <v>1</v>
      </c>
      <c r="O93" s="6" t="n"/>
      <c r="P93" s="6" t="n">
        <v>2000</v>
      </c>
      <c r="Q93" s="6" t="n">
        <v>1</v>
      </c>
      <c r="R93">
        <f>M93+IF(N93&gt;1,N(O93)*(N93-1),0)</f>
        <v/>
      </c>
      <c r="S93">
        <f>IFERROR(L93*MAX(N93,1)/R93*IF(ISBLANK(K92),1,K92),0)</f>
        <v/>
      </c>
      <c r="AB93" s="7" t="inlineStr"/>
    </row>
    <row r="94">
      <c r="A94" t="inlineStr">
        <is>
          <t>redalert2mod</t>
        </is>
      </c>
      <c r="B94" t="inlineStr">
        <is>
          <t>latinsyndicate_raiderbuggy</t>
        </is>
      </c>
      <c r="C94" t="inlineStr">
        <is>
          <t>Raider Buggy</t>
        </is>
      </c>
      <c r="D94" s="6" t="inlineStr">
        <is>
          <t>SupportVehicle</t>
        </is>
      </c>
      <c r="E94" s="6" t="n">
        <v>37500</v>
      </c>
      <c r="F94" s="6" t="n">
        <v>115</v>
      </c>
      <c r="G94" t="inlineStr">
        <is>
          <t>Light</t>
        </is>
      </c>
      <c r="H94" s="6" t="n">
        <v>0.8462</v>
      </c>
      <c r="I94" s="6" t="n">
        <v>1</v>
      </c>
      <c r="J94" s="6" t="n">
        <v>1</v>
      </c>
      <c r="K94" s="6" t="n">
        <v>0.005</v>
      </c>
      <c r="P94">
        <f>MAX(P95,P96,P97,P98,P99,P100)</f>
        <v/>
      </c>
      <c r="S94">
        <f>S95+S96+S97+S98+S99+S100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700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LatinBuggyMG</t>
        </is>
      </c>
      <c r="C95" s="7" t="inlineStr">
        <is>
          <t>Armament</t>
        </is>
      </c>
      <c r="L95" s="6" t="n">
        <v>8000</v>
      </c>
      <c r="M95" s="6" t="n">
        <v>35</v>
      </c>
      <c r="N95" s="6" t="n">
        <v>5</v>
      </c>
      <c r="O95" s="6" t="n">
        <v>5</v>
      </c>
      <c r="P95" s="6" t="n">
        <v>6000</v>
      </c>
      <c r="Q95" s="6" t="n">
        <v>0.875</v>
      </c>
      <c r="R95">
        <f>M95+IF(N95&gt;1,N(O95)*(N95-1),0)</f>
        <v/>
      </c>
      <c r="S95">
        <f>IFERROR(L95*MAX(N95,1)/R95*IF(ISBLANK(K94),1,K94),0)</f>
        <v/>
      </c>
      <c r="AB95" s="7" t="inlineStr">
        <is>
          <t>^Warhead_Bullet_Light, ^Warhead_Bullet_Medium</t>
        </is>
      </c>
    </row>
    <row r="96">
      <c r="B96" s="7" t="inlineStr">
        <is>
          <t xml:space="preserve">  ↳ LatinBuggyMG_elite</t>
        </is>
      </c>
      <c r="C96" s="7" t="inlineStr">
        <is>
          <t>Armament@Elite</t>
        </is>
      </c>
      <c r="L96" s="6" t="n">
        <v>8000</v>
      </c>
      <c r="M96" s="6" t="n">
        <v>35</v>
      </c>
      <c r="N96" s="6" t="n">
        <v>10</v>
      </c>
      <c r="O96" s="6" t="n">
        <v>3</v>
      </c>
      <c r="P96" s="6" t="n">
        <v>7000</v>
      </c>
      <c r="Q96" s="6" t="n">
        <v>0.875</v>
      </c>
      <c r="R96">
        <f>M96+IF(N96&gt;1,N(O96)*(N96-1),0)</f>
        <v/>
      </c>
      <c r="S96">
        <f>IFERROR(L96*MAX(N96,1)/R96*IF(ISBLANK(K94),1,K94),0)</f>
        <v/>
      </c>
      <c r="AB96" s="7" t="inlineStr">
        <is>
          <t>^Warhead_Bullet_Light, ^Warhead_Bullet_Medium</t>
        </is>
      </c>
    </row>
    <row r="97">
      <c r="B97" s="7" t="inlineStr">
        <is>
          <t xml:space="preserve">  ↳ LatinBuggyChaingun</t>
        </is>
      </c>
      <c r="C97" s="7" t="inlineStr">
        <is>
          <t>Armament@Gatling</t>
        </is>
      </c>
      <c r="L97" s="6" t="n">
        <v>8000</v>
      </c>
      <c r="M97" s="6" t="n">
        <v>11</v>
      </c>
      <c r="N97" s="6" t="n">
        <v>1</v>
      </c>
      <c r="O97" s="6" t="n"/>
      <c r="P97" s="6" t="n">
        <v>6000</v>
      </c>
      <c r="Q97" s="6" t="n">
        <v>1</v>
      </c>
      <c r="R97">
        <f>M97+IF(N97&gt;1,N(O97)*(N97-1),0)</f>
        <v/>
      </c>
      <c r="S97">
        <f>IFERROR(L97*MAX(N97,1)/R97*IF(ISBLANK(K94),1,K94),0)</f>
        <v/>
      </c>
      <c r="AB97" s="7" t="inlineStr">
        <is>
          <t>^Warhead_CannonAP_Light, ^Warhead_Flak_Medium, ^Warhead_Bullet_Light, ^Warhead_Bullet_Medium</t>
        </is>
      </c>
    </row>
    <row r="98">
      <c r="B98" s="7" t="inlineStr">
        <is>
          <t xml:space="preserve">  ↳ LatinBuggyChaingun_elite</t>
        </is>
      </c>
      <c r="C98" s="7" t="inlineStr">
        <is>
          <t>Armament@GatlingElite</t>
        </is>
      </c>
      <c r="L98" s="6" t="n">
        <v>8000</v>
      </c>
      <c r="M98" s="6" t="n">
        <v>11</v>
      </c>
      <c r="N98" s="6" t="n">
        <v>1</v>
      </c>
      <c r="O98" s="6" t="n"/>
      <c r="P98" s="6" t="n">
        <v>7000</v>
      </c>
      <c r="Q98" s="6" t="n">
        <v>1</v>
      </c>
      <c r="R98">
        <f>M98+IF(N98&gt;1,N(O98)*(N98-1),0)</f>
        <v/>
      </c>
      <c r="S98">
        <f>IFERROR(L98*MAX(N98,1)/R98*IF(ISBLANK(K94),1,K94),0)</f>
        <v/>
      </c>
      <c r="AB98" s="7" t="inlineStr">
        <is>
          <t>^Warhead_CannonAP_Light, ^Warhead_Flak_Medium, ^Warhead_Bullet_Light, ^Warhead_Bullet_Medium</t>
        </is>
      </c>
    </row>
    <row r="99">
      <c r="B99" s="7" t="inlineStr">
        <is>
          <t xml:space="preserve">  ↳ LatinBuggyRocket</t>
        </is>
      </c>
      <c r="C99" s="7" t="inlineStr">
        <is>
          <t>Armament@Rocket</t>
        </is>
      </c>
      <c r="L99" s="6" t="n">
        <v>40000</v>
      </c>
      <c r="M99" s="6" t="n">
        <v>55</v>
      </c>
      <c r="N99" s="6" t="n">
        <v>1</v>
      </c>
      <c r="O99" s="6" t="n"/>
      <c r="P99" s="6" t="n">
        <v>6000</v>
      </c>
      <c r="Q99" s="6" t="n">
        <v>1</v>
      </c>
      <c r="R99">
        <f>M99+IF(N99&gt;1,N(O99)*(N99-1),0)</f>
        <v/>
      </c>
      <c r="S99">
        <f>IFERROR(L99*MAX(N99,1)/R99*IF(ISBLANK(K94),1,K94),0)</f>
        <v/>
      </c>
      <c r="AB99" s="7" t="inlineStr">
        <is>
          <t>^Warhead_Demolition_Light, ^Warhead_Concussion_Medium, ^Warhead_MissileAP_Light, ^Warhead_MissileAP_Medium</t>
        </is>
      </c>
    </row>
    <row r="100">
      <c r="B100" s="7" t="inlineStr">
        <is>
          <t xml:space="preserve">  ↳ LatinBuggyRocket_elite</t>
        </is>
      </c>
      <c r="C100" s="7" t="inlineStr">
        <is>
          <t>Armament@RocketElite</t>
        </is>
      </c>
      <c r="L100" s="6" t="n">
        <v>40000</v>
      </c>
      <c r="M100" s="6" t="n">
        <v>55</v>
      </c>
      <c r="N100" s="6" t="n">
        <v>2</v>
      </c>
      <c r="O100" s="6" t="n">
        <v>3</v>
      </c>
      <c r="P100" s="6" t="n">
        <v>7000</v>
      </c>
      <c r="Q100" s="6" t="n">
        <v>1</v>
      </c>
      <c r="R100">
        <f>M100+IF(N100&gt;1,N(O100)*(N100-1),0)</f>
        <v/>
      </c>
      <c r="S100">
        <f>IFERROR(L100*MAX(N100,1)/R100*IF(ISBLANK(K94),1,K94),0)</f>
        <v/>
      </c>
      <c r="AB100" s="7" t="inlineStr">
        <is>
          <t>^Warhead_Demolition_Light, ^Warhead_Concussion_Medium, ^Warhead_MissileAP_Light, ^Warhead_MissileAP_Medium</t>
        </is>
      </c>
    </row>
    <row r="101">
      <c r="A101" t="inlineStr">
        <is>
          <t>redalert2mod</t>
        </is>
      </c>
      <c r="B101" t="inlineStr">
        <is>
          <t>latinsyndicate_rushertank</t>
        </is>
      </c>
      <c r="C101" t="inlineStr">
        <is>
          <t>Rusher Tank</t>
        </is>
      </c>
      <c r="D101" s="6" t="inlineStr">
        <is>
          <t>LightTank</t>
        </is>
      </c>
      <c r="E101" s="6" t="n">
        <v>75000</v>
      </c>
      <c r="F101" s="6" t="n">
        <v>115</v>
      </c>
      <c r="G101" t="inlineStr">
        <is>
          <t>Medium</t>
        </is>
      </c>
      <c r="H101" s="6" t="n">
        <v>1</v>
      </c>
      <c r="I101" s="6" t="n">
        <v>1</v>
      </c>
      <c r="J101" s="6" t="n">
        <v>1</v>
      </c>
      <c r="K101" s="6" t="n"/>
      <c r="P101">
        <f>MAX(P102,P103,P104,P105)</f>
        <v/>
      </c>
      <c r="S101">
        <f>S102+S103+S104+S105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(((E101/100000)+(F101/125)+(S101/200)+((P101/5000)*J101))*400/4+(((E101/100000)*(F101/125))+(((P101/5000)*J101)*(S101/200)))*400/2+((E101/100000)*(F101/125)*((P101/5000)*J101)*(S101/200))*400)*(H101/1.0)/3</f>
        <v/>
      </c>
      <c r="X101" s="6" t="n">
        <v>650</v>
      </c>
      <c r="Y101">
        <f>IFERROR(W101-X101,"")</f>
        <v/>
      </c>
      <c r="Z101">
        <f>IFERROR(ABS(Y101)/MAX(X101,1),"")</f>
        <v/>
      </c>
      <c r="AA101">
        <f>IFERROR(ROUND(((3*X101-(((E101/100000)+(F101/125)+(S101/200))*400/4+((E101/100000)*(F101/125))*400/2)*(H101/1.0))/(400/4+((S101/200))*400/2+((E101/100000)*(F101/125)*(S101/200))*400)*(H101/1.0)*5000)/J101,-1),"")</f>
        <v/>
      </c>
    </row>
    <row r="102">
      <c r="B102" s="7" t="inlineStr">
        <is>
          <t xml:space="preserve">  ↳ RA2Gren60mm</t>
        </is>
      </c>
      <c r="C102" s="7" t="inlineStr">
        <is>
          <t>Armament</t>
        </is>
      </c>
      <c r="L102" s="6" t="n">
        <v>6000</v>
      </c>
      <c r="M102" s="6" t="n">
        <v>38</v>
      </c>
      <c r="N102" s="6" t="n">
        <v>1</v>
      </c>
      <c r="O102" s="6" t="n"/>
      <c r="P102" s="6" t="n">
        <v>5031</v>
      </c>
      <c r="Q102" s="6" t="n">
        <v>1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^Warhead_CannonHE_Heavy, ^Warhead_CannonHE_Medium, ^Warhead_CannonAP_Light</t>
        </is>
      </c>
    </row>
    <row r="103">
      <c r="B103" s="7" t="inlineStr">
        <is>
          <t xml:space="preserve">  ↳ RA2Gren60mm_elite</t>
        </is>
      </c>
      <c r="C103" s="7" t="inlineStr">
        <is>
          <t>Armament@elite</t>
        </is>
      </c>
      <c r="L103" s="6" t="n">
        <v>6000</v>
      </c>
      <c r="M103" s="6" t="n">
        <v>38</v>
      </c>
      <c r="N103" s="6" t="n">
        <v>2</v>
      </c>
      <c r="O103" s="6" t="n">
        <v>3</v>
      </c>
      <c r="P103" s="6" t="n">
        <v>6031</v>
      </c>
      <c r="Q103" s="6" t="n">
        <v>1</v>
      </c>
      <c r="R103">
        <f>M103+IF(N103&gt;1,N(O103)*(N103-1),0)</f>
        <v/>
      </c>
      <c r="S103">
        <f>IFERROR(L103*MAX(N103,1)/R103*IF(ISBLANK(K101),1,K101),0)</f>
        <v/>
      </c>
      <c r="AB103" s="7" t="inlineStr">
        <is>
          <t>^Warhead_CannonHE_Heavy, ^Warhead_CannonHE_Medium, ^Warhead_CannonAP_Light</t>
        </is>
      </c>
    </row>
    <row r="104">
      <c r="B104" s="7" t="inlineStr">
        <is>
          <t xml:space="preserve">  ↳ LatinRusherRocket</t>
        </is>
      </c>
      <c r="C104" s="7" t="inlineStr">
        <is>
          <t>Armament@AA</t>
        </is>
      </c>
      <c r="L104" s="6" t="n">
        <v>16000</v>
      </c>
      <c r="M104" s="6" t="n">
        <v>101</v>
      </c>
      <c r="N104" s="6" t="n">
        <v>1</v>
      </c>
      <c r="O104" s="6" t="n"/>
      <c r="P104" s="6" t="n">
        <v>5031</v>
      </c>
      <c r="Q104" s="6" t="n">
        <v>1</v>
      </c>
      <c r="R104">
        <f>M104+IF(N104&gt;1,N(O104)*(N104-1),0)</f>
        <v/>
      </c>
      <c r="S104">
        <f>IFERROR(L104*MAX(N104,1)/R104*IF(ISBLANK(K101),1,K101),0)</f>
        <v/>
      </c>
      <c r="AB104" s="7" t="inlineStr">
        <is>
          <t>^Warhead_MissileAP_Medium</t>
        </is>
      </c>
    </row>
    <row r="105">
      <c r="B105" s="7" t="inlineStr">
        <is>
          <t xml:space="preserve">  ↳ LatinRusherRocket_elite</t>
        </is>
      </c>
      <c r="C105" s="7" t="inlineStr">
        <is>
          <t>Armament@AAE</t>
        </is>
      </c>
      <c r="L105" s="6" t="n">
        <v>32000</v>
      </c>
      <c r="M105" s="6" t="n">
        <v>101</v>
      </c>
      <c r="N105" s="6" t="n">
        <v>1</v>
      </c>
      <c r="O105" s="6" t="n"/>
      <c r="P105" s="6" t="n">
        <v>6031</v>
      </c>
      <c r="Q105" s="6" t="n">
        <v>1</v>
      </c>
      <c r="R105">
        <f>M105+IF(N105&gt;1,N(O105)*(N105-1),0)</f>
        <v/>
      </c>
      <c r="S105">
        <f>IFERROR(L105*MAX(N105,1)/R105*IF(ISBLANK(K101),1,K101),0)</f>
        <v/>
      </c>
      <c r="AB105" s="7" t="inlineStr">
        <is>
          <t>^Warhead_MissileAP_Medium</t>
        </is>
      </c>
    </row>
    <row r="106">
      <c r="A106" t="inlineStr">
        <is>
          <t>redalert2mod</t>
        </is>
      </c>
      <c r="B106" t="inlineStr">
        <is>
          <t>latinsyndicate_smokertank</t>
        </is>
      </c>
      <c r="C106" t="inlineStr">
        <is>
          <t>Smoker Tank</t>
        </is>
      </c>
      <c r="D106" s="6" t="inlineStr">
        <is>
          <t>MainBattleTank</t>
        </is>
      </c>
      <c r="E106" s="6" t="n">
        <v>260000</v>
      </c>
      <c r="F106" s="6" t="n">
        <v>95</v>
      </c>
      <c r="G106" t="inlineStr">
        <is>
          <t>Heavy</t>
        </is>
      </c>
      <c r="H106" s="6" t="n">
        <v>1</v>
      </c>
      <c r="I106" s="6" t="n">
        <v>1</v>
      </c>
      <c r="J106" s="6" t="n">
        <v>1</v>
      </c>
      <c r="K106" s="6" t="n">
        <v>0.005</v>
      </c>
      <c r="P106">
        <f>MAX(P107,P108,P109,P110,P111,P112)</f>
        <v/>
      </c>
      <c r="S106">
        <f>S107+S108+S109+S110+S111+S112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(((E106/240000)+(F106/95)+(S106/600)+((P106/5500)*J106))*800/4+(((E106/240000)*(F106/95))+(((P106/5500)*J106)*(S106/600)))*800/2+((E106/240000)*(F106/95)*((P106/5500)*J106)*(S106/600))*800)*(H106/1.0)/3</f>
        <v/>
      </c>
      <c r="X106" s="6" t="n">
        <v>1800</v>
      </c>
      <c r="Y106">
        <f>IFERROR(W106-X106,"")</f>
        <v/>
      </c>
      <c r="Z106">
        <f>IFERROR(ABS(Y106)/MAX(X106,1),"")</f>
        <v/>
      </c>
      <c r="AA106">
        <f>IFERROR(ROUND(((3*X106-(((E106/240000)+(F106/95)+(S106/600))*800/4+((E106/240000)*(F106/95))*800/2)*(H106/1.0))/(800/4+((S106/600))*800/2+((E106/240000)*(F106/95)*(S106/600))*800)*(H106/1.0)*5500)/J106,-1),"")</f>
        <v/>
      </c>
    </row>
    <row r="107">
      <c r="B107" s="7" t="inlineStr">
        <is>
          <t xml:space="preserve">  ↳ LatinSmokerCannon</t>
        </is>
      </c>
      <c r="C107" s="7" t="inlineStr">
        <is>
          <t>Armament</t>
        </is>
      </c>
      <c r="L107" s="6" t="n">
        <v>12000</v>
      </c>
      <c r="M107" s="6" t="n">
        <v>65</v>
      </c>
      <c r="N107" s="6" t="n">
        <v>1</v>
      </c>
      <c r="O107" s="6" t="n"/>
      <c r="P107" s="6" t="n">
        <v>6550</v>
      </c>
      <c r="Q107" s="6" t="n">
        <v>1.125</v>
      </c>
      <c r="R107">
        <f>M107+IF(N107&gt;1,N(O107)*(N107-1),0)</f>
        <v/>
      </c>
      <c r="S107">
        <f>IFERROR(L107*MAX(N107,1)/R107*IF(ISBLANK(K106),1,K106),0)</f>
        <v/>
      </c>
      <c r="AB107" s="7" t="inlineStr">
        <is>
          <t>^Warhead_CannonHE_Heavy, ^Warhead_CannonHE_Medium</t>
        </is>
      </c>
    </row>
    <row r="108">
      <c r="B108" s="7" t="inlineStr">
        <is>
          <t xml:space="preserve">  ↳ LatinSmokerCannon_elite</t>
        </is>
      </c>
      <c r="C108" s="7" t="inlineStr">
        <is>
          <t>Armament@elite</t>
        </is>
      </c>
      <c r="L108" s="6" t="n">
        <v>12000</v>
      </c>
      <c r="M108" s="6" t="n">
        <v>65</v>
      </c>
      <c r="N108" s="6" t="n">
        <v>2</v>
      </c>
      <c r="O108" s="6" t="n">
        <v>3</v>
      </c>
      <c r="P108" s="6" t="n">
        <v>7550</v>
      </c>
      <c r="Q108" s="6" t="n">
        <v>1.125</v>
      </c>
      <c r="R108">
        <f>M108+IF(N108&gt;1,N(O108)*(N108-1),0)</f>
        <v/>
      </c>
      <c r="S108">
        <f>IFERROR(L108*MAX(N108,1)/R108*IF(ISBLANK(K106),1,K106),0)</f>
        <v/>
      </c>
      <c r="AB108" s="7" t="inlineStr">
        <is>
          <t>^Warhead_CannonHE_Heavy, ^Warhead_CannonHE_Medium</t>
        </is>
      </c>
    </row>
    <row r="109">
      <c r="B109" s="7" t="inlineStr">
        <is>
          <t xml:space="preserve">  ↳ RA2GrenadePack</t>
        </is>
      </c>
      <c r="C109" s="7" t="inlineStr">
        <is>
          <t>Armament@GrenadePack</t>
        </is>
      </c>
      <c r="L109" s="6" t="n">
        <v>6000</v>
      </c>
      <c r="M109" s="6" t="n">
        <v>110</v>
      </c>
      <c r="N109" s="6" t="n">
        <v>4</v>
      </c>
      <c r="O109" s="6" t="n">
        <v>2</v>
      </c>
      <c r="P109" s="6" t="n">
        <v>6550</v>
      </c>
      <c r="Q109" s="6" t="n">
        <v>1</v>
      </c>
      <c r="R109">
        <f>M109+IF(N109&gt;1,N(O109)*(N109-1),0)</f>
        <v/>
      </c>
      <c r="S109">
        <f>IFERROR(L109*MAX(N109,1)/R109*IF(ISBLANK(K106),1,K106),0)</f>
        <v/>
      </c>
      <c r="AB109" s="7" t="inlineStr">
        <is>
          <t>^Warhead_MissileAP_Heavy, ^Warhead_Concussion_Light, ^Warhead_Flak_Medium</t>
        </is>
      </c>
    </row>
    <row r="110">
      <c r="B110" s="7" t="inlineStr">
        <is>
          <t xml:space="preserve">  ↳ RA2GrenadePack_elite</t>
        </is>
      </c>
      <c r="C110" s="7" t="inlineStr">
        <is>
          <t>Armament@GrenadePackE</t>
        </is>
      </c>
      <c r="L110" s="6" t="n">
        <v>6000</v>
      </c>
      <c r="M110" s="6" t="n">
        <v>110</v>
      </c>
      <c r="N110" s="6" t="n">
        <v>8</v>
      </c>
      <c r="O110" s="6" t="n">
        <v>2</v>
      </c>
      <c r="P110" s="6" t="n">
        <v>7550</v>
      </c>
      <c r="Q110" s="6" t="n">
        <v>1</v>
      </c>
      <c r="R110">
        <f>M110+IF(N110&gt;1,N(O110)*(N110-1),0)</f>
        <v/>
      </c>
      <c r="S110">
        <f>IFERROR(L110*MAX(N110,1)/R110*IF(ISBLANK(K106),1,K106),0)</f>
        <v/>
      </c>
      <c r="AB110" s="7" t="inlineStr">
        <is>
          <t>^Warhead_MissileAP_Heavy, ^Warhead_Concussion_Light, ^Warhead_Flak_Medium</t>
        </is>
      </c>
    </row>
    <row r="111">
      <c r="B111" s="7" t="inlineStr">
        <is>
          <t xml:space="preserve">  ↳ LatinSmokerRocket</t>
        </is>
      </c>
      <c r="C111" s="7" t="inlineStr">
        <is>
          <t>Armament@AA</t>
        </is>
      </c>
      <c r="L111" s="6" t="n">
        <v>24000</v>
      </c>
      <c r="M111" s="6" t="n">
        <v>116</v>
      </c>
      <c r="N111" s="6" t="n">
        <v>1</v>
      </c>
      <c r="O111" s="6" t="n"/>
      <c r="P111" s="6" t="n">
        <v>6550</v>
      </c>
      <c r="Q111" s="6" t="n">
        <v>1</v>
      </c>
      <c r="R111">
        <f>M111+IF(N111&gt;1,N(O111)*(N111-1),0)</f>
        <v/>
      </c>
      <c r="S111">
        <f>IFERROR(L111*MAX(N111,1)/R111*IF(ISBLANK(K106),1,K106),0)</f>
        <v/>
      </c>
      <c r="AB111" s="7" t="inlineStr">
        <is>
          <t>^Warhead_MissileAP_Medium</t>
        </is>
      </c>
    </row>
    <row r="112">
      <c r="B112" s="7" t="inlineStr">
        <is>
          <t xml:space="preserve">  ↳ LatinSmokerRocket_elite</t>
        </is>
      </c>
      <c r="C112" s="7" t="inlineStr">
        <is>
          <t>Armament@AAE</t>
        </is>
      </c>
      <c r="L112" s="6" t="n">
        <v>48000</v>
      </c>
      <c r="M112" s="6" t="n">
        <v>116</v>
      </c>
      <c r="N112" s="6" t="n">
        <v>1</v>
      </c>
      <c r="O112" s="6" t="n"/>
      <c r="P112" s="6" t="n">
        <v>7550</v>
      </c>
      <c r="Q112" s="6" t="n">
        <v>1</v>
      </c>
      <c r="R112">
        <f>M112+IF(N112&gt;1,N(O112)*(N112-1),0)</f>
        <v/>
      </c>
      <c r="S112">
        <f>IFERROR(L112*MAX(N112,1)/R112*IF(ISBLANK(K106),1,K106),0)</f>
        <v/>
      </c>
      <c r="AB112" s="7" t="inlineStr">
        <is>
          <t>^Warhead_MissileAP_Medium</t>
        </is>
      </c>
    </row>
    <row r="113">
      <c r="A113" t="inlineStr">
        <is>
          <t>redalert2mod</t>
        </is>
      </c>
      <c r="B113" t="inlineStr">
        <is>
          <t>latinsyndicate_syndicatemobileconstructionvehicle</t>
        </is>
      </c>
      <c r="C113" t="inlineStr">
        <is>
          <t>Syndicate Mobile Construction Vehicle</t>
        </is>
      </c>
      <c r="D113" s="6" t="inlineStr">
        <is>
          <t>SupportVehicle</t>
        </is>
      </c>
      <c r="E113" s="6" t="n">
        <v>300000</v>
      </c>
      <c r="F113" s="6" t="n">
        <v>75</v>
      </c>
      <c r="G113" t="inlineStr">
        <is>
          <t>Medium</t>
        </is>
      </c>
      <c r="H113" s="6" t="n">
        <v>0.7674</v>
      </c>
      <c r="I113" s="6" t="n">
        <v>1</v>
      </c>
      <c r="J113" s="6" t="n">
        <v>1</v>
      </c>
      <c r="K113" s="6" t="n"/>
      <c r="X113" s="6" t="n">
        <v>5000</v>
      </c>
    </row>
    <row r="114">
      <c r="A114" t="inlineStr">
        <is>
          <t>redalert2mod</t>
        </is>
      </c>
      <c r="B114" t="inlineStr">
        <is>
          <t>latinsyndicate_topolm</t>
        </is>
      </c>
      <c r="C114" t="inlineStr">
        <is>
          <t>Topol-M</t>
        </is>
      </c>
      <c r="D114" s="6" t="inlineStr">
        <is>
          <t>EpicVehicle</t>
        </is>
      </c>
      <c r="E114" s="6" t="n">
        <v>100000</v>
      </c>
      <c r="F114" s="6" t="n">
        <v>75</v>
      </c>
      <c r="G114" t="inlineStr">
        <is>
          <t>Superheavy</t>
        </is>
      </c>
      <c r="H114" s="6" t="n">
        <v>0.75</v>
      </c>
      <c r="I114" s="6" t="n">
        <v>0.5</v>
      </c>
      <c r="J114" s="6" t="n">
        <v>1</v>
      </c>
      <c r="K114" s="6" t="n"/>
      <c r="P114">
        <f>MAX(P116)</f>
        <v/>
      </c>
      <c r="S114">
        <f>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(((E114/4000000)+(F114/60)+(S114/20000)+((P114/8500)*J114))*10000/4+(((E114/4000000)*(F114/60))+(((P114/8500)*J114)*(S114/20000)))*10000/2+((E114/4000000)*(F114/60)*((P114/8500)*J114)*(S114/20000))*10000)*(H114/0.75)/3</f>
        <v/>
      </c>
      <c r="X114" s="6" t="n">
        <v>6000</v>
      </c>
      <c r="Y114">
        <f>IFERROR(W114-X114,"")</f>
        <v/>
      </c>
      <c r="Z114">
        <f>IFERROR(ABS(Y114)/MAX(X114,1),"")</f>
        <v/>
      </c>
      <c r="AA114">
        <f>IFERROR(ROUND(((3*X114-(((E114/4000000)+(F114/60)+(S114/20000))*10000/4+((E114/4000000)*(F114/60))*10000/2)*(H114/0.75))/(10000/4+((S114/20000))*10000/2+((E114/4000000)*(F114/60)*(S114/20000))*10000)*(H114/0.75)*8500)/J114,-1),"")</f>
        <v/>
      </c>
    </row>
    <row r="115">
      <c r="B115" s="7" t="inlineStr">
        <is>
          <t xml:space="preserve">  ↳ RA2TOPOLCubaTarget</t>
        </is>
      </c>
      <c r="C115" s="7" t="inlineStr">
        <is>
          <t>Armament</t>
        </is>
      </c>
      <c r="L115" s="6" t="n"/>
      <c r="M115" s="6" t="n">
        <v>50</v>
      </c>
      <c r="N115" s="6" t="n">
        <v>1</v>
      </c>
      <c r="O115" s="6" t="n"/>
      <c r="P115" s="6" t="n">
        <v>32000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/>
    </row>
    <row r="116">
      <c r="B116" s="7" t="inlineStr">
        <is>
          <t xml:space="preserve">  ↳ RA2TOPOLCuba</t>
        </is>
      </c>
      <c r="C116" s="7" t="inlineStr">
        <is>
          <t>Armament@Launch</t>
        </is>
      </c>
      <c r="L116" s="6" t="n">
        <v>120000</v>
      </c>
      <c r="M116" s="6" t="n">
        <v>500</v>
      </c>
      <c r="N116" s="6" t="n">
        <v>1</v>
      </c>
      <c r="O116" s="6" t="n"/>
      <c r="P116" s="6" t="n">
        <v>32000</v>
      </c>
      <c r="Q116" s="6" t="n">
        <v>1</v>
      </c>
      <c r="R116">
        <f>M116+IF(N116&gt;1,N(O116)*(N116-1),0)</f>
        <v/>
      </c>
      <c r="S116">
        <f>IFERROR(L116*MAX(N116,1)/R116*IF(ISBLANK(K114),1,K114),0)</f>
        <v/>
      </c>
      <c r="AB116" s="7" t="inlineStr">
        <is>
          <t>^NuclearWarhead, ^HeavyBomb, ^MediumFlameWeapon, ^ShrapnelWeapon, ^LightChemicalWeapon, ^Grenade</t>
        </is>
      </c>
    </row>
    <row r="117">
      <c r="A117" t="inlineStr">
        <is>
          <t>redalert2mod</t>
        </is>
      </c>
      <c r="B117" t="inlineStr">
        <is>
          <t>latinsyndicate_tortugatank</t>
        </is>
      </c>
      <c r="C117" t="inlineStr">
        <is>
          <t>Tortuga Tank</t>
        </is>
      </c>
      <c r="D117" s="6" t="inlineStr">
        <is>
          <t>LineBreaker</t>
        </is>
      </c>
      <c r="E117" s="6" t="n">
        <v>875000</v>
      </c>
      <c r="F117" s="6" t="n">
        <v>45</v>
      </c>
      <c r="G117" t="inlineStr">
        <is>
          <t>Superheavy</t>
        </is>
      </c>
      <c r="H117" s="6" t="n">
        <v>0.5</v>
      </c>
      <c r="I117" s="6" t="n">
        <v>1</v>
      </c>
      <c r="J117" s="6" t="n">
        <v>1</v>
      </c>
      <c r="K117" s="6" t="n"/>
      <c r="P117">
        <f>MAX(P118,P119,P120,P121)</f>
        <v/>
      </c>
      <c r="S117">
        <f>S118+S119+S120+S121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(((E117/750000)+(F117/80)+(S117/1600)+((P117/2500)*J117))*1600/4+(((E117/750000)*(F117/80))+(((P117/2500)*J117)*(S117/1600)))*1600/2+((E117/750000)*(F117/80)*((P117/2500)*J117)*(S117/1600))*1600)*(H117/1.0)/3</f>
        <v/>
      </c>
      <c r="X117" s="6" t="n">
        <v>3000</v>
      </c>
      <c r="Y117">
        <f>IFERROR(W117-X117,"")</f>
        <v/>
      </c>
      <c r="Z117">
        <f>IFERROR(ABS(Y117)/MAX(X117,1),"")</f>
        <v/>
      </c>
      <c r="AA117">
        <f>IFERROR(ROUND(((3*X117-(((E117/750000)+(F117/80)+(S117/1600))*1600/4+((E117/750000)*(F117/80))*1600/2)*(H117/1.0))/(1600/4+((S117/1600))*1600/2+((E117/750000)*(F117/80)*(S117/1600))*1600)*(H117/1.0)*2500)/J117,-1),"")</f>
        <v/>
      </c>
    </row>
    <row r="118">
      <c r="B118" s="7" t="inlineStr">
        <is>
          <t xml:space="preserve">  ↳ LatinBuggyMG</t>
        </is>
      </c>
      <c r="C118" s="7" t="inlineStr">
        <is>
          <t>Armament</t>
        </is>
      </c>
      <c r="L118" s="6" t="n">
        <v>8000</v>
      </c>
      <c r="M118" s="6" t="n">
        <v>35</v>
      </c>
      <c r="N118" s="6" t="n">
        <v>5</v>
      </c>
      <c r="O118" s="6" t="n">
        <v>5</v>
      </c>
      <c r="P118" s="6" t="n">
        <v>6000</v>
      </c>
      <c r="Q118" s="6" t="n">
        <v>0.875</v>
      </c>
      <c r="R118">
        <f>M118+IF(N118&gt;1,N(O118)*(N118-1),0)</f>
        <v/>
      </c>
      <c r="S118">
        <f>IFERROR(L118*MAX(N118,1)/R118*IF(ISBLANK(K117),1,K117),0)</f>
        <v/>
      </c>
      <c r="AB118" s="7" t="inlineStr">
        <is>
          <t>^Warhead_Bullet_Light, ^Warhead_Bullet_Medium</t>
        </is>
      </c>
    </row>
    <row r="119">
      <c r="B119" s="7" t="inlineStr">
        <is>
          <t xml:space="preserve">  ↳ LatinBuggyMG_elite</t>
        </is>
      </c>
      <c r="C119" s="7" t="inlineStr">
        <is>
          <t>Armament@Elite</t>
        </is>
      </c>
      <c r="L119" s="6" t="n">
        <v>8000</v>
      </c>
      <c r="M119" s="6" t="n">
        <v>35</v>
      </c>
      <c r="N119" s="6" t="n">
        <v>10</v>
      </c>
      <c r="O119" s="6" t="n">
        <v>3</v>
      </c>
      <c r="P119" s="6" t="n">
        <v>7000</v>
      </c>
      <c r="Q119" s="6" t="n">
        <v>0.875</v>
      </c>
      <c r="R119">
        <f>M119+IF(N119&gt;1,N(O119)*(N119-1),0)</f>
        <v/>
      </c>
      <c r="S119">
        <f>IFERROR(L119*MAX(N119,1)/R119*IF(ISBLANK(K117),1,K117),0)</f>
        <v/>
      </c>
      <c r="AB119" s="7" t="inlineStr">
        <is>
          <t>^Warhead_Bullet_Light, ^Warhead_Bullet_Medium</t>
        </is>
      </c>
    </row>
    <row r="120">
      <c r="B120" s="7" t="inlineStr">
        <is>
          <t xml:space="preserve">  ↳ LatinBuggyChaingun</t>
        </is>
      </c>
      <c r="C120" s="7" t="inlineStr">
        <is>
          <t>Armament@Gatling</t>
        </is>
      </c>
      <c r="L120" s="6" t="n">
        <v>8000</v>
      </c>
      <c r="M120" s="6" t="n">
        <v>11</v>
      </c>
      <c r="N120" s="6" t="n">
        <v>1</v>
      </c>
      <c r="O120" s="6" t="n"/>
      <c r="P120" s="6" t="n">
        <v>6000</v>
      </c>
      <c r="Q120" s="6" t="n">
        <v>1</v>
      </c>
      <c r="R120">
        <f>M120+IF(N120&gt;1,N(O120)*(N120-1),0)</f>
        <v/>
      </c>
      <c r="S120">
        <f>IFERROR(L120*MAX(N120,1)/R120*IF(ISBLANK(K117),1,K117),0)</f>
        <v/>
      </c>
      <c r="AB120" s="7" t="inlineStr">
        <is>
          <t>^Warhead_CannonAP_Light, ^Warhead_Flak_Medium, ^Warhead_Bullet_Light, ^Warhead_Bullet_Medium</t>
        </is>
      </c>
    </row>
    <row r="121">
      <c r="B121" s="7" t="inlineStr">
        <is>
          <t xml:space="preserve">  ↳ LatinBuggyChaingun_elite</t>
        </is>
      </c>
      <c r="C121" s="7" t="inlineStr">
        <is>
          <t>Armament@GatlingElite</t>
        </is>
      </c>
      <c r="L121" s="6" t="n">
        <v>8000</v>
      </c>
      <c r="M121" s="6" t="n">
        <v>11</v>
      </c>
      <c r="N121" s="6" t="n">
        <v>1</v>
      </c>
      <c r="O121" s="6" t="n"/>
      <c r="P121" s="6" t="n">
        <v>7000</v>
      </c>
      <c r="Q121" s="6" t="n">
        <v>1</v>
      </c>
      <c r="R121">
        <f>M121+IF(N121&gt;1,N(O121)*(N121-1),0)</f>
        <v/>
      </c>
      <c r="S121">
        <f>IFERROR(L121*MAX(N121,1)/R121*IF(ISBLANK(K117),1,K117),0)</f>
        <v/>
      </c>
      <c r="AB121" s="7" t="inlineStr">
        <is>
          <t>^Warhead_CannonAP_Light, ^Warhead_Flak_Medium, ^Warhead_Bullet_Light, ^Warhead_Bullet_Medium</t>
        </is>
      </c>
    </row>
    <row r="122">
      <c r="A122" t="inlineStr">
        <is>
          <t>redalert2mod</t>
        </is>
      </c>
      <c r="B122" t="inlineStr">
        <is>
          <t>scrapcar.latin</t>
        </is>
      </c>
      <c r="C122" t="inlineStr">
        <is>
          <t>Civilian Vehicle</t>
        </is>
      </c>
      <c r="D122" s="6" t="inlineStr">
        <is>
          <t>Vehicle</t>
        </is>
      </c>
      <c r="E122" s="6" t="n">
        <v>20000</v>
      </c>
      <c r="F122" s="6" t="n">
        <v>100</v>
      </c>
      <c r="G122" t="inlineStr">
        <is>
          <t>Light</t>
        </is>
      </c>
      <c r="H122" s="6" t="n">
        <v>1</v>
      </c>
      <c r="I122" s="6" t="n">
        <v>1</v>
      </c>
      <c r="J122" s="6" t="n">
        <v>1</v>
      </c>
      <c r="K122" s="6" t="n"/>
      <c r="X122" s="6" t="n">
        <v>0</v>
      </c>
    </row>
    <row r="123">
      <c r="A123" t="inlineStr">
        <is>
          <t>redalert2mod</t>
        </is>
      </c>
      <c r="B123" t="inlineStr">
        <is>
          <t>scrapcar2.latin</t>
        </is>
      </c>
      <c r="C123" t="inlineStr">
        <is>
          <t>Civilian Vehicle</t>
        </is>
      </c>
      <c r="D123" s="6" t="inlineStr">
        <is>
          <t>Vehicle</t>
        </is>
      </c>
      <c r="E123" s="6" t="n">
        <v>20000</v>
      </c>
      <c r="F123" s="6" t="n">
        <v>100</v>
      </c>
      <c r="G123" t="inlineStr">
        <is>
          <t>Light</t>
        </is>
      </c>
      <c r="H123" s="6" t="n">
        <v>1</v>
      </c>
      <c r="I123" s="6" t="n">
        <v>1</v>
      </c>
      <c r="J123" s="6" t="n">
        <v>1</v>
      </c>
      <c r="K123" s="6" t="n"/>
      <c r="X123" s="6" t="n">
        <v>0</v>
      </c>
    </row>
    <row r="124">
      <c r="A124" t="inlineStr">
        <is>
          <t>redalert2mod</t>
        </is>
      </c>
      <c r="B124" t="inlineStr">
        <is>
          <t>scrapcar2_demo.latin</t>
        </is>
      </c>
      <c r="C124" t="inlineStr">
        <is>
          <t>Bomb Car</t>
        </is>
      </c>
      <c r="D124" s="6" t="inlineStr">
        <is>
          <t>Vehicle</t>
        </is>
      </c>
      <c r="E124" s="6" t="n">
        <v>20000</v>
      </c>
      <c r="F124" s="6" t="n">
        <v>100</v>
      </c>
      <c r="G124" t="inlineStr">
        <is>
          <t>Light</t>
        </is>
      </c>
      <c r="H124" s="6" t="n">
        <v>1</v>
      </c>
      <c r="I124" s="6" t="n">
        <v>1</v>
      </c>
      <c r="J124" s="6" t="n">
        <v>1</v>
      </c>
      <c r="K124" s="6" t="n"/>
      <c r="X124" s="6" t="n">
        <v>500</v>
      </c>
    </row>
    <row r="125">
      <c r="B125" s="7" t="inlineStr">
        <is>
          <t xml:space="preserve">  ↳ DemoTruckTargeting</t>
        </is>
      </c>
      <c r="C125" s="7" t="inlineStr">
        <is>
          <t>Armament@PRIMARY</t>
        </is>
      </c>
      <c r="L125" s="6" t="n"/>
      <c r="M125" s="6" t="n"/>
      <c r="N125" s="6" t="n">
        <v>1</v>
      </c>
      <c r="O125" s="6" t="n"/>
      <c r="P125" s="6" t="n">
        <v>2000</v>
      </c>
      <c r="Q125" s="6" t="n">
        <v>1</v>
      </c>
      <c r="R125">
        <f>M125+IF(N125&gt;1,N(O125)*(N125-1),0)</f>
        <v/>
      </c>
      <c r="S125">
        <f>IFERROR(L125*MAX(N125,1)/R125*IF(ISBLANK(K124),1,K124),0)</f>
        <v/>
      </c>
      <c r="AB125" s="7" t="inlineStr"/>
    </row>
    <row r="126">
      <c r="A126" t="inlineStr">
        <is>
          <t>redalert2mod</t>
        </is>
      </c>
      <c r="B126" t="inlineStr">
        <is>
          <t>scrapcar2_driveby.latin</t>
        </is>
      </c>
      <c r="C126" t="inlineStr">
        <is>
          <t>Drive By Car</t>
        </is>
      </c>
      <c r="D126" s="6" t="inlineStr">
        <is>
          <t>ScoutVehicle</t>
        </is>
      </c>
      <c r="E126" s="6" t="n">
        <v>25000</v>
      </c>
      <c r="F126" s="6" t="n">
        <v>100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K126" s="6" t="n"/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(((E126/30000)+(F126/200)+(S126/450)+((P126/4500)*J126))*300/4+(((E126/30000)*(F126/200))+(((P126/4500)*J126)*(S126/450)))*300/2+((E126/30000)*(F126/200)*((P126/4500)*J126)*(S126/450))*300)*(H126/1.0)/3</f>
        <v/>
      </c>
      <c r="X126" s="6" t="n">
        <v>1000</v>
      </c>
      <c r="Y126">
        <f>IFERROR(W126-X126,"")</f>
        <v/>
      </c>
      <c r="Z126">
        <f>IFERROR(ABS(Y126)/MAX(X126,1),"")</f>
        <v/>
      </c>
      <c r="AA126">
        <f>IFERROR(ROUND(((3*X126-(((E126/30000)+(F126/200)+(S126/450))*300/4+((E126/30000)*(F126/200))*300/2)*(H126/1.0))/(300/4+((S126/450))*300/2+((E126/30000)*(F126/200)*(S126/450))*300)*(H126/1.0)*4500)/J126,-1),"")</f>
        <v/>
      </c>
    </row>
    <row r="127">
      <c r="B127" s="7" t="inlineStr">
        <is>
          <t xml:space="preserve">  ↳ RA220mmrapid</t>
        </is>
      </c>
      <c r="C127" s="7" t="inlineStr">
        <is>
          <t>Armament</t>
        </is>
      </c>
      <c r="L127" s="6" t="n">
        <v>8000</v>
      </c>
      <c r="M127" s="6" t="n">
        <v>15</v>
      </c>
      <c r="N127" s="6" t="n">
        <v>1</v>
      </c>
      <c r="O127" s="6" t="n"/>
      <c r="P127" s="6" t="n">
        <v>5000</v>
      </c>
      <c r="Q127" s="6" t="n">
        <v>0.875</v>
      </c>
      <c r="R127">
        <f>M127+IF(N127&gt;1,N(O127)*(N127-1),0)</f>
        <v/>
      </c>
      <c r="S127">
        <f>IFERROR(L127*MAX(N127,1)/R127*IF(ISBLANK(K126),1,K126),0)</f>
        <v/>
      </c>
      <c r="AB127" s="7" t="inlineStr">
        <is>
          <t>^Warhead_Bullet_Light, ^Warhead_Bullet_Medium</t>
        </is>
      </c>
    </row>
    <row r="128">
      <c r="A128" t="inlineStr">
        <is>
          <t>redalert2mod</t>
        </is>
      </c>
      <c r="B128" t="inlineStr">
        <is>
          <t>scrapcar_demo.latin</t>
        </is>
      </c>
      <c r="C128" t="inlineStr">
        <is>
          <t>Bomb Car</t>
        </is>
      </c>
      <c r="D128" s="6" t="inlineStr">
        <is>
          <t>Vehicle</t>
        </is>
      </c>
      <c r="E128" s="6" t="n">
        <v>20000</v>
      </c>
      <c r="F128" s="6" t="n">
        <v>100</v>
      </c>
      <c r="G128" t="inlineStr">
        <is>
          <t>Light</t>
        </is>
      </c>
      <c r="H128" s="6" t="n">
        <v>1</v>
      </c>
      <c r="I128" s="6" t="n">
        <v>1</v>
      </c>
      <c r="J128" s="6" t="n">
        <v>1</v>
      </c>
      <c r="K128" s="6" t="n"/>
      <c r="X128" s="6" t="n">
        <v>500</v>
      </c>
    </row>
    <row r="129">
      <c r="B129" s="7" t="inlineStr">
        <is>
          <t xml:space="preserve">  ↳ DemoTruckTargeting</t>
        </is>
      </c>
      <c r="C129" s="7" t="inlineStr">
        <is>
          <t>Armament@PRIMARY</t>
        </is>
      </c>
      <c r="L129" s="6" t="n"/>
      <c r="M129" s="6" t="n"/>
      <c r="N129" s="6" t="n">
        <v>1</v>
      </c>
      <c r="O129" s="6" t="n"/>
      <c r="P129" s="6" t="n">
        <v>2000</v>
      </c>
      <c r="Q129" s="6" t="n">
        <v>1</v>
      </c>
      <c r="R129">
        <f>M129+IF(N129&gt;1,N(O129)*(N129-1),0)</f>
        <v/>
      </c>
      <c r="S129">
        <f>IFERROR(L129*MAX(N129,1)/R129*IF(ISBLANK(K128),1,K128),0)</f>
        <v/>
      </c>
      <c r="AB129" s="7" t="inlineStr"/>
    </row>
    <row r="130">
      <c r="A130" t="inlineStr">
        <is>
          <t>redalert2mod</t>
        </is>
      </c>
      <c r="B130" t="inlineStr">
        <is>
          <t>scrapcar_driveby.latin</t>
        </is>
      </c>
      <c r="C130" t="inlineStr">
        <is>
          <t>Drive By Car</t>
        </is>
      </c>
      <c r="D130" s="6" t="inlineStr">
        <is>
          <t>ScoutVehicle</t>
        </is>
      </c>
      <c r="E130" s="6" t="n">
        <v>25000</v>
      </c>
      <c r="F130" s="6" t="n">
        <v>100</v>
      </c>
      <c r="G130" t="inlineStr">
        <is>
          <t>Scout</t>
        </is>
      </c>
      <c r="H130" s="6" t="n">
        <v>1</v>
      </c>
      <c r="I130" s="6" t="n">
        <v>1</v>
      </c>
      <c r="J130" s="6" t="n">
        <v>1</v>
      </c>
      <c r="K130" s="6" t="n"/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(((E130/30000)+(F130/200)+(S130/450)+((P130/4500)*J130))*300/4+(((E130/30000)*(F130/200))+(((P130/4500)*J130)*(S130/450)))*300/2+((E130/30000)*(F130/200)*((P130/4500)*J130)*(S130/450))*300)*(H130/1.0)/3</f>
        <v/>
      </c>
      <c r="X130" s="6" t="n">
        <v>1000</v>
      </c>
      <c r="Y130">
        <f>IFERROR(W130-X130,"")</f>
        <v/>
      </c>
      <c r="Z130">
        <f>IFERROR(ABS(Y130)/MAX(X130,1),"")</f>
        <v/>
      </c>
      <c r="AA130">
        <f>IFERROR(ROUND(((3*X130-(((E130/30000)+(F130/200)+(S130/450))*300/4+((E130/30000)*(F130/200))*300/2)*(H130/1.0))/(300/4+((S130/450))*300/2+((E130/30000)*(F130/200)*(S130/450))*300)*(H130/1.0)*4500)/J130,-1),"")</f>
        <v/>
      </c>
    </row>
    <row r="131">
      <c r="B131" s="7" t="inlineStr">
        <is>
          <t xml:space="preserve">  ↳ RA220mmrapid</t>
        </is>
      </c>
      <c r="C131" s="7" t="inlineStr">
        <is>
          <t>Armament</t>
        </is>
      </c>
      <c r="L131" s="6" t="n">
        <v>8000</v>
      </c>
      <c r="M131" s="6" t="n">
        <v>15</v>
      </c>
      <c r="N131" s="6" t="n">
        <v>1</v>
      </c>
      <c r="O131" s="6" t="n"/>
      <c r="P131" s="6" t="n">
        <v>5000</v>
      </c>
      <c r="Q131" s="6" t="n">
        <v>0.875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^Warhead_Bullet_Light, ^Warhead_Bullet_Medium</t>
        </is>
      </c>
    </row>
    <row r="132">
      <c r="A132" s="4" t="inlineStr">
        <is>
          <t>AIRCRAFT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t="inlineStr">
        <is>
          <t>redalert2mod</t>
        </is>
      </c>
      <c r="B133" t="inlineStr">
        <is>
          <t>latinsyndicate_hindtransport</t>
        </is>
      </c>
      <c r="C133" t="inlineStr">
        <is>
          <t>Hind Transport</t>
        </is>
      </c>
      <c r="D133" s="6" t="inlineStr">
        <is>
          <t>Helicopter</t>
        </is>
      </c>
      <c r="E133" s="6" t="n">
        <v>95000</v>
      </c>
      <c r="F133" s="6" t="n">
        <v>90</v>
      </c>
      <c r="G133" t="inlineStr">
        <is>
          <t>Helicopter</t>
        </is>
      </c>
      <c r="H133" s="6" t="n">
        <v>0.7020999999999999</v>
      </c>
      <c r="I133" s="6" t="n">
        <v>1</v>
      </c>
      <c r="J133" s="6" t="n">
        <v>1</v>
      </c>
      <c r="K133" s="6" t="n">
        <v>0.0075</v>
      </c>
      <c r="P133">
        <f>MAX(P134)</f>
        <v/>
      </c>
      <c r="S133">
        <f>S134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2500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BlackHawkCannon</t>
        </is>
      </c>
      <c r="C134" s="7" t="inlineStr">
        <is>
          <t>Armament@PRIMARY</t>
        </is>
      </c>
      <c r="L134" s="6" t="n">
        <v>4000</v>
      </c>
      <c r="M134" s="6" t="n">
        <v>3</v>
      </c>
      <c r="N134" s="6" t="n">
        <v>1</v>
      </c>
      <c r="O134" s="6" t="n"/>
      <c r="P134" s="6" t="n">
        <v>4750</v>
      </c>
      <c r="Q134" s="6" t="n">
        <v>0.875</v>
      </c>
      <c r="R134">
        <f>M134+IF(N134&gt;1,N(O134)*(N134-1),0)</f>
        <v/>
      </c>
      <c r="S134">
        <f>IFERROR(L134*MAX(N134,1)/R134*IF(ISBLANK(K133),1,K133),0)</f>
        <v/>
      </c>
      <c r="AB134" s="7" t="inlineStr">
        <is>
          <t>^Warhead_Bullet_Light, ^Warhead_Bullet_Medium</t>
        </is>
      </c>
    </row>
    <row r="135">
      <c r="A135" t="inlineStr">
        <is>
          <t>redalert2mod</t>
        </is>
      </c>
      <c r="B135" t="inlineStr">
        <is>
          <t>latinsyndicate_mig21</t>
        </is>
      </c>
      <c r="C135" t="inlineStr">
        <is>
          <t>MiG-21</t>
        </is>
      </c>
      <c r="D135" s="6" t="inlineStr">
        <is>
          <t>Bomber</t>
        </is>
      </c>
      <c r="E135" s="6" t="n">
        <v>50000</v>
      </c>
      <c r="F135" s="6" t="n">
        <v>190</v>
      </c>
      <c r="G135" t="inlineStr">
        <is>
          <t>Bomber</t>
        </is>
      </c>
      <c r="H135" s="6" t="n">
        <v>0.75</v>
      </c>
      <c r="I135" s="6" t="n">
        <v>1</v>
      </c>
      <c r="J135" s="6" t="n">
        <v>1</v>
      </c>
      <c r="K135" s="6" t="n"/>
      <c r="P135">
        <f>MAX(P136,P137,P138,P139)</f>
        <v/>
      </c>
      <c r="S135">
        <f>S136+S137+S138+S139</f>
        <v/>
      </c>
      <c r="T135">
        <f>(E135/100000+F135/100+(P135/1000)*J135/5+S135/200)*200*I135*H135</f>
        <v/>
      </c>
      <c r="U135">
        <f>((E135*F135/25000)+((P135/1000)*J135*S135/2.5))*I135*H135</f>
        <v/>
      </c>
      <c r="V135">
        <f>(E135*F135*(P135/1000)*J135*S135*I135*H135)/12500000</f>
        <v/>
      </c>
      <c r="W135">
        <f>(T135+U135+V135)/3</f>
        <v/>
      </c>
      <c r="X135" s="6" t="n">
        <v>1000</v>
      </c>
      <c r="Y135">
        <f>IFERROR(W135-X135,"")</f>
        <v/>
      </c>
      <c r="Z135">
        <f>IFERROR(ABS(Y135)/MAX(X135,1),"")</f>
        <v/>
      </c>
      <c r="AA135">
        <f>IFERROR((X135-(((E135/100000+F135/100+S135/200)*200*I135*H135)+((E135*F135/25000)*I135*H135))/3)/(((J135/5)*200*I135*H135)+((J135*S135/2.5)*I135*H135)+((E135*F135*J135*S135*I135*H135)/12500000))/3*1000,"")</f>
        <v/>
      </c>
    </row>
    <row r="136">
      <c r="B136" s="7" t="inlineStr">
        <is>
          <t xml:space="preserve">  ↳ MigMissiles</t>
        </is>
      </c>
      <c r="C136" s="7" t="inlineStr">
        <is>
          <t>Armament</t>
        </is>
      </c>
      <c r="L136" s="6" t="n">
        <v>32000</v>
      </c>
      <c r="M136" s="6" t="n">
        <v>50</v>
      </c>
      <c r="N136" s="6" t="n">
        <v>4</v>
      </c>
      <c r="O136" s="6" t="n">
        <v>2</v>
      </c>
      <c r="P136" s="6" t="n">
        <v>7600</v>
      </c>
      <c r="Q136" s="6" t="n">
        <v>1</v>
      </c>
      <c r="R136">
        <f>M136+IF(N136&gt;1,N(O136)*(N136-1),0)</f>
        <v/>
      </c>
      <c r="S136">
        <f>IFERROR(L136*MAX(N136,1)/R136*IF(ISBLANK(K135),1,K135),0)</f>
        <v/>
      </c>
      <c r="AB136" s="7" t="inlineStr">
        <is>
          <t>^Warhead_MissileAP_Medium</t>
        </is>
      </c>
    </row>
    <row r="137">
      <c r="B137" s="7" t="inlineStr">
        <is>
          <t xml:space="preserve">  ↳ MigMissiles_elite</t>
        </is>
      </c>
      <c r="C137" s="7" t="inlineStr">
        <is>
          <t>Armament@PRIMARYELITE</t>
        </is>
      </c>
      <c r="L137" s="6" t="n">
        <v>32000</v>
      </c>
      <c r="M137" s="6" t="n">
        <v>50</v>
      </c>
      <c r="N137" s="6" t="n">
        <v>8</v>
      </c>
      <c r="O137" s="6" t="n">
        <v>2</v>
      </c>
      <c r="P137" s="6" t="n">
        <v>8600</v>
      </c>
      <c r="Q137" s="6" t="n">
        <v>1</v>
      </c>
      <c r="R137">
        <f>M137+IF(N137&gt;1,N(O137)*(N137-1),0)</f>
        <v/>
      </c>
      <c r="S137">
        <f>IFERROR(L137*MAX(N137,1)/R137*IF(ISBLANK(K135),1,K135),0)</f>
        <v/>
      </c>
      <c r="AB137" s="7" t="inlineStr">
        <is>
          <t>^Warhead_MissileAP_Medium</t>
        </is>
      </c>
    </row>
    <row r="138">
      <c r="B138" s="7" t="inlineStr">
        <is>
          <t xml:space="preserve">  ↳ MigMissiles_AA</t>
        </is>
      </c>
      <c r="C138" s="7" t="inlineStr">
        <is>
          <t>Armament@AA</t>
        </is>
      </c>
      <c r="L138" s="6" t="n">
        <v>32000</v>
      </c>
      <c r="M138" s="6" t="n">
        <v>50</v>
      </c>
      <c r="N138" s="6" t="n">
        <v>4</v>
      </c>
      <c r="O138" s="6" t="n">
        <v>2</v>
      </c>
      <c r="P138" s="6" t="n">
        <v>7600</v>
      </c>
      <c r="Q138" s="6" t="n">
        <v>1</v>
      </c>
      <c r="R138">
        <f>M138+IF(N138&gt;1,N(O138)*(N138-1),0)</f>
        <v/>
      </c>
      <c r="S138">
        <f>IFERROR(L138*MAX(N138,1)/R138*IF(ISBLANK(K135),1,K135),0)</f>
        <v/>
      </c>
      <c r="AB138" s="7" t="inlineStr">
        <is>
          <t>^Warhead_MissileAP_Medium</t>
        </is>
      </c>
    </row>
    <row r="139">
      <c r="B139" s="7" t="inlineStr">
        <is>
          <t xml:space="preserve">  ↳ MigMissiles_AA_elite</t>
        </is>
      </c>
      <c r="C139" s="7" t="inlineStr">
        <is>
          <t>Armament@AAELITE</t>
        </is>
      </c>
      <c r="L139" s="6" t="n">
        <v>32000</v>
      </c>
      <c r="M139" s="6" t="n">
        <v>50</v>
      </c>
      <c r="N139" s="6" t="n">
        <v>8</v>
      </c>
      <c r="O139" s="6" t="n">
        <v>2</v>
      </c>
      <c r="P139" s="6" t="n">
        <v>8600</v>
      </c>
      <c r="Q139" s="6" t="n">
        <v>1</v>
      </c>
      <c r="R139">
        <f>M139+IF(N139&gt;1,N(O139)*(N139-1),0)</f>
        <v/>
      </c>
      <c r="S139">
        <f>IFERROR(L139*MAX(N139,1)/R139*IF(ISBLANK(K135),1,K135),0)</f>
        <v/>
      </c>
      <c r="AB139" s="7" t="inlineStr">
        <is>
          <t>^Warhead_MissileAP_Medium</t>
        </is>
      </c>
    </row>
    <row r="140">
      <c r="A140" t="inlineStr">
        <is>
          <t>redalert2mod</t>
        </is>
      </c>
      <c r="B140" t="inlineStr">
        <is>
          <t>latinsyndicate_yakovlev</t>
        </is>
      </c>
      <c r="C140" t="inlineStr">
        <is>
          <t>Yakovlev</t>
        </is>
      </c>
      <c r="D140" s="6" t="inlineStr">
        <is>
          <t>Fighter</t>
        </is>
      </c>
      <c r="E140" s="6" t="n">
        <v>40000</v>
      </c>
      <c r="F140" s="6" t="n">
        <v>165</v>
      </c>
      <c r="G140" t="inlineStr">
        <is>
          <t>Fighter</t>
        </is>
      </c>
      <c r="H140" s="6" t="n">
        <v>1</v>
      </c>
      <c r="I140" s="6" t="n">
        <v>1</v>
      </c>
      <c r="J140" s="6" t="n">
        <v>1</v>
      </c>
      <c r="K140" s="6" t="n"/>
      <c r="P140">
        <f>MAX(P141,P142,P143)</f>
        <v/>
      </c>
      <c r="S140">
        <f>S141+S142+S143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(T140+U140+V140)/3</f>
        <v/>
      </c>
      <c r="X140" s="6" t="n">
        <v>900</v>
      </c>
      <c r="Y140">
        <f>IFERROR(W140-X140,"")</f>
        <v/>
      </c>
      <c r="Z140">
        <f>IFERROR(ABS(Y140)/MAX(X140,1),"")</f>
        <v/>
      </c>
      <c r="AA140">
        <f>IFERROR((X140-(((E140/100000+F140/100+S140/200)*200*I140*H140)+((E140*F140/25000)*I140*H140))/3)/(((J140/5)*200*I140*H140)+((J140*S140/2.5)*I140*H140)+((E140*F140*J140*S140*I140*H140)/12500000))/3*1000,"")</f>
        <v/>
      </c>
    </row>
    <row r="141">
      <c r="B141" s="7" t="inlineStr">
        <is>
          <t xml:space="preserve">  ↳ YakovlevCannon</t>
        </is>
      </c>
      <c r="C141" s="7" t="inlineStr">
        <is>
          <t>Armament</t>
        </is>
      </c>
      <c r="L141" s="6" t="n">
        <v>8000</v>
      </c>
      <c r="M141" s="6" t="n">
        <v>80</v>
      </c>
      <c r="N141" s="6" t="n">
        <v>4</v>
      </c>
      <c r="O141" s="6" t="n">
        <v>5</v>
      </c>
      <c r="P141" s="6" t="n">
        <v>4444</v>
      </c>
      <c r="Q141" s="6" t="n">
        <v>1</v>
      </c>
      <c r="R141">
        <f>M141+IF(N141&gt;1,N(O141)*(N141-1),0)</f>
        <v/>
      </c>
      <c r="S141">
        <f>IFERROR(L141*MAX(N141,1)/R141*IF(ISBLANK(K140),1,K140),0)</f>
        <v/>
      </c>
      <c r="AB141" s="7" t="inlineStr">
        <is>
          <t>^Warhead_CannonHE_Heavy, ^Warhead_CannonAP_Light, ^Warhead_Flak_Medium, ^Warhead_Bullet_Medium</t>
        </is>
      </c>
    </row>
    <row r="142">
      <c r="B142" s="7" t="inlineStr">
        <is>
          <t xml:space="preserve">  ↳ YakovlevCannon_elite</t>
        </is>
      </c>
      <c r="C142" s="7" t="inlineStr">
        <is>
          <t>Armament@ELITE</t>
        </is>
      </c>
      <c r="L142" s="6" t="n">
        <v>8000</v>
      </c>
      <c r="M142" s="6" t="n">
        <v>5</v>
      </c>
      <c r="N142" s="6" t="n">
        <v>1</v>
      </c>
      <c r="O142" s="6" t="n"/>
      <c r="P142" s="6" t="n">
        <v>5555</v>
      </c>
      <c r="Q142" s="6" t="n">
        <v>1</v>
      </c>
      <c r="R142">
        <f>M142+IF(N142&gt;1,N(O142)*(N142-1),0)</f>
        <v/>
      </c>
      <c r="S142">
        <f>IFERROR(L142*MAX(N142,1)/R142*IF(ISBLANK(K140),1,K140),0)</f>
        <v/>
      </c>
      <c r="AB142" s="7" t="inlineStr">
        <is>
          <t>^Warhead_CannonHE_Heavy, ^Warhead_CannonAP_Light, ^Warhead_Flak_Medium, ^Warhead_Bullet_Medium</t>
        </is>
      </c>
    </row>
    <row r="143">
      <c r="B143" s="7" t="inlineStr">
        <is>
          <t xml:space="preserve">  ↳ YakovlevCannon_elite</t>
        </is>
      </c>
      <c r="C143" s="7" t="inlineStr">
        <is>
          <t>Armament@latinsyndicate_upgrade_yuristolentechchainguns</t>
        </is>
      </c>
      <c r="L143" s="6" t="n">
        <v>8000</v>
      </c>
      <c r="M143" s="6" t="n">
        <v>5</v>
      </c>
      <c r="N143" s="6" t="n">
        <v>1</v>
      </c>
      <c r="O143" s="6" t="n"/>
      <c r="P143" s="6" t="n">
        <v>5555</v>
      </c>
      <c r="Q143" s="6" t="n">
        <v>1</v>
      </c>
      <c r="R143">
        <f>M143+IF(N143&gt;1,N(O143)*(N143-1),0)</f>
        <v/>
      </c>
      <c r="S143">
        <f>IFERROR(L143*MAX(N143,1)/R143*IF(ISBLANK(K140),1,K140),0)</f>
        <v/>
      </c>
      <c r="AB143" s="7" t="inlineStr">
        <is>
          <t>^Warhead_CannonHE_Heavy, ^Warhead_CannonAP_Light, ^Warhead_Flak_Medium, ^Warhead_Bullet_Medium</t>
        </is>
      </c>
    </row>
    <row r="144">
      <c r="A144" s="4" t="inlineStr">
        <is>
          <t>NAVAL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redalert2mod</t>
        </is>
      </c>
      <c r="B145" t="inlineStr">
        <is>
          <t>rammax.latin</t>
        </is>
      </c>
      <c r="C145" t="inlineStr">
        <is>
          <t>Rammax Drone</t>
        </is>
      </c>
      <c r="D145" s="6" t="inlineStr">
        <is>
          <t>ScoutShip</t>
        </is>
      </c>
      <c r="E145" s="6" t="n">
        <v>47500</v>
      </c>
      <c r="F145" s="6" t="n">
        <v>125</v>
      </c>
      <c r="G145" t="inlineStr">
        <is>
          <t>Medium</t>
        </is>
      </c>
      <c r="H145" s="6" t="n">
        <v>0.9429</v>
      </c>
      <c r="I145" s="6" t="n">
        <v>1</v>
      </c>
      <c r="J145" s="6" t="n">
        <v>1</v>
      </c>
      <c r="K145" s="6" t="n"/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800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Rammax_Sabot</t>
        </is>
      </c>
      <c r="C146" s="7" t="inlineStr">
        <is>
          <t>Armament@PRIMARY</t>
        </is>
      </c>
      <c r="L146" s="6" t="n">
        <v>14000</v>
      </c>
      <c r="M146" s="6" t="n">
        <v>15</v>
      </c>
      <c r="N146" s="6" t="n">
        <v>1</v>
      </c>
      <c r="O146" s="6" t="n"/>
      <c r="P146" s="6" t="n">
        <v>3072</v>
      </c>
      <c r="Q146" s="6" t="n">
        <v>1</v>
      </c>
      <c r="R146">
        <f>M146+IF(N146&gt;1,N(O146)*(N146-1),0)</f>
        <v/>
      </c>
      <c r="S146">
        <f>IFERROR(L146*MAX(N146,1)/R146*IF(ISBLANK(K145),1,K145),0)</f>
        <v/>
      </c>
      <c r="AB146" s="7" t="inlineStr">
        <is>
          <t>^Chaingun, ^LaserWeapon, ^TeslaWeapon, ^TSLaserEffect</t>
        </is>
      </c>
    </row>
    <row r="147">
      <c r="B147" s="7" t="inlineStr">
        <is>
          <t xml:space="preserve">  ↳ Rammax_Sabot</t>
        </is>
      </c>
      <c r="C147" s="7" t="inlineStr">
        <is>
          <t>Armament@ELITE</t>
        </is>
      </c>
      <c r="L147" s="6" t="n">
        <v>14000</v>
      </c>
      <c r="M147" s="6" t="n">
        <v>15</v>
      </c>
      <c r="N147" s="6" t="n">
        <v>1</v>
      </c>
      <c r="O147" s="6" t="n"/>
      <c r="P147" s="6" t="n">
        <v>3072</v>
      </c>
      <c r="Q147" s="6" t="n">
        <v>1</v>
      </c>
      <c r="R147">
        <f>M147+IF(N147&gt;1,N(O147)*(N147-1),0)</f>
        <v/>
      </c>
      <c r="S147">
        <f>IFERROR(L147*MAX(N147,1)/R147*IF(ISBLANK(K145),1,K145),0)</f>
        <v/>
      </c>
      <c r="AB147" s="7" t="inlineStr">
        <is>
          <t>^Chaingun, ^LaserWeapon, ^TeslaWeapon, ^TSLaserEffect</t>
        </is>
      </c>
    </row>
    <row r="148">
      <c r="A148" t="inlineStr">
        <is>
          <t>redalert2mod</t>
        </is>
      </c>
      <c r="B148" t="inlineStr">
        <is>
          <t>sub.latin</t>
        </is>
      </c>
      <c r="C148" t="inlineStr">
        <is>
          <t>Akula</t>
        </is>
      </c>
      <c r="D148" s="6" t="inlineStr">
        <is>
          <t>ScoutShip</t>
        </is>
      </c>
      <c r="E148" s="6" t="n">
        <v>240000</v>
      </c>
      <c r="F148" s="6" t="n">
        <v>55</v>
      </c>
      <c r="G148" t="inlineStr">
        <is>
          <t>Heavy</t>
        </is>
      </c>
      <c r="H148" s="6" t="n">
        <v>0.4286</v>
      </c>
      <c r="I148" s="6" t="n">
        <v>1</v>
      </c>
      <c r="J148" s="6" t="n">
        <v>1</v>
      </c>
      <c r="K148" s="6" t="n">
        <v>0.02</v>
      </c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3600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RA2AkulaRockets</t>
        </is>
      </c>
      <c r="C149" s="7" t="inlineStr">
        <is>
          <t>Armament@ARTILLERY</t>
        </is>
      </c>
      <c r="L149" s="6" t="n">
        <v>24000</v>
      </c>
      <c r="M149" s="6" t="n">
        <v>500</v>
      </c>
      <c r="N149" s="6" t="n">
        <v>8</v>
      </c>
      <c r="O149" s="6" t="n">
        <v>15</v>
      </c>
      <c r="P149" s="6" t="n">
        <v>24000</v>
      </c>
      <c r="Q149" s="6" t="n">
        <v>1</v>
      </c>
      <c r="R149">
        <f>M149+IF(N149&gt;1,N(O149)*(N149-1),0)</f>
        <v/>
      </c>
      <c r="S149">
        <f>IFERROR(L149*MAX(N149,1)/R149*IF(ISBLANK(K148),1,K148),0)</f>
        <v/>
      </c>
      <c r="AB149" s="7" t="inlineStr">
        <is>
          <t>^Warhead_Demolition_Heavy, ^Warhead_Demolition_Light, ^Warhead_MissileAP_Medium</t>
        </is>
      </c>
    </row>
    <row r="150">
      <c r="A150" t="inlineStr">
        <is>
          <t>redalert2mod</t>
        </is>
      </c>
      <c r="B150" t="inlineStr">
        <is>
          <t>triton.latin</t>
        </is>
      </c>
      <c r="C150" t="inlineStr">
        <is>
          <t>Triton Speedboat</t>
        </is>
      </c>
      <c r="D150" s="6" t="inlineStr">
        <is>
          <t>BattleShip</t>
        </is>
      </c>
      <c r="E150" s="6" t="n">
        <v>37500</v>
      </c>
      <c r="F150" s="6" t="n">
        <v>125</v>
      </c>
      <c r="G150" t="inlineStr">
        <is>
          <t>Light</t>
        </is>
      </c>
      <c r="H150" s="6" t="n">
        <v>0.9429</v>
      </c>
      <c r="I150" s="6" t="n">
        <v>1</v>
      </c>
      <c r="J150" s="6" t="n">
        <v>1</v>
      </c>
      <c r="K150" s="6" t="n"/>
      <c r="P150">
        <f>MAX(P151,P152)</f>
        <v/>
      </c>
      <c r="S150">
        <f>S151+S152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700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LatinSentryMG</t>
        </is>
      </c>
      <c r="C151" s="7" t="inlineStr">
        <is>
          <t>Armament@PRIMARY</t>
        </is>
      </c>
      <c r="L151" s="6" t="n">
        <v>6000</v>
      </c>
      <c r="M151" s="6" t="n">
        <v>30</v>
      </c>
      <c r="N151" s="6" t="n">
        <v>3</v>
      </c>
      <c r="O151" s="6" t="n">
        <v>3</v>
      </c>
      <c r="P151" s="6" t="n">
        <v>6666</v>
      </c>
      <c r="Q151" s="6" t="n">
        <v>1</v>
      </c>
      <c r="R151">
        <f>M151+IF(N151&gt;1,N(O151)*(N151-1),0)</f>
        <v/>
      </c>
      <c r="S151">
        <f>IFERROR(L151*MAX(N151,1)/R151*IF(ISBLANK(K150),1,K150),0)</f>
        <v/>
      </c>
      <c r="AB151" s="7" t="inlineStr">
        <is>
          <t>^Warhead_CannonHE_Heavy, ^Warhead_Bullet_Light, ^Warhead_Bullet_Medium</t>
        </is>
      </c>
    </row>
    <row r="152">
      <c r="B152" s="7" t="inlineStr">
        <is>
          <t xml:space="preserve">  ↳ LatinSentryMG_elite</t>
        </is>
      </c>
      <c r="C152" s="7" t="inlineStr">
        <is>
          <t>Armament@ELITE</t>
        </is>
      </c>
      <c r="L152" s="6" t="n">
        <v>6000</v>
      </c>
      <c r="M152" s="6" t="n">
        <v>30</v>
      </c>
      <c r="N152" s="6" t="n">
        <v>3</v>
      </c>
      <c r="O152" s="6" t="n">
        <v>3</v>
      </c>
      <c r="P152" s="6" t="n">
        <v>7777</v>
      </c>
      <c r="Q152" s="6" t="n">
        <v>1</v>
      </c>
      <c r="R152">
        <f>M152+IF(N152&gt;1,N(O152)*(N152-1),0)</f>
        <v/>
      </c>
      <c r="S152">
        <f>IFERROR(L152*MAX(N152,1)/R152*IF(ISBLANK(K150),1,K150),0)</f>
        <v/>
      </c>
      <c r="AB152" s="7" t="inlineStr">
        <is>
          <t>^Warhead_CannonHE_Heavy, ^Warhead_Bullet_Light, ^Warhead_Bullet_Medium</t>
        </is>
      </c>
    </row>
    <row r="153">
      <c r="A153" s="4" t="inlineStr">
        <is>
          <t>BUILDINGS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t="inlineStr">
        <is>
          <t>redalert2mod</t>
        </is>
      </c>
      <c r="B154" t="inlineStr">
        <is>
          <t>cgyard.latin</t>
        </is>
      </c>
      <c r="C154" t="inlineStr">
        <is>
          <t>Syndicate Naval Yard</t>
        </is>
      </c>
      <c r="D154" s="6" t="inlineStr">
        <is>
          <t>Building</t>
        </is>
      </c>
      <c r="E154" s="6" t="n">
        <v>600000</v>
      </c>
      <c r="F154" s="6" t="n"/>
      <c r="G154" t="inlineStr">
        <is>
          <t>Concrete</t>
        </is>
      </c>
      <c r="H154" s="6" t="n">
        <v>1</v>
      </c>
      <c r="I154" s="6" t="n">
        <v>1</v>
      </c>
      <c r="J154" s="6" t="n">
        <v>1</v>
      </c>
      <c r="K154" s="6" t="n"/>
      <c r="X154" s="6" t="n">
        <v>3000</v>
      </c>
    </row>
    <row r="155">
      <c r="A155" t="inlineStr">
        <is>
          <t>redalert2mod</t>
        </is>
      </c>
      <c r="B155" t="inlineStr">
        <is>
          <t>latinsyndicate_airstation</t>
        </is>
      </c>
      <c r="C155" t="inlineStr">
        <is>
          <t>Air Station</t>
        </is>
      </c>
      <c r="D155" s="6" t="inlineStr">
        <is>
          <t>Building</t>
        </is>
      </c>
      <c r="E155" s="6" t="n">
        <v>300000</v>
      </c>
      <c r="F155" s="6" t="n"/>
      <c r="G155" t="inlineStr">
        <is>
          <t>Wood</t>
        </is>
      </c>
      <c r="H155" s="6" t="n">
        <v>0.8048999999999999</v>
      </c>
      <c r="I155" s="6" t="n">
        <v>1</v>
      </c>
      <c r="J155" s="6" t="n">
        <v>1</v>
      </c>
      <c r="K155" s="6" t="n"/>
      <c r="X155" s="6" t="n">
        <v>1500</v>
      </c>
    </row>
    <row r="156">
      <c r="A156" t="inlineStr">
        <is>
          <t>redalert2mod</t>
        </is>
      </c>
      <c r="B156" t="inlineStr">
        <is>
          <t>latinsyndicate_bunkertower</t>
        </is>
      </c>
      <c r="C156" t="inlineStr">
        <is>
          <t>Bunker Tower</t>
        </is>
      </c>
      <c r="D156" s="6" t="inlineStr">
        <is>
          <t>Bunker</t>
        </is>
      </c>
      <c r="E156" s="6" t="n">
        <v>60000</v>
      </c>
      <c r="F156" s="6" t="n"/>
      <c r="G156" t="inlineStr">
        <is>
          <t>Steel</t>
        </is>
      </c>
      <c r="H156" s="6" t="n">
        <v>1</v>
      </c>
      <c r="I156" s="6" t="n">
        <v>1</v>
      </c>
      <c r="J156" s="6" t="n">
        <v>1</v>
      </c>
      <c r="K156" s="6" t="n"/>
      <c r="X156" s="6" t="n">
        <v>600</v>
      </c>
    </row>
    <row r="157">
      <c r="A157" t="inlineStr">
        <is>
          <t>redalert2mod</t>
        </is>
      </c>
      <c r="B157" t="inlineStr">
        <is>
          <t>latinsyndicate_combatbarracks</t>
        </is>
      </c>
      <c r="C157" t="inlineStr">
        <is>
          <t>Combat Barracks</t>
        </is>
      </c>
      <c r="D157" s="6" t="inlineStr">
        <is>
          <t>BasicDefense</t>
        </is>
      </c>
      <c r="E157" s="6" t="n">
        <v>200000</v>
      </c>
      <c r="F157" s="6" t="n"/>
      <c r="G157" t="inlineStr">
        <is>
          <t>Wood</t>
        </is>
      </c>
      <c r="H157" s="6" t="n">
        <v>1</v>
      </c>
      <c r="I157" s="6" t="n">
        <v>1</v>
      </c>
      <c r="J157" s="6" t="n">
        <v>1</v>
      </c>
      <c r="K157" s="6" t="n"/>
      <c r="X157" s="6" t="n">
        <v>1000</v>
      </c>
    </row>
    <row r="158">
      <c r="A158" t="inlineStr">
        <is>
          <t>redalert2mod</t>
        </is>
      </c>
      <c r="B158" t="inlineStr">
        <is>
          <t>latinsyndicate_defensebureau</t>
        </is>
      </c>
      <c r="C158" t="inlineStr">
        <is>
          <t>Defense Bureau</t>
        </is>
      </c>
      <c r="D158" s="6" t="inlineStr">
        <is>
          <t>BasicDefense</t>
        </is>
      </c>
      <c r="E158" s="6" t="n">
        <v>500000</v>
      </c>
      <c r="F158" s="6" t="n"/>
      <c r="G158" t="inlineStr">
        <is>
          <t>Concrete</t>
        </is>
      </c>
      <c r="H158" s="6" t="n">
        <v>0.541</v>
      </c>
      <c r="I158" s="6" t="n">
        <v>1</v>
      </c>
      <c r="J158" s="6" t="n">
        <v>1</v>
      </c>
      <c r="K158" s="6" t="n"/>
      <c r="X158" s="6" t="n">
        <v>5000</v>
      </c>
    </row>
    <row r="159">
      <c r="A159" t="inlineStr">
        <is>
          <t>redalert2mod</t>
        </is>
      </c>
      <c r="B159" t="inlineStr">
        <is>
          <t>latinsyndicate_latinaadefender</t>
        </is>
      </c>
      <c r="C159" t="inlineStr">
        <is>
          <t>Latin AA Defender</t>
        </is>
      </c>
      <c r="D159" s="6" t="inlineStr">
        <is>
          <t>AntiAirDefense</t>
        </is>
      </c>
      <c r="E159" s="6" t="n">
        <v>132500</v>
      </c>
      <c r="F159" s="6" t="n"/>
      <c r="G159" t="inlineStr">
        <is>
          <t>Concrete</t>
        </is>
      </c>
      <c r="H159" s="6" t="n">
        <v>0.8048999999999999</v>
      </c>
      <c r="I159" s="6" t="n">
        <v>1</v>
      </c>
      <c r="J159" s="6" t="n">
        <v>1</v>
      </c>
      <c r="K159" s="6" t="n"/>
      <c r="X159" s="6" t="n">
        <v>1500</v>
      </c>
    </row>
    <row r="160">
      <c r="B160" s="7" t="inlineStr">
        <is>
          <t xml:space="preserve">  ↳ LatinAADefenderCannon</t>
        </is>
      </c>
      <c r="C160" s="7" t="inlineStr">
        <is>
          <t>Armament@1</t>
        </is>
      </c>
      <c r="L160" s="6" t="n">
        <v>4000</v>
      </c>
      <c r="M160" s="6" t="n">
        <v>20</v>
      </c>
      <c r="N160" s="6" t="n">
        <v>2</v>
      </c>
      <c r="O160" s="6" t="n">
        <v>0</v>
      </c>
      <c r="P160" s="6" t="n">
        <v>15000</v>
      </c>
      <c r="Q160" s="6" t="n">
        <v>1</v>
      </c>
      <c r="R160">
        <f>M160+IF(N160&gt;1,N(O160)*(N160-1),0)</f>
        <v/>
      </c>
      <c r="S160">
        <f>IFERROR(L160*MAX(N160,1)/R160*IF(ISBLANK(K159),1,K159),0)</f>
        <v/>
      </c>
      <c r="AB160" s="7" t="inlineStr">
        <is>
          <t>^Warhead_MissileAP_Medium, ^Warhead_Flak_Medium</t>
        </is>
      </c>
    </row>
    <row r="161">
      <c r="B161" s="7" t="inlineStr">
        <is>
          <t xml:space="preserve">  ↳ LatinAADefenderCannon</t>
        </is>
      </c>
      <c r="C161" s="7" t="inlineStr">
        <is>
          <t>Armament@2</t>
        </is>
      </c>
      <c r="L161" s="6" t="n">
        <v>4000</v>
      </c>
      <c r="M161" s="6" t="n">
        <v>20</v>
      </c>
      <c r="N161" s="6" t="n">
        <v>2</v>
      </c>
      <c r="O161" s="6" t="n">
        <v>0</v>
      </c>
      <c r="P161" s="6" t="n">
        <v>15000</v>
      </c>
      <c r="Q161" s="6" t="n">
        <v>1</v>
      </c>
      <c r="R161">
        <f>M161+IF(N161&gt;1,N(O161)*(N161-1),0)</f>
        <v/>
      </c>
      <c r="S161">
        <f>IFERROR(L161*MAX(N161,1)/R161*IF(ISBLANK(K159),1,K159),0)</f>
        <v/>
      </c>
      <c r="AB161" s="7" t="inlineStr">
        <is>
          <t>^Warhead_MissileAP_Medium, ^Warhead_Flak_Medium</t>
        </is>
      </c>
    </row>
    <row r="162">
      <c r="A162" t="inlineStr">
        <is>
          <t>redalert2mod</t>
        </is>
      </c>
      <c r="B162" t="inlineStr">
        <is>
          <t>latinsyndicate_latinempradar</t>
        </is>
      </c>
      <c r="C162" t="inlineStr">
        <is>
          <t>Latin EMP Radar</t>
        </is>
      </c>
      <c r="D162" s="6" t="inlineStr">
        <is>
          <t>Building</t>
        </is>
      </c>
      <c r="E162" s="6" t="n">
        <v>250000</v>
      </c>
      <c r="F162" s="6" t="n"/>
      <c r="G162" t="inlineStr">
        <is>
          <t>Wood</t>
        </is>
      </c>
      <c r="H162" s="6" t="n">
        <v>1</v>
      </c>
      <c r="I162" s="6" t="n">
        <v>1</v>
      </c>
      <c r="J162" s="6" t="n">
        <v>1</v>
      </c>
      <c r="K162" s="6" t="n"/>
      <c r="X162" s="6" t="n">
        <v>2500</v>
      </c>
    </row>
    <row r="163">
      <c r="A163" t="inlineStr">
        <is>
          <t>redalert2mod</t>
        </is>
      </c>
      <c r="B163" t="inlineStr">
        <is>
          <t>latinsyndicate_latinsentrygun</t>
        </is>
      </c>
      <c r="C163" t="inlineStr">
        <is>
          <t>Latin Sentry Gun</t>
        </is>
      </c>
      <c r="D163" s="6" t="inlineStr">
        <is>
          <t>BasicDefense</t>
        </is>
      </c>
      <c r="E163" s="6" t="n">
        <v>113500</v>
      </c>
      <c r="F163" s="6" t="n"/>
      <c r="G163" t="inlineStr">
        <is>
          <t>Concrete</t>
        </is>
      </c>
      <c r="H163" s="6" t="n">
        <v>1</v>
      </c>
      <c r="I163" s="6" t="n">
        <v>0.35</v>
      </c>
      <c r="J163" s="6" t="n">
        <v>1</v>
      </c>
      <c r="K163" s="6" t="n"/>
      <c r="X163" s="6" t="n">
        <v>700</v>
      </c>
    </row>
    <row r="164">
      <c r="B164" s="7" t="inlineStr">
        <is>
          <t xml:space="preserve">  ↳ LatinSentryMG</t>
        </is>
      </c>
      <c r="C164" s="7" t="inlineStr">
        <is>
          <t>Armament@PRIMARY</t>
        </is>
      </c>
      <c r="L164" s="6" t="n">
        <v>6000</v>
      </c>
      <c r="M164" s="6" t="n">
        <v>30</v>
      </c>
      <c r="N164" s="6" t="n">
        <v>3</v>
      </c>
      <c r="O164" s="6" t="n">
        <v>3</v>
      </c>
      <c r="P164" s="6" t="n">
        <v>6666</v>
      </c>
      <c r="Q164" s="6" t="n">
        <v>1</v>
      </c>
      <c r="R164">
        <f>M164+IF(N164&gt;1,N(O164)*(N164-1),0)</f>
        <v/>
      </c>
      <c r="S164">
        <f>IFERROR(L164*MAX(N164,1)/R164*IF(ISBLANK(K163),1,K163),0)</f>
        <v/>
      </c>
      <c r="AB164" s="7" t="inlineStr">
        <is>
          <t>^Warhead_CannonHE_Heavy, ^Warhead_Bullet_Light, ^Warhead_Bullet_Medium</t>
        </is>
      </c>
    </row>
    <row r="165">
      <c r="B165" s="7" t="inlineStr">
        <is>
          <t xml:space="preserve">  ↳ LatinSentryMG_elite</t>
        </is>
      </c>
      <c r="C165" s="7" t="inlineStr">
        <is>
          <t>Armament@ELITE</t>
        </is>
      </c>
      <c r="L165" s="6" t="n">
        <v>6000</v>
      </c>
      <c r="M165" s="6" t="n">
        <v>30</v>
      </c>
      <c r="N165" s="6" t="n">
        <v>3</v>
      </c>
      <c r="O165" s="6" t="n">
        <v>3</v>
      </c>
      <c r="P165" s="6" t="n">
        <v>7777</v>
      </c>
      <c r="Q165" s="6" t="n">
        <v>1</v>
      </c>
      <c r="R165">
        <f>M165+IF(N165&gt;1,N(O165)*(N165-1),0)</f>
        <v/>
      </c>
      <c r="S165">
        <f>IFERROR(L165*MAX(N165,1)/R165*IF(ISBLANK(K163),1,K163),0)</f>
        <v/>
      </c>
      <c r="AB165" s="7" t="inlineStr">
        <is>
          <t>^Warhead_CannonHE_Heavy, ^Warhead_Bullet_Light, ^Warhead_Bullet_Medium</t>
        </is>
      </c>
    </row>
    <row r="166">
      <c r="A166" t="inlineStr">
        <is>
          <t>redalert2mod</t>
        </is>
      </c>
      <c r="B166" t="inlineStr">
        <is>
          <t>latinsyndicate_powerstation</t>
        </is>
      </c>
      <c r="C166" t="inlineStr">
        <is>
          <t>Power Station</t>
        </is>
      </c>
      <c r="D166" s="6" t="inlineStr">
        <is>
          <t>Building</t>
        </is>
      </c>
      <c r="E166" s="6" t="n">
        <v>200000</v>
      </c>
      <c r="F166" s="6" t="n"/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K166" s="6" t="n">
        <v>0.0025</v>
      </c>
      <c r="X166" s="6" t="n">
        <v>1000</v>
      </c>
    </row>
    <row r="167">
      <c r="A167" t="inlineStr">
        <is>
          <t>redalert2mod</t>
        </is>
      </c>
      <c r="B167" t="inlineStr">
        <is>
          <t>latinsyndicate_recyclingcenter</t>
        </is>
      </c>
      <c r="C167" t="inlineStr">
        <is>
          <t>Recycling Center</t>
        </is>
      </c>
      <c r="D167" s="6" t="inlineStr">
        <is>
          <t>Building</t>
        </is>
      </c>
      <c r="E167" s="6" t="n">
        <v>500000</v>
      </c>
      <c r="F167" s="6" t="n"/>
      <c r="G167" t="inlineStr">
        <is>
          <t>Concrete</t>
        </is>
      </c>
      <c r="H167" s="6" t="n">
        <v>0.4074</v>
      </c>
      <c r="I167" s="6" t="n">
        <v>1</v>
      </c>
      <c r="J167" s="6" t="n">
        <v>1</v>
      </c>
      <c r="K167" s="6" t="n"/>
      <c r="X167" s="6" t="n">
        <v>5000</v>
      </c>
    </row>
    <row r="168">
      <c r="A168" t="inlineStr">
        <is>
          <t>redalert2mod</t>
        </is>
      </c>
      <c r="B168" t="inlineStr">
        <is>
          <t>latinsyndicate_recyclingrefinery</t>
        </is>
      </c>
      <c r="C168" t="inlineStr">
        <is>
          <t>Recycling Refinery</t>
        </is>
      </c>
      <c r="D168" s="6" t="inlineStr">
        <is>
          <t>Building</t>
        </is>
      </c>
      <c r="E168" s="6" t="n">
        <v>300000</v>
      </c>
      <c r="F168" s="6" t="n"/>
      <c r="G168" t="inlineStr">
        <is>
          <t>Concrete</t>
        </is>
      </c>
      <c r="H168" s="6" t="n">
        <v>1</v>
      </c>
      <c r="I168" s="6" t="n">
        <v>1</v>
      </c>
      <c r="J168" s="6" t="n">
        <v>1</v>
      </c>
      <c r="K168" s="6" t="n"/>
      <c r="X168" s="6" t="n">
        <v>3000</v>
      </c>
    </row>
    <row r="169">
      <c r="A169" t="inlineStr">
        <is>
          <t>redalert2mod</t>
        </is>
      </c>
      <c r="B169" t="inlineStr">
        <is>
          <t>latinsyndicate_smlturret</t>
        </is>
      </c>
      <c r="C169" t="inlineStr">
        <is>
          <t>SML Turret</t>
        </is>
      </c>
      <c r="D169" s="6" t="inlineStr">
        <is>
          <t>AdvancedDefense</t>
        </is>
      </c>
      <c r="E169" s="6" t="n">
        <v>300000</v>
      </c>
      <c r="F169" s="6" t="n"/>
      <c r="G169" t="inlineStr">
        <is>
          <t>Steel</t>
        </is>
      </c>
      <c r="H169" s="6" t="n">
        <v>0.4074</v>
      </c>
      <c r="I169" s="6" t="n">
        <v>1</v>
      </c>
      <c r="J169" s="6" t="n">
        <v>1</v>
      </c>
      <c r="K169" s="6" t="n"/>
      <c r="X169" s="6" t="n">
        <v>5000</v>
      </c>
    </row>
    <row r="170">
      <c r="B170" s="7" t="inlineStr">
        <is>
          <t xml:space="preserve">  ↳ SMLLauncher</t>
        </is>
      </c>
      <c r="C170" s="7" t="inlineStr">
        <is>
          <t>Armament</t>
        </is>
      </c>
      <c r="L170" s="6" t="n"/>
      <c r="M170" s="6" t="n">
        <v>125</v>
      </c>
      <c r="N170" s="6" t="n">
        <v>4</v>
      </c>
      <c r="O170" s="6" t="n"/>
      <c r="P170" s="6" t="n">
        <v>15000</v>
      </c>
      <c r="Q170" s="6" t="n">
        <v>1</v>
      </c>
      <c r="R170">
        <f>M170+IF(N170&gt;1,N(O170)*(N170-1),0)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latinsyndicate_spycenter</t>
        </is>
      </c>
      <c r="C171" t="inlineStr">
        <is>
          <t>Spy Center</t>
        </is>
      </c>
      <c r="D171" s="6" t="inlineStr">
        <is>
          <t>Building</t>
        </is>
      </c>
      <c r="E171" s="6" t="n">
        <v>500000</v>
      </c>
      <c r="F171" s="6" t="n"/>
      <c r="G171" t="inlineStr">
        <is>
          <t>Concrete</t>
        </is>
      </c>
      <c r="H171" s="6" t="n">
        <v>0.8048999999999999</v>
      </c>
      <c r="I171" s="6" t="n">
        <v>1</v>
      </c>
      <c r="J171" s="6" t="n">
        <v>1</v>
      </c>
      <c r="K171" s="6" t="n"/>
      <c r="X171" s="6" t="n">
        <v>5000</v>
      </c>
    </row>
    <row r="172">
      <c r="A172" t="inlineStr">
        <is>
          <t>redalert2mod</t>
        </is>
      </c>
      <c r="B172" t="inlineStr">
        <is>
          <t>latinsyndicate_syndicateconstructionyard</t>
        </is>
      </c>
      <c r="C172" t="inlineStr">
        <is>
          <t>Syndicate Construction Yard</t>
        </is>
      </c>
      <c r="D172" s="6" t="inlineStr">
        <is>
          <t>Building</t>
        </is>
      </c>
      <c r="E172" s="6" t="n">
        <v>1000000</v>
      </c>
      <c r="F172" s="6" t="n"/>
      <c r="G172" t="inlineStr">
        <is>
          <t>Concrete</t>
        </is>
      </c>
      <c r="H172" s="6" t="n">
        <v>1</v>
      </c>
      <c r="I172" s="6" t="n">
        <v>1</v>
      </c>
      <c r="J172" s="6" t="n">
        <v>1</v>
      </c>
      <c r="K172" s="6" t="n"/>
      <c r="X172" s="6" t="n">
        <v>5000</v>
      </c>
    </row>
    <row r="173">
      <c r="A173" t="inlineStr">
        <is>
          <t>redalert2mod</t>
        </is>
      </c>
      <c r="B173" t="inlineStr">
        <is>
          <t>latinsyndicate_syndicatefactory</t>
        </is>
      </c>
      <c r="C173" t="inlineStr">
        <is>
          <t>Syndicate Factory</t>
        </is>
      </c>
      <c r="D173" s="6" t="inlineStr">
        <is>
          <t>Building</t>
        </is>
      </c>
      <c r="E173" s="6" t="n">
        <v>400000</v>
      </c>
      <c r="F173" s="6" t="n"/>
      <c r="G173" t="inlineStr">
        <is>
          <t>Concrete</t>
        </is>
      </c>
      <c r="H173" s="6" t="n">
        <v>1</v>
      </c>
      <c r="I173" s="6" t="n">
        <v>1</v>
      </c>
      <c r="J173" s="6" t="n">
        <v>1</v>
      </c>
      <c r="K173" s="6" t="n"/>
      <c r="X173" s="6" t="n">
        <v>2000</v>
      </c>
    </row>
    <row r="174">
      <c r="A174" t="inlineStr">
        <is>
          <t>redalert2mod</t>
        </is>
      </c>
      <c r="B174" t="inlineStr">
        <is>
          <t>latinsyndicate_syndicateservicedepot</t>
        </is>
      </c>
      <c r="C174" t="inlineStr">
        <is>
          <t>Syndicate Service Depot</t>
        </is>
      </c>
      <c r="D174" s="6" t="inlineStr">
        <is>
          <t>Building</t>
        </is>
      </c>
      <c r="E174" s="6" t="n">
        <v>250000</v>
      </c>
      <c r="F174" s="6" t="n"/>
      <c r="G174" t="inlineStr">
        <is>
          <t>Concrete</t>
        </is>
      </c>
      <c r="H174" s="6" t="n">
        <v>0.8462</v>
      </c>
      <c r="I174" s="6" t="n">
        <v>1</v>
      </c>
      <c r="J174" s="6" t="n">
        <v>1</v>
      </c>
      <c r="K174" s="6" t="n"/>
      <c r="X174" s="6" t="n">
        <v>1000</v>
      </c>
    </row>
    <row r="175">
      <c r="A175" t="inlineStr">
        <is>
          <t>redalert2mod</t>
        </is>
      </c>
      <c r="B175" t="inlineStr">
        <is>
          <t>latinsyndicate_topolsilo</t>
        </is>
      </c>
      <c r="C175" t="inlineStr">
        <is>
          <t>Topol Silo</t>
        </is>
      </c>
      <c r="D175" s="6" t="inlineStr">
        <is>
          <t>Building</t>
        </is>
      </c>
      <c r="E175" s="6" t="n">
        <v>1000000</v>
      </c>
      <c r="F175" s="6" t="n"/>
      <c r="G175" t="inlineStr">
        <is>
          <t>Concrete</t>
        </is>
      </c>
      <c r="H175" s="6" t="n">
        <v>0.541</v>
      </c>
      <c r="I175" s="6" t="n">
        <v>1</v>
      </c>
      <c r="J175" s="6" t="n">
        <v>1</v>
      </c>
      <c r="K175" s="6" t="n"/>
      <c r="X175" s="6" t="n">
        <v>10000</v>
      </c>
    </row>
    <row r="176">
      <c r="A176" s="4" t="inlineStr">
        <is>
          <t>UPGRADES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t="inlineStr">
        <is>
          <t>redalert2mod</t>
        </is>
      </c>
      <c r="B177" t="inlineStr">
        <is>
          <t>cgcnst_infiltrated.latin</t>
        </is>
      </c>
      <c r="C177" t="inlineStr">
        <is>
          <t>Stolen Syndicate Buildings Plans</t>
        </is>
      </c>
      <c r="D177" s="6" t="inlineStr">
        <is>
          <t>ResearchedUpgrade</t>
        </is>
      </c>
      <c r="E177" s="6" t="n"/>
      <c r="F177" s="6" t="n"/>
      <c r="H177" s="6" t="n">
        <v>1</v>
      </c>
      <c r="I177" s="6" t="n">
        <v>1</v>
      </c>
      <c r="J177" s="6" t="n">
        <v>1</v>
      </c>
      <c r="K177" s="6" t="n"/>
      <c r="X177" s="6" t="n"/>
    </row>
    <row r="178">
      <c r="A178" t="inlineStr">
        <is>
          <t>redalert2mod</t>
        </is>
      </c>
      <c r="B178" t="inlineStr">
        <is>
          <t>latinsyndicate_doctrine_cartelrockets</t>
        </is>
      </c>
      <c r="C178" t="inlineStr">
        <is>
          <t>Cartel Rockets</t>
        </is>
      </c>
      <c r="D178" s="6" t="inlineStr">
        <is>
          <t>Doctrine</t>
        </is>
      </c>
      <c r="E178" s="6" t="n"/>
      <c r="F178" s="6" t="n"/>
      <c r="H178" s="6" t="n">
        <v>0.8048999999999999</v>
      </c>
      <c r="I178" s="6" t="n">
        <v>1</v>
      </c>
      <c r="J178" s="6" t="n">
        <v>1</v>
      </c>
      <c r="K178" s="6" t="n"/>
      <c r="X178" s="6" t="n">
        <v>5000</v>
      </c>
    </row>
    <row r="179">
      <c r="A179" t="inlineStr">
        <is>
          <t>redalert2mod</t>
        </is>
      </c>
      <c r="B179" t="inlineStr">
        <is>
          <t>latinsyndicate_doctrine_eliteguerillas</t>
        </is>
      </c>
      <c r="C179" t="inlineStr">
        <is>
          <t>Elite Guerillas</t>
        </is>
      </c>
      <c r="D179" s="6" t="inlineStr">
        <is>
          <t>Doctrine</t>
        </is>
      </c>
      <c r="E179" s="6" t="n"/>
      <c r="F179" s="6" t="n"/>
      <c r="H179" s="6" t="n">
        <v>0.8048999999999999</v>
      </c>
      <c r="I179" s="6" t="n">
        <v>1</v>
      </c>
      <c r="J179" s="6" t="n">
        <v>1</v>
      </c>
      <c r="K179" s="6" t="n"/>
      <c r="X179" s="6" t="n">
        <v>5000</v>
      </c>
    </row>
    <row r="180">
      <c r="A180" t="inlineStr">
        <is>
          <t>redalert2mod</t>
        </is>
      </c>
      <c r="B180" t="inlineStr">
        <is>
          <t>latinsyndicate_doctrine_lightposts</t>
        </is>
      </c>
      <c r="C180" t="inlineStr">
        <is>
          <t>Lightposts</t>
        </is>
      </c>
      <c r="D180" s="6" t="inlineStr">
        <is>
          <t>Doctrine</t>
        </is>
      </c>
      <c r="E180" s="6" t="n"/>
      <c r="F180" s="6" t="n"/>
      <c r="H180" s="6" t="n">
        <v>0.8048999999999999</v>
      </c>
      <c r="I180" s="6" t="n">
        <v>1</v>
      </c>
      <c r="J180" s="6" t="n">
        <v>1</v>
      </c>
      <c r="K180" s="6" t="n"/>
      <c r="X180" s="6" t="n">
        <v>5000</v>
      </c>
    </row>
    <row r="181">
      <c r="A181" t="inlineStr">
        <is>
          <t>redalert2mod</t>
        </is>
      </c>
      <c r="B181" t="inlineStr">
        <is>
          <t>latinsyndicate_upgrade_alliedstolentechextramissilesandmiraging</t>
        </is>
      </c>
      <c r="C181" t="inlineStr">
        <is>
          <t>Allied Stolen Tech: Extra Missiles and Miraging</t>
        </is>
      </c>
      <c r="D181" s="6" t="inlineStr">
        <is>
          <t>ResearchedUpgrade</t>
        </is>
      </c>
      <c r="E181" s="6" t="n"/>
      <c r="F181" s="6" t="n"/>
      <c r="H181" s="6" t="n">
        <v>0.541</v>
      </c>
      <c r="I181" s="6" t="n">
        <v>1</v>
      </c>
      <c r="J181" s="6" t="n">
        <v>1</v>
      </c>
      <c r="K181" s="6" t="n"/>
      <c r="X181" s="6" t="n">
        <v>7500</v>
      </c>
    </row>
    <row r="182">
      <c r="A182" t="inlineStr">
        <is>
          <t>redalert2mod</t>
        </is>
      </c>
      <c r="B182" t="inlineStr">
        <is>
          <t>latinsyndicate_upgrade_asianalliancestolentechhotfire</t>
        </is>
      </c>
      <c r="C182" t="inlineStr">
        <is>
          <t>Asian Alliance Stolen Tech: Hot Fire</t>
        </is>
      </c>
      <c r="D182" s="6" t="inlineStr">
        <is>
          <t>ResearchedUpgrade</t>
        </is>
      </c>
      <c r="E182" s="6" t="n"/>
      <c r="F182" s="6" t="n"/>
      <c r="H182" s="6" t="n">
        <v>0.541</v>
      </c>
      <c r="I182" s="6" t="n">
        <v>1</v>
      </c>
      <c r="J182" s="6" t="n">
        <v>1</v>
      </c>
      <c r="K182" s="6" t="n"/>
      <c r="X182" s="6" t="n">
        <v>10000</v>
      </c>
    </row>
    <row r="183">
      <c r="A183" t="inlineStr">
        <is>
          <t>redalert2mod</t>
        </is>
      </c>
      <c r="B183" t="inlineStr">
        <is>
          <t>latinsyndicate_upgrade_cashrecovery</t>
        </is>
      </c>
      <c r="C183" t="inlineStr">
        <is>
          <t>Cash Recovery</t>
        </is>
      </c>
      <c r="D183" s="6" t="inlineStr">
        <is>
          <t>Upgrade</t>
        </is>
      </c>
      <c r="E183" s="6" t="n"/>
      <c r="F183" s="6" t="n"/>
      <c r="H183" s="6" t="n">
        <v>0.541</v>
      </c>
      <c r="I183" s="6" t="n">
        <v>1</v>
      </c>
      <c r="J183" s="6" t="n">
        <v>1</v>
      </c>
      <c r="K183" s="6" t="n"/>
      <c r="X183" s="6" t="n">
        <v>12500</v>
      </c>
    </row>
    <row r="184">
      <c r="A184" t="inlineStr">
        <is>
          <t>redalert2mod</t>
        </is>
      </c>
      <c r="B184" t="inlineStr">
        <is>
          <t>latinsyndicate_upgrade_empcannon</t>
        </is>
      </c>
      <c r="C184" t="inlineStr">
        <is>
          <t>Unlock Emp Cannon</t>
        </is>
      </c>
      <c r="D184" s="6" t="inlineStr">
        <is>
          <t>UnitUpgrade</t>
        </is>
      </c>
      <c r="E184" s="6" t="n"/>
      <c r="F184" s="6" t="n"/>
      <c r="H184" s="6" t="n">
        <v>0.8048999999999999</v>
      </c>
      <c r="I184" s="6" t="n">
        <v>1</v>
      </c>
      <c r="J184" s="6" t="n">
        <v>1</v>
      </c>
      <c r="K184" s="6" t="n"/>
      <c r="X184" s="6" t="n">
        <v>2500</v>
      </c>
    </row>
    <row r="185">
      <c r="A185" t="inlineStr">
        <is>
          <t>redalert2mod</t>
        </is>
      </c>
      <c r="B185" t="inlineStr">
        <is>
          <t>latinsyndicate_upgrade_sovietstolentechindustrialmethods</t>
        </is>
      </c>
      <c r="C185" t="inlineStr">
        <is>
          <t>Soviet Stolen Tech: Industrial Methods</t>
        </is>
      </c>
      <c r="D185" s="6" t="inlineStr">
        <is>
          <t>ResearchedUpgrade</t>
        </is>
      </c>
      <c r="E185" s="6" t="n"/>
      <c r="F185" s="6" t="n"/>
      <c r="H185" s="6" t="n">
        <v>0.541</v>
      </c>
      <c r="I185" s="6" t="n">
        <v>1</v>
      </c>
      <c r="J185" s="6" t="n">
        <v>1</v>
      </c>
      <c r="K185" s="6" t="n"/>
      <c r="X185" s="6" t="n">
        <v>7500</v>
      </c>
    </row>
    <row r="186">
      <c r="A186" t="inlineStr">
        <is>
          <t>redalert2mod</t>
        </is>
      </c>
      <c r="B186" t="inlineStr">
        <is>
          <t>latinsyndicate_upgrade_yuristolentechchainguns</t>
        </is>
      </c>
      <c r="C186" t="inlineStr">
        <is>
          <t>Yuri Stolen Tech: Chainguns</t>
        </is>
      </c>
      <c r="D186" s="6" t="inlineStr">
        <is>
          <t>ResearchedUpgrade</t>
        </is>
      </c>
      <c r="E186" s="6" t="n"/>
      <c r="F186" s="6" t="n"/>
      <c r="H186" s="6" t="n">
        <v>0.541</v>
      </c>
      <c r="I186" s="6" t="n">
        <v>1</v>
      </c>
      <c r="J186" s="6" t="n">
        <v>1</v>
      </c>
      <c r="K186" s="6" t="n"/>
      <c r="X186" s="6" t="n">
        <v>7500</v>
      </c>
    </row>
    <row r="187">
      <c r="A187" t="inlineStr">
        <is>
          <t>redalert2mod</t>
        </is>
      </c>
      <c r="B187" t="inlineStr">
        <is>
          <t>up_team_cashrecover.latin</t>
        </is>
      </c>
      <c r="C187" t="inlineStr">
        <is>
          <t>Cash Recovery</t>
        </is>
      </c>
      <c r="D187" s="6" t="inlineStr">
        <is>
          <t>ResearchedUpgrade</t>
        </is>
      </c>
      <c r="E187" s="6" t="n"/>
      <c r="F187" s="6" t="n"/>
      <c r="H187" s="6" t="n">
        <v>1</v>
      </c>
      <c r="I187" s="6" t="n">
        <v>1</v>
      </c>
      <c r="J187" s="6" t="n">
        <v>1</v>
      </c>
      <c r="K187" s="6" t="n"/>
      <c r="X187" s="6" t="n"/>
    </row>
    <row r="188">
      <c r="A188" t="inlineStr">
        <is>
          <t>redalert2mod</t>
        </is>
      </c>
      <c r="B188" t="inlineStr">
        <is>
          <t>up_team_ngbunk2.latin</t>
        </is>
      </c>
      <c r="C188" t="inlineStr">
        <is>
          <t>Lightposts</t>
        </is>
      </c>
      <c r="D188" s="6" t="inlineStr">
        <is>
          <t>ResearchedUpgrade</t>
        </is>
      </c>
      <c r="E188" s="6" t="n"/>
      <c r="F188" s="6" t="n"/>
      <c r="H188" s="6" t="n">
        <v>1</v>
      </c>
      <c r="I188" s="6" t="n">
        <v>1</v>
      </c>
      <c r="J188" s="6" t="n">
        <v>1</v>
      </c>
      <c r="K188" s="6" t="n"/>
      <c r="X188" s="6" t="n"/>
    </row>
    <row r="189">
      <c r="A189" s="4" t="inlineStr">
        <is>
          <t>PROMOTIONS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t="inlineStr">
        <is>
          <t>redalert2mod</t>
        </is>
      </c>
      <c r="B190" t="inlineStr">
        <is>
          <t>latinsyndicate_promotion_burritos</t>
        </is>
      </c>
      <c r="C190" t="inlineStr">
        <is>
          <t>Unlock Burritos</t>
        </is>
      </c>
      <c r="D190" s="6" t="inlineStr">
        <is>
          <t>PromotionUpgrade</t>
        </is>
      </c>
      <c r="E190" s="6" t="n"/>
      <c r="F190" s="6" t="n"/>
      <c r="H190" s="6" t="n">
        <v>1</v>
      </c>
      <c r="I190" s="6" t="n">
        <v>1</v>
      </c>
      <c r="J190" s="6" t="n">
        <v>1</v>
      </c>
      <c r="K190" s="6" t="n"/>
      <c r="X190" s="6" t="n"/>
    </row>
    <row r="191">
      <c r="A191" t="inlineStr">
        <is>
          <t>redalert2mod</t>
        </is>
      </c>
      <c r="B191" t="inlineStr">
        <is>
          <t>latinsyndicate_promotion_carteltrucks</t>
        </is>
      </c>
      <c r="C191" t="inlineStr">
        <is>
          <t>Unlock Cartel Trucks</t>
        </is>
      </c>
      <c r="D191" s="6" t="inlineStr">
        <is>
          <t>PromotionUpgrade</t>
        </is>
      </c>
      <c r="E191" s="6" t="n"/>
      <c r="F191" s="6" t="n"/>
      <c r="H191" s="6" t="n">
        <v>1</v>
      </c>
      <c r="I191" s="6" t="n">
        <v>1</v>
      </c>
      <c r="J191" s="6" t="n">
        <v>1</v>
      </c>
      <c r="K191" s="6" t="n"/>
      <c r="X191" s="6" t="n"/>
    </row>
    <row r="192">
      <c r="A192" t="inlineStr">
        <is>
          <t>redalert2mod</t>
        </is>
      </c>
      <c r="B192" t="inlineStr">
        <is>
          <t>latinsyndicate_promotion_demolitiontrucks</t>
        </is>
      </c>
      <c r="C192" t="inlineStr">
        <is>
          <t>Unlock Demolition Trucks</t>
        </is>
      </c>
      <c r="D192" s="6" t="inlineStr">
        <is>
          <t>PromotionUpgrade</t>
        </is>
      </c>
      <c r="E192" s="6" t="n"/>
      <c r="F192" s="6" t="n"/>
      <c r="H192" s="6" t="n">
        <v>1</v>
      </c>
      <c r="I192" s="6" t="n">
        <v>1</v>
      </c>
      <c r="J192" s="6" t="n">
        <v>1</v>
      </c>
      <c r="K192" s="6" t="n"/>
      <c r="X192" s="6" t="n"/>
    </row>
    <row r="193">
      <c r="A193" t="inlineStr">
        <is>
          <t>redalert2mod</t>
        </is>
      </c>
      <c r="B193" t="inlineStr">
        <is>
          <t>latinsyndicate_promotion_lars</t>
        </is>
      </c>
      <c r="C193" t="inlineStr">
        <is>
          <t>Unlock LARS</t>
        </is>
      </c>
      <c r="D193" s="6" t="inlineStr">
        <is>
          <t>PromotionUpgrade</t>
        </is>
      </c>
      <c r="E193" s="6" t="n"/>
      <c r="F193" s="6" t="n"/>
      <c r="H193" s="6" t="n">
        <v>1</v>
      </c>
      <c r="I193" s="6" t="n">
        <v>1</v>
      </c>
      <c r="J193" s="6" t="n">
        <v>1</v>
      </c>
      <c r="K193" s="6" t="n"/>
      <c r="X193" s="6" t="n"/>
    </row>
    <row r="194">
      <c r="A194" t="inlineStr">
        <is>
          <t>redalert2mod</t>
        </is>
      </c>
      <c r="B194" t="inlineStr">
        <is>
          <t>latinsyndicate_promotion_latinapc</t>
        </is>
      </c>
      <c r="C194" t="inlineStr">
        <is>
          <t>Unlock Latin APC.</t>
        </is>
      </c>
      <c r="D194" s="6" t="inlineStr">
        <is>
          <t>PromotionUpgrade</t>
        </is>
      </c>
      <c r="E194" s="6" t="n"/>
      <c r="F194" s="6" t="n"/>
      <c r="H194" s="6" t="n">
        <v>1</v>
      </c>
      <c r="I194" s="6" t="n">
        <v>1</v>
      </c>
      <c r="J194" s="6" t="n">
        <v>1</v>
      </c>
      <c r="K194" s="6" t="n"/>
      <c r="X194" s="6" t="n"/>
    </row>
    <row r="195">
      <c r="A195" t="inlineStr">
        <is>
          <t>redalert2mod</t>
        </is>
      </c>
      <c r="B195" t="inlineStr">
        <is>
          <t>latinsyndicate_promotion_mortarbikes</t>
        </is>
      </c>
      <c r="C195" t="inlineStr">
        <is>
          <t>Unlock Mortar Bikes</t>
        </is>
      </c>
      <c r="D195" s="6" t="inlineStr">
        <is>
          <t>PromotionUpgrade</t>
        </is>
      </c>
      <c r="E195" s="6" t="n"/>
      <c r="F195" s="6" t="n"/>
      <c r="H195" s="6" t="n">
        <v>1</v>
      </c>
      <c r="I195" s="6" t="n">
        <v>1</v>
      </c>
      <c r="J195" s="6" t="n">
        <v>1</v>
      </c>
      <c r="K195" s="6" t="n"/>
      <c r="X195" s="6" t="n"/>
    </row>
    <row r="196">
      <c r="A196" t="inlineStr">
        <is>
          <t>redalert2mod</t>
        </is>
      </c>
      <c r="B196" t="inlineStr">
        <is>
          <t>latinsyndicate_promotion_narcos</t>
        </is>
      </c>
      <c r="C196" t="inlineStr">
        <is>
          <t>Unlock Narcos</t>
        </is>
      </c>
      <c r="D196" s="6" t="inlineStr">
        <is>
          <t>PromotionUpgrade</t>
        </is>
      </c>
      <c r="E196" s="6" t="n"/>
      <c r="F196" s="6" t="n"/>
      <c r="H196" s="6" t="n">
        <v>1</v>
      </c>
      <c r="I196" s="6" t="n">
        <v>1</v>
      </c>
      <c r="J196" s="6" t="n">
        <v>1</v>
      </c>
      <c r="K196" s="6" t="n"/>
      <c r="X196" s="6" t="n"/>
    </row>
    <row r="197">
      <c r="A197" t="inlineStr">
        <is>
          <t>redalert2mod</t>
        </is>
      </c>
      <c r="B197" t="inlineStr">
        <is>
          <t>latinsyndicate_promotion_nuketrucks</t>
        </is>
      </c>
      <c r="C197" t="inlineStr">
        <is>
          <t>Unlock Nuke Trucks</t>
        </is>
      </c>
      <c r="D197" s="6" t="inlineStr">
        <is>
          <t>PromotionUpgrade</t>
        </is>
      </c>
      <c r="E197" s="6" t="n"/>
      <c r="F197" s="6" t="n"/>
      <c r="H197" s="6" t="n">
        <v>1</v>
      </c>
      <c r="I197" s="6" t="n">
        <v>1</v>
      </c>
      <c r="J197" s="6" t="n">
        <v>1</v>
      </c>
      <c r="K197" s="6" t="n"/>
      <c r="X197" s="6" t="n"/>
    </row>
    <row r="198">
      <c r="A198" t="inlineStr">
        <is>
          <t>redalert2mod</t>
        </is>
      </c>
      <c r="B198" t="inlineStr">
        <is>
          <t>latinsyndicate_promotion_raiderbuggy</t>
        </is>
      </c>
      <c r="C198" t="inlineStr">
        <is>
          <t>Unlock Raider Buggy</t>
        </is>
      </c>
      <c r="D198" s="6" t="inlineStr">
        <is>
          <t>PromotionUpgrade</t>
        </is>
      </c>
      <c r="E198" s="6" t="n"/>
      <c r="F198" s="6" t="n"/>
      <c r="H198" s="6" t="n">
        <v>1</v>
      </c>
      <c r="I198" s="6" t="n">
        <v>1</v>
      </c>
      <c r="J198" s="6" t="n">
        <v>1</v>
      </c>
      <c r="K198" s="6" t="n"/>
      <c r="X198" s="6" t="n"/>
    </row>
    <row r="199">
      <c r="A199" t="inlineStr">
        <is>
          <t>redalert2mod</t>
        </is>
      </c>
      <c r="B199" t="inlineStr">
        <is>
          <t>latinsyndicate_promotion_smokertanks</t>
        </is>
      </c>
      <c r="C199" t="inlineStr">
        <is>
          <t>Unlock Smoker Tanks</t>
        </is>
      </c>
      <c r="D199" s="6" t="inlineStr">
        <is>
          <t>PromotionUpgrade</t>
        </is>
      </c>
      <c r="E199" s="6" t="n"/>
      <c r="F199" s="6" t="n"/>
      <c r="H199" s="6" t="n">
        <v>1</v>
      </c>
      <c r="I199" s="6" t="n">
        <v>1</v>
      </c>
      <c r="J199" s="6" t="n">
        <v>1</v>
      </c>
      <c r="K199" s="6" t="n"/>
      <c r="X199" s="6" t="n"/>
    </row>
    <row r="200">
      <c r="A200" t="inlineStr">
        <is>
          <t>redalert2mod</t>
        </is>
      </c>
      <c r="B200" t="inlineStr">
        <is>
          <t>latinsyndicate_promotion_terrorists</t>
        </is>
      </c>
      <c r="C200" t="inlineStr">
        <is>
          <t>Unlock Terrorists</t>
        </is>
      </c>
      <c r="D200" s="6" t="inlineStr">
        <is>
          <t>PromotionUpgrade</t>
        </is>
      </c>
      <c r="E200" s="6" t="n"/>
      <c r="F200" s="6" t="n"/>
      <c r="H200" s="6" t="n">
        <v>1</v>
      </c>
      <c r="I200" s="6" t="n">
        <v>1</v>
      </c>
      <c r="J200" s="6" t="n">
        <v>1</v>
      </c>
      <c r="K200" s="6" t="n"/>
      <c r="X200" s="6" t="n"/>
    </row>
    <row r="201">
      <c r="A201" t="inlineStr">
        <is>
          <t>redalert2mod</t>
        </is>
      </c>
      <c r="B201" t="inlineStr">
        <is>
          <t>latinsyndicate_promotion_topolm</t>
        </is>
      </c>
      <c r="C201" t="inlineStr">
        <is>
          <t>Unlock TOPOL M</t>
        </is>
      </c>
      <c r="D201" s="6" t="inlineStr">
        <is>
          <t>PromotionUpgrade</t>
        </is>
      </c>
      <c r="E201" s="6" t="n"/>
      <c r="F201" s="6" t="n"/>
      <c r="H201" s="6" t="n">
        <v>1</v>
      </c>
      <c r="I201" s="6" t="n">
        <v>1</v>
      </c>
      <c r="J201" s="6" t="n">
        <v>1</v>
      </c>
      <c r="K201" s="6" t="n"/>
      <c r="X201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0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2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alien.nax</t>
        </is>
      </c>
      <c r="C3" t="inlineStr">
        <is>
          <t>Naxi Alien</t>
        </is>
      </c>
      <c r="D3" s="6" t="inlineStr">
        <is>
          <t>CloseCombatInfantry</t>
        </is>
      </c>
      <c r="E3" s="6" t="n">
        <v>15000</v>
      </c>
      <c r="F3" s="6" t="n">
        <v>40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K3" s="6" t="n">
        <v>0.0125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(((E3/50000)+(F3/75)+(S3/250)+((P3/3500)*J3))*200/4+(((E3/50000)*(F3/75))+(((P3/3500)*J3)*(S3/250)))*200/2+((E3/50000)*(F3/75)*((P3/3500)*J3)*(S3/250))*200)*(H3/1.0)/3</f>
        <v/>
      </c>
      <c r="X3" s="6" t="n">
        <v>110</v>
      </c>
      <c r="Y3">
        <f>IFERROR(W3-X3,"")</f>
        <v/>
      </c>
      <c r="Z3">
        <f>IFERROR(ABS(Y3)/MAX(X3,1),"")</f>
        <v/>
      </c>
      <c r="AA3">
        <f>IFERROR(ROUND(((3*X3-(((E3/50000)+(F3/75)+(S3/250))*200/4+((E3/50000)*(F3/75))*200/2)*(H3/1.0))/(200/4+((S3/250))*200/2+((E3/50000)*(F3/75)*(S3/250))*200)*(H3/1.0)*3500)/J3,-1),"")</f>
        <v/>
      </c>
    </row>
    <row r="4">
      <c r="B4" s="7" t="inlineStr">
        <is>
          <t xml:space="preserve">  ↳ NaxiAlienPistol</t>
        </is>
      </c>
      <c r="C4" s="7" t="inlineStr">
        <is>
          <t>Armament@PRIMARY</t>
        </is>
      </c>
      <c r="L4" s="6" t="n">
        <v>24000</v>
      </c>
      <c r="M4" s="6" t="n">
        <v>54</v>
      </c>
      <c r="N4" s="6" t="n">
        <v>2</v>
      </c>
      <c r="O4" s="6" t="n">
        <v>3</v>
      </c>
      <c r="P4" s="6" t="n">
        <v>2777</v>
      </c>
      <c r="Q4" s="6" t="n">
        <v>1.125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^Warhead_Tesla_Heavy, ^Warhead_CannonHE_Medium</t>
        </is>
      </c>
    </row>
    <row r="5">
      <c r="B5" s="7" t="inlineStr">
        <is>
          <t xml:space="preserve">  ↳ NaxiAlienPistol_elite</t>
        </is>
      </c>
      <c r="C5" s="7" t="inlineStr">
        <is>
          <t>Armament@ELITE</t>
        </is>
      </c>
      <c r="L5" s="6" t="n">
        <v>24000</v>
      </c>
      <c r="M5" s="6" t="n">
        <v>54</v>
      </c>
      <c r="N5" s="6" t="n">
        <v>4</v>
      </c>
      <c r="O5" s="6" t="n">
        <v>3</v>
      </c>
      <c r="P5" s="6" t="n">
        <v>3500</v>
      </c>
      <c r="Q5" s="6" t="n">
        <v>1.125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^Warhead_Tesla_Heavy, ^Warhead_CannonHE_Medium</t>
        </is>
      </c>
    </row>
    <row r="6">
      <c r="B6" s="7" t="inlineStr">
        <is>
          <t xml:space="preserve">  ↳ NaxiAlienPistol</t>
        </is>
      </c>
      <c r="C6" s="7" t="inlineStr">
        <is>
          <t>Armament@GARRISONED</t>
        </is>
      </c>
      <c r="L6" s="6" t="n">
        <v>24000</v>
      </c>
      <c r="M6" s="6" t="n">
        <v>54</v>
      </c>
      <c r="N6" s="6" t="n">
        <v>2</v>
      </c>
      <c r="O6" s="6" t="n">
        <v>3</v>
      </c>
      <c r="P6" s="6" t="n">
        <v>2777</v>
      </c>
      <c r="Q6" s="6" t="n">
        <v>1.125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^Warhead_Tesla_Heavy, ^Warhead_CannonHE_Medium</t>
        </is>
      </c>
    </row>
    <row r="7">
      <c r="B7" s="7" t="inlineStr">
        <is>
          <t xml:space="preserve">  ↳ NaxiAlienPistol_elite</t>
        </is>
      </c>
      <c r="C7" s="7" t="inlineStr">
        <is>
          <t>Armament@GARRISONEDELITE</t>
        </is>
      </c>
      <c r="L7" s="6" t="n">
        <v>24000</v>
      </c>
      <c r="M7" s="6" t="n">
        <v>54</v>
      </c>
      <c r="N7" s="6" t="n">
        <v>4</v>
      </c>
      <c r="O7" s="6" t="n">
        <v>3</v>
      </c>
      <c r="P7" s="6" t="n">
        <v>3500</v>
      </c>
      <c r="Q7" s="6" t="n">
        <v>1.125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^Warhead_Tesla_Heavy, ^Warhead_CannonHE_Medium</t>
        </is>
      </c>
    </row>
    <row r="8">
      <c r="A8" t="inlineStr">
        <is>
          <t>redalert2mod</t>
        </is>
      </c>
      <c r="B8" t="inlineStr">
        <is>
          <t>conehead2.nax</t>
        </is>
      </c>
      <c r="C8" t="inlineStr">
        <is>
          <t>Conehead Leader</t>
        </is>
      </c>
      <c r="D8" s="6" t="inlineStr">
        <is>
          <t>ScoutInfantry</t>
        </is>
      </c>
      <c r="E8" s="6" t="n">
        <v>40000</v>
      </c>
      <c r="F8" s="6" t="n">
        <v>90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K8" s="6" t="n"/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(((E8/20000)+(F8/60)+(S8/60)+((P8/5000)*J8))*100/4+(((E8/20000)*(F8/60))+(((P8/5000)*J8)*(S8/60)))*100/2+((E8/20000)*(F8/60)*((P8/5000)*J8)*(S8/60))*100)*(H8/1.0)/3</f>
        <v/>
      </c>
      <c r="X8" s="6" t="n">
        <v>500</v>
      </c>
      <c r="Y8">
        <f>IFERROR(W8-X8,"")</f>
        <v/>
      </c>
      <c r="Z8">
        <f>IFERROR(ABS(Y8)/MAX(X8,1),"")</f>
        <v/>
      </c>
      <c r="AA8">
        <f>IFERROR(ROUND(((3*X8-(((E8/20000)+(F8/60)+(S8/60))*100/4+((E8/20000)*(F8/60))*100/2)*(H8/1.0))/(100/4+((S8/60))*100/2+((E8/20000)*(F8/60)*(S8/60))*100)*(H8/1.0)*5000)/J8,-1),"")</f>
        <v/>
      </c>
    </row>
    <row r="9">
      <c r="B9" s="7" t="inlineStr">
        <is>
          <t xml:space="preserve">  ↳ RA2PortaTesla</t>
        </is>
      </c>
      <c r="C9" s="7" t="inlineStr">
        <is>
          <t>Armament@PRIMARY</t>
        </is>
      </c>
      <c r="L9" s="6" t="n">
        <v>24000</v>
      </c>
      <c r="M9" s="6" t="n">
        <v>100</v>
      </c>
      <c r="N9" s="6" t="n">
        <v>1</v>
      </c>
      <c r="O9" s="6" t="n"/>
      <c r="P9" s="6" t="n">
        <v>5222</v>
      </c>
      <c r="Q9" s="6" t="n">
        <v>1.25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^Warhead_Tesla_Heavy</t>
        </is>
      </c>
    </row>
    <row r="10">
      <c r="B10" s="7" t="inlineStr">
        <is>
          <t xml:space="preserve">  ↳ RA2PortaTesla</t>
        </is>
      </c>
      <c r="C10" s="7" t="inlineStr">
        <is>
          <t>Armament@ELITE</t>
        </is>
      </c>
      <c r="L10" s="6" t="n">
        <v>24000</v>
      </c>
      <c r="M10" s="6" t="n">
        <v>100</v>
      </c>
      <c r="N10" s="6" t="n">
        <v>1</v>
      </c>
      <c r="O10" s="6" t="n"/>
      <c r="P10" s="6" t="n">
        <v>5222</v>
      </c>
      <c r="Q10" s="6" t="n">
        <v>1.25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^Warhead_Tesla_Heavy</t>
        </is>
      </c>
    </row>
    <row r="11">
      <c r="B11" s="7" t="inlineStr">
        <is>
          <t xml:space="preserve">  ↳ RA2PortaTesla</t>
        </is>
      </c>
      <c r="C11" s="7" t="inlineStr">
        <is>
          <t>Armament@GARRISONED</t>
        </is>
      </c>
      <c r="L11" s="6" t="n">
        <v>24000</v>
      </c>
      <c r="M11" s="6" t="n">
        <v>100</v>
      </c>
      <c r="N11" s="6" t="n">
        <v>1</v>
      </c>
      <c r="O11" s="6" t="n"/>
      <c r="P11" s="6" t="n">
        <v>5222</v>
      </c>
      <c r="Q11" s="6" t="n">
        <v>1.25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^Warhead_Tesla_Heavy</t>
        </is>
      </c>
    </row>
    <row r="12">
      <c r="B12" s="7" t="inlineStr">
        <is>
          <t xml:space="preserve">  ↳ RA2PortaTesla</t>
        </is>
      </c>
      <c r="C12" s="7" t="inlineStr">
        <is>
          <t>Armament@GARRISONEDELITE</t>
        </is>
      </c>
      <c r="L12" s="6" t="n">
        <v>24000</v>
      </c>
      <c r="M12" s="6" t="n">
        <v>100</v>
      </c>
      <c r="N12" s="6" t="n">
        <v>1</v>
      </c>
      <c r="O12" s="6" t="n"/>
      <c r="P12" s="6" t="n">
        <v>5222</v>
      </c>
      <c r="Q12" s="6" t="n">
        <v>1.25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^Warhead_Tesla_Heavy</t>
        </is>
      </c>
    </row>
    <row r="13">
      <c r="A13" t="inlineStr">
        <is>
          <t>redalert2mod</t>
        </is>
      </c>
      <c r="B13" t="inlineStr">
        <is>
          <t>frank.nax</t>
        </is>
      </c>
      <c r="C13" t="inlineStr">
        <is>
          <t>Übermutant</t>
        </is>
      </c>
      <c r="D13" s="6" t="inlineStr">
        <is>
          <t>MeleeInfantry</t>
        </is>
      </c>
      <c r="E13" s="6" t="n">
        <v>85000</v>
      </c>
      <c r="F13" s="6" t="n">
        <v>61</v>
      </c>
      <c r="G13" t="inlineStr">
        <is>
          <t>Plate</t>
        </is>
      </c>
      <c r="H13" s="6" t="n">
        <v>1</v>
      </c>
      <c r="I13" s="6" t="n">
        <v>0.75</v>
      </c>
      <c r="J13" s="6" t="n">
        <v>1</v>
      </c>
      <c r="K13" s="6" t="n"/>
      <c r="P13">
        <f>MAX(P14,P15)</f>
        <v/>
      </c>
      <c r="S13">
        <f>S14+S15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500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RA2BrutePunch</t>
        </is>
      </c>
      <c r="C14" s="7" t="inlineStr">
        <is>
          <t>Armament@PRIMARY</t>
        </is>
      </c>
      <c r="L14" s="6" t="n">
        <v>20000</v>
      </c>
      <c r="M14" s="6" t="n">
        <v>37</v>
      </c>
      <c r="N14" s="6" t="n">
        <v>1</v>
      </c>
      <c r="O14" s="6" t="n"/>
      <c r="P14" s="6" t="n">
        <v>1616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^Warhead_Melee_Medium</t>
        </is>
      </c>
    </row>
    <row r="15">
      <c r="B15" s="7" t="inlineStr">
        <is>
          <t xml:space="preserve">  ↳ RA2BrutePunch_elite</t>
        </is>
      </c>
      <c r="C15" s="7" t="inlineStr">
        <is>
          <t>Armament@ELITE</t>
        </is>
      </c>
      <c r="L15" s="6" t="n">
        <v>20000</v>
      </c>
      <c r="M15" s="6" t="n">
        <v>37</v>
      </c>
      <c r="N15" s="6" t="n">
        <v>2</v>
      </c>
      <c r="O15" s="6" t="n">
        <v>3</v>
      </c>
      <c r="P15" s="6" t="n">
        <v>1616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^Warhead_Melee_Medium</t>
        </is>
      </c>
    </row>
    <row r="16">
      <c r="B16" s="7" t="inlineStr">
        <is>
          <t xml:space="preserve">  ↳ RA2BrutePunch</t>
        </is>
      </c>
      <c r="C16" s="7" t="inlineStr">
        <is>
          <t>Armament@GARRISONED</t>
        </is>
      </c>
      <c r="L16" s="6" t="n">
        <v>20000</v>
      </c>
      <c r="M16" s="6" t="n">
        <v>37</v>
      </c>
      <c r="N16" s="6" t="n">
        <v>1</v>
      </c>
      <c r="O16" s="6" t="n"/>
      <c r="P16" s="6" t="n">
        <v>1616</v>
      </c>
      <c r="Q16" s="6" t="n">
        <v>1</v>
      </c>
      <c r="R16">
        <f>M16+IF(N16&gt;1,N(O16)*(N16-1),0)</f>
        <v/>
      </c>
      <c r="S16">
        <f>IFERROR(L16*MAX(N16,1)/R16*IF(ISBLANK(K13),1,K13),0)</f>
        <v/>
      </c>
      <c r="AB16" s="7" t="inlineStr">
        <is>
          <t>^Warhead_Melee_Medium</t>
        </is>
      </c>
    </row>
    <row r="17">
      <c r="A17" t="inlineStr">
        <is>
          <t>redalert2mod</t>
        </is>
      </c>
      <c r="B17" t="inlineStr">
        <is>
          <t>naxis_antitankcannon</t>
        </is>
      </c>
      <c r="C17" t="inlineStr">
        <is>
          <t>Anti Tank Cannon</t>
        </is>
      </c>
      <c r="D17" s="6" t="inlineStr">
        <is>
          <t>FireSupport</t>
        </is>
      </c>
      <c r="E17" s="6" t="n">
        <v>17500</v>
      </c>
      <c r="F17" s="6" t="n">
        <v>30</v>
      </c>
      <c r="G17" t="inlineStr">
        <is>
          <t>Light</t>
        </is>
      </c>
      <c r="H17" s="6" t="n">
        <v>1</v>
      </c>
      <c r="I17" s="6" t="n">
        <v>1</v>
      </c>
      <c r="J17" s="6" t="n">
        <v>1</v>
      </c>
      <c r="K17" s="6" t="n"/>
      <c r="P17">
        <f>MAX(P18,P19)</f>
        <v/>
      </c>
      <c r="S17">
        <f>S18+S19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600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NaxiAntiTankCannon</t>
        </is>
      </c>
      <c r="C18" s="7" t="inlineStr">
        <is>
          <t>Armament@PRIMARY</t>
        </is>
      </c>
      <c r="L18" s="6" t="n">
        <v>28000</v>
      </c>
      <c r="M18" s="6" t="n">
        <v>75</v>
      </c>
      <c r="N18" s="6" t="n">
        <v>1</v>
      </c>
      <c r="O18" s="6" t="n"/>
      <c r="P18" s="6" t="n">
        <v>7361</v>
      </c>
      <c r="Q18" s="6" t="n">
        <v>0.875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^Warhead_CannonHE_Medium, ^Warhead_CannonAP_Light</t>
        </is>
      </c>
    </row>
    <row r="19">
      <c r="B19" s="7" t="inlineStr">
        <is>
          <t xml:space="preserve">  ↳ NaxiAntiTankCannon_elite</t>
        </is>
      </c>
      <c r="C19" s="7" t="inlineStr">
        <is>
          <t>Armament@ELITE</t>
        </is>
      </c>
      <c r="L19" s="6" t="n">
        <v>28000</v>
      </c>
      <c r="M19" s="6" t="n">
        <v>75</v>
      </c>
      <c r="N19" s="6" t="n">
        <v>2</v>
      </c>
      <c r="O19" s="6" t="n">
        <v>3</v>
      </c>
      <c r="P19" s="6" t="n">
        <v>8361</v>
      </c>
      <c r="Q19" s="6" t="n">
        <v>0.875</v>
      </c>
      <c r="R19">
        <f>M19+IF(N19&gt;1,N(O19)*(N19-1),0)</f>
        <v/>
      </c>
      <c r="S19">
        <f>IFERROR(L19*MAX(N19,1)/R19*IF(ISBLANK(K17),1,K17),0)</f>
        <v/>
      </c>
      <c r="AB19" s="7" t="inlineStr">
        <is>
          <t>^Warhead_CannonHE_Medium, ^Warhead_CannonAP_Light</t>
        </is>
      </c>
    </row>
    <row r="20">
      <c r="A20" t="inlineStr">
        <is>
          <t>redalert2mod</t>
        </is>
      </c>
      <c r="B20" t="inlineStr">
        <is>
          <t>naxis_bmwbike</t>
        </is>
      </c>
      <c r="C20" t="inlineStr">
        <is>
          <t>BMW Bike</t>
        </is>
      </c>
      <c r="D20" s="6" t="inlineStr">
        <is>
          <t>ScoutVehicle</t>
        </is>
      </c>
      <c r="E20" s="6" t="n">
        <v>22000</v>
      </c>
      <c r="F20" s="6" t="n">
        <v>125</v>
      </c>
      <c r="G20" t="inlineStr">
        <is>
          <t>Light</t>
        </is>
      </c>
      <c r="H20" s="6" t="n">
        <v>0.782</v>
      </c>
      <c r="I20" s="6" t="n">
        <v>1</v>
      </c>
      <c r="J20" s="6" t="n">
        <v>1</v>
      </c>
      <c r="K20" s="6" t="n"/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450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NaxiWW2MachinegunSmall</t>
        </is>
      </c>
      <c r="C21" s="7" t="inlineStr">
        <is>
          <t>Armament@AG</t>
        </is>
      </c>
      <c r="L21" s="6" t="n">
        <v>4000</v>
      </c>
      <c r="M21" s="6" t="n">
        <v>60</v>
      </c>
      <c r="N21" s="6" t="n">
        <v>3</v>
      </c>
      <c r="O21" s="6" t="n">
        <v>4</v>
      </c>
      <c r="P21" s="6" t="n">
        <v>5570</v>
      </c>
      <c r="Q21" s="6" t="n">
        <v>0.875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^Warhead_Bullet_Light, ^Warhead_Bullet_Medium</t>
        </is>
      </c>
    </row>
    <row r="22">
      <c r="B22" s="7" t="inlineStr">
        <is>
          <t xml:space="preserve">  ↳ NaxiWW2MachinegunSmall_AA</t>
        </is>
      </c>
      <c r="C22" s="7" t="inlineStr">
        <is>
          <t>Armament@AA</t>
        </is>
      </c>
      <c r="L22" s="6" t="n">
        <v>4000</v>
      </c>
      <c r="M22" s="6" t="n">
        <v>60</v>
      </c>
      <c r="N22" s="6" t="n">
        <v>3</v>
      </c>
      <c r="O22" s="6" t="n">
        <v>4</v>
      </c>
      <c r="P22" s="6" t="n">
        <v>8355</v>
      </c>
      <c r="Q22" s="6" t="n">
        <v>0.875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^Warhead_Bullet_Light, ^Warhead_Bullet_Medium</t>
        </is>
      </c>
    </row>
    <row r="23">
      <c r="A23" t="inlineStr">
        <is>
          <t>redalert2mod</t>
        </is>
      </c>
      <c r="B23" t="inlineStr">
        <is>
          <t>naxis_coneheadsknights</t>
        </is>
      </c>
      <c r="C23" t="inlineStr">
        <is>
          <t>Coneheads Knights</t>
        </is>
      </c>
      <c r="D23" s="6" t="inlineStr">
        <is>
          <t>ScoutInfantry</t>
        </is>
      </c>
      <c r="E23" s="6" t="n">
        <v>20000</v>
      </c>
      <c r="F23" s="6" t="n">
        <v>90</v>
      </c>
      <c r="G23" t="inlineStr">
        <is>
          <t>None</t>
        </is>
      </c>
      <c r="H23" s="6" t="n">
        <v>0.6322</v>
      </c>
      <c r="I23" s="6" t="n">
        <v>1</v>
      </c>
      <c r="J23" s="6" t="n">
        <v>1</v>
      </c>
      <c r="K23" s="6" t="n"/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(((E23/20000)+(F23/60)+(S23/60)+((P23/5000)*J23))*100/4+(((E23/20000)*(F23/60))+(((P23/5000)*J23)*(S23/60)))*100/2+((E23/20000)*(F23/60)*((P23/5000)*J23)*(S23/60))*100)*(H23/1.0)/3</f>
        <v/>
      </c>
      <c r="X23" s="6" t="n">
        <v>1000</v>
      </c>
      <c r="Y23">
        <f>IFERROR(W23-X23,"")</f>
        <v/>
      </c>
      <c r="Z23">
        <f>IFERROR(ABS(Y23)/MAX(X23,1),"")</f>
        <v/>
      </c>
      <c r="AA23">
        <f>IFERROR(ROUND(((3*X23-(((E23/20000)+(F23/60)+(S23/60))*100/4+((E23/20000)*(F23/60))*100/2)*(H23/1.0))/(100/4+((S23/60))*100/2+((E23/20000)*(F23/60)*(S23/60))*100)*(H23/1.0)*5000)/J23,-1),"")</f>
        <v/>
      </c>
    </row>
    <row r="24">
      <c r="B24" s="7" t="inlineStr">
        <is>
          <t xml:space="preserve">  ↳ wc2gruntslice</t>
        </is>
      </c>
      <c r="C24" s="7" t="inlineStr">
        <is>
          <t>Armament</t>
        </is>
      </c>
      <c r="L24" s="6" t="n">
        <v>16000</v>
      </c>
      <c r="M24" s="6" t="n">
        <v>18</v>
      </c>
      <c r="N24" s="6" t="n">
        <v>1</v>
      </c>
      <c r="O24" s="6" t="n"/>
      <c r="P24" s="6" t="n">
        <v>1555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^Warhead_Melee_Medium</t>
        </is>
      </c>
    </row>
    <row r="25">
      <c r="B25" s="7" t="inlineStr">
        <is>
          <t xml:space="preserve">  ↳ NaxiRifleCons</t>
        </is>
      </c>
      <c r="C25" s="7" t="inlineStr">
        <is>
          <t>Armament@GARRISONED</t>
        </is>
      </c>
      <c r="L25" s="6" t="n">
        <v>4000</v>
      </c>
      <c r="M25" s="6" t="n">
        <v>100</v>
      </c>
      <c r="N25" s="6" t="n">
        <v>1</v>
      </c>
      <c r="O25" s="6" t="n"/>
      <c r="P25" s="6" t="n">
        <v>5501</v>
      </c>
      <c r="Q25" s="6" t="n">
        <v>0.75</v>
      </c>
      <c r="R25">
        <f>M25+IF(N25&gt;1,N(O25)*(N25-1),0)</f>
        <v/>
      </c>
      <c r="S25">
        <f>IFERROR(L25*MAX(N25,1)/R25*IF(ISBLANK(K23),1,K23),0)</f>
        <v/>
      </c>
      <c r="AB25" s="7" t="inlineStr">
        <is>
          <t>^Warhead_Bullet_Light</t>
        </is>
      </c>
    </row>
    <row r="26">
      <c r="B26" s="7" t="inlineStr">
        <is>
          <t xml:space="preserve">  ↳ NaxiRifleCons_elite</t>
        </is>
      </c>
      <c r="C26" s="7" t="inlineStr">
        <is>
          <t>Armament@GARRISONEDELITE</t>
        </is>
      </c>
      <c r="L26" s="6" t="n">
        <v>4000</v>
      </c>
      <c r="M26" s="6" t="n">
        <v>100</v>
      </c>
      <c r="N26" s="6" t="n">
        <v>2</v>
      </c>
      <c r="O26" s="6" t="n">
        <v>3</v>
      </c>
      <c r="P26" s="6" t="n">
        <v>6501</v>
      </c>
      <c r="Q26" s="6" t="n">
        <v>0.75</v>
      </c>
      <c r="R26">
        <f>M26+IF(N26&gt;1,N(O26)*(N26-1),0)</f>
        <v/>
      </c>
      <c r="S26">
        <f>IFERROR(L26*MAX(N26,1)/R26*IF(ISBLANK(K23),1,K23),0)</f>
        <v/>
      </c>
      <c r="AB26" s="7" t="inlineStr">
        <is>
          <t>^Warhead_Bullet_Light</t>
        </is>
      </c>
    </row>
    <row r="27">
      <c r="A27" t="inlineStr">
        <is>
          <t>redalert2mod</t>
        </is>
      </c>
      <c r="B27" t="inlineStr">
        <is>
          <t>naxis_naxiflamer</t>
        </is>
      </c>
      <c r="C27" t="inlineStr">
        <is>
          <t>Naxi Flamer</t>
        </is>
      </c>
      <c r="D27" s="6" t="inlineStr">
        <is>
          <t>HeavyInfantry</t>
        </is>
      </c>
      <c r="E27" s="6" t="n">
        <v>24000</v>
      </c>
      <c r="F27" s="6" t="n">
        <v>48</v>
      </c>
      <c r="G27" t="inlineStr">
        <is>
          <t>Plate</t>
        </is>
      </c>
      <c r="H27" s="6" t="n">
        <v>0.7466</v>
      </c>
      <c r="I27" s="6" t="n">
        <v>1</v>
      </c>
      <c r="J27" s="6" t="n">
        <v>1</v>
      </c>
      <c r="K27" s="6" t="n"/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225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NaxiFlamerTroop</t>
        </is>
      </c>
      <c r="C28" s="7" t="inlineStr">
        <is>
          <t>Armament@PRIMARY</t>
        </is>
      </c>
      <c r="L28" s="6" t="n">
        <v>4000</v>
      </c>
      <c r="M28" s="6" t="n">
        <v>60</v>
      </c>
      <c r="N28" s="6" t="n">
        <v>3</v>
      </c>
      <c r="O28" s="6" t="n">
        <v>3</v>
      </c>
      <c r="P28" s="6" t="n">
        <v>4830</v>
      </c>
      <c r="Q28" s="6" t="n">
        <v>0.75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^Warhead_Flame_Light</t>
        </is>
      </c>
    </row>
    <row r="29">
      <c r="B29" s="7" t="inlineStr">
        <is>
          <t xml:space="preserve">  ↳ NaxiFlamerTroop_elite</t>
        </is>
      </c>
      <c r="C29" s="7" t="inlineStr">
        <is>
          <t>Armament@ELITE</t>
        </is>
      </c>
      <c r="L29" s="6" t="n">
        <v>4000</v>
      </c>
      <c r="M29" s="6" t="n">
        <v>60</v>
      </c>
      <c r="N29" s="6" t="n">
        <v>6</v>
      </c>
      <c r="O29" s="6" t="n">
        <v>3</v>
      </c>
      <c r="P29" s="6" t="n">
        <v>5830</v>
      </c>
      <c r="Q29" s="6" t="n">
        <v>0.75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^Warhead_Flame_Light</t>
        </is>
      </c>
    </row>
    <row r="30">
      <c r="B30" s="7" t="inlineStr">
        <is>
          <t xml:space="preserve">  ↳ NaxiFlamerTroop</t>
        </is>
      </c>
      <c r="C30" s="7" t="inlineStr">
        <is>
          <t>Armament@GARRISONED</t>
        </is>
      </c>
      <c r="L30" s="6" t="n">
        <v>4000</v>
      </c>
      <c r="M30" s="6" t="n">
        <v>60</v>
      </c>
      <c r="N30" s="6" t="n">
        <v>3</v>
      </c>
      <c r="O30" s="6" t="n">
        <v>3</v>
      </c>
      <c r="P30" s="6" t="n">
        <v>4830</v>
      </c>
      <c r="Q30" s="6" t="n">
        <v>0.75</v>
      </c>
      <c r="R30">
        <f>M30+IF(N30&gt;1,N(O30)*(N30-1),0)</f>
        <v/>
      </c>
      <c r="S30">
        <f>IFERROR(L30*MAX(N30,1)/R30*IF(ISBLANK(K27),1,K27),0)</f>
        <v/>
      </c>
      <c r="AB30" s="7" t="inlineStr">
        <is>
          <t>^Warhead_Flame_Light</t>
        </is>
      </c>
    </row>
    <row r="31">
      <c r="B31" s="7" t="inlineStr">
        <is>
          <t xml:space="preserve">  ↳ NaxiFlamerTroop_elite</t>
        </is>
      </c>
      <c r="C31" s="7" t="inlineStr">
        <is>
          <t>Armament@GARRISONEDELITE</t>
        </is>
      </c>
      <c r="L31" s="6" t="n">
        <v>4000</v>
      </c>
      <c r="M31" s="6" t="n">
        <v>60</v>
      </c>
      <c r="N31" s="6" t="n">
        <v>6</v>
      </c>
      <c r="O31" s="6" t="n">
        <v>3</v>
      </c>
      <c r="P31" s="6" t="n">
        <v>5830</v>
      </c>
      <c r="Q31" s="6" t="n">
        <v>0.75</v>
      </c>
      <c r="R31">
        <f>M31+IF(N31&gt;1,N(O31)*(N31-1),0)</f>
        <v/>
      </c>
      <c r="S31">
        <f>IFERROR(L31*MAX(N31,1)/R31*IF(ISBLANK(K27),1,K27),0)</f>
        <v/>
      </c>
      <c r="AB31" s="7" t="inlineStr">
        <is>
          <t>^Warhead_Flame_Light</t>
        </is>
      </c>
    </row>
    <row r="32">
      <c r="A32" t="inlineStr">
        <is>
          <t>redalert2mod</t>
        </is>
      </c>
      <c r="B32" t="inlineStr">
        <is>
          <t>naxis_naximachinegunners</t>
        </is>
      </c>
      <c r="C32" t="inlineStr">
        <is>
          <t>Naxi Machinegunners</t>
        </is>
      </c>
      <c r="D32" s="6" t="inlineStr">
        <is>
          <t>HeavyInfantry</t>
        </is>
      </c>
      <c r="E32" s="6" t="n">
        <v>60000</v>
      </c>
      <c r="F32" s="6" t="n">
        <v>55</v>
      </c>
      <c r="G32" t="inlineStr">
        <is>
          <t>Plate</t>
        </is>
      </c>
      <c r="H32" s="6" t="n">
        <v>0.75</v>
      </c>
      <c r="I32" s="6" t="n">
        <v>0.8</v>
      </c>
      <c r="J32" s="6" t="n">
        <v>1.25</v>
      </c>
      <c r="K32" s="6" t="n"/>
      <c r="P32">
        <f>MAX(P34,P35)</f>
        <v/>
      </c>
      <c r="S32">
        <f>S34+S35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(T32+U32+V32)/3</f>
        <v/>
      </c>
      <c r="X32" s="6" t="n">
        <v>600</v>
      </c>
      <c r="Y32">
        <f>IFERROR(W32-X32,"")</f>
        <v/>
      </c>
      <c r="Z32">
        <f>IFERROR(ABS(Y32)/MAX(X32,1),"")</f>
        <v/>
      </c>
      <c r="AA32">
        <f>IFERROR((X32-(((E32/100000+F32/100+S32/200)*200*I32*H32)+((E32*F32/25000)*I32*H32))/3)/(((J32/5)*200*I32*H32)+((J32*S32/2.5)*I32*H32)+((E32*F32*J32*S32*I32*H32)/12500000))/3*1000,"")</f>
        <v/>
      </c>
    </row>
    <row r="33">
      <c r="B33" s="7" t="inlineStr">
        <is>
          <t xml:space="preserve">  ↳ NaxiWW2MachinegunnerTargeting</t>
        </is>
      </c>
      <c r="C33" s="7" t="inlineStr">
        <is>
          <t>Armament@Dummy</t>
        </is>
      </c>
      <c r="L33" s="6" t="n"/>
      <c r="M33" s="6" t="n">
        <v>50</v>
      </c>
      <c r="N33" s="6" t="n">
        <v>1</v>
      </c>
      <c r="O33" s="6" t="n"/>
      <c r="P33" s="6" t="n">
        <v>8970</v>
      </c>
      <c r="Q33" s="6" t="n">
        <v>1</v>
      </c>
      <c r="R33">
        <f>M33+IF(N33&gt;1,N(O33)*(N33-1),0)</f>
        <v/>
      </c>
      <c r="S33">
        <f>IFERROR(L33*MAX(N33,1)/R33*IF(ISBLANK(K32),1,K32),0)</f>
        <v/>
      </c>
      <c r="AB33" s="7" t="inlineStr">
        <is>
          <t>^DeployTargeting</t>
        </is>
      </c>
    </row>
    <row r="34">
      <c r="B34" s="7" t="inlineStr">
        <is>
          <t xml:space="preserve">  ↳ NaxiWW2Machinegunner</t>
        </is>
      </c>
      <c r="C34" s="7" t="inlineStr">
        <is>
          <t>Armament@Deployed</t>
        </is>
      </c>
      <c r="L34" s="6" t="n">
        <v>8000</v>
      </c>
      <c r="M34" s="6" t="n">
        <v>90</v>
      </c>
      <c r="N34" s="6" t="n">
        <v>10</v>
      </c>
      <c r="O34" s="6" t="n">
        <v>5</v>
      </c>
      <c r="P34" s="6" t="n">
        <v>8970</v>
      </c>
      <c r="Q34" s="6" t="n">
        <v>0.875</v>
      </c>
      <c r="R34">
        <f>M34+IF(N34&gt;1,N(O34)*(N34-1),0)</f>
        <v/>
      </c>
      <c r="S34">
        <f>IFERROR(L34*MAX(N34,1)/R34*IF(ISBLANK(K32),1,K32),0)</f>
        <v/>
      </c>
      <c r="AB34" s="7" t="inlineStr">
        <is>
          <t>^Warhead_Bullet_Light, ^Warhead_Bullet_Medium</t>
        </is>
      </c>
    </row>
    <row r="35">
      <c r="B35" s="7" t="inlineStr">
        <is>
          <t xml:space="preserve">  ↳ NaxiWW2Machinegunner_elite</t>
        </is>
      </c>
      <c r="C35" s="7" t="inlineStr">
        <is>
          <t>Armament@DEPLOYEDELITE</t>
        </is>
      </c>
      <c r="L35" s="6" t="n">
        <v>8000</v>
      </c>
      <c r="M35" s="6" t="n">
        <v>90</v>
      </c>
      <c r="N35" s="6" t="n">
        <v>20</v>
      </c>
      <c r="O35" s="6" t="n">
        <v>3</v>
      </c>
      <c r="P35" s="6" t="n">
        <v>9970</v>
      </c>
      <c r="Q35" s="6" t="n">
        <v>0.875</v>
      </c>
      <c r="R35">
        <f>M35+IF(N35&gt;1,N(O35)*(N35-1),0)</f>
        <v/>
      </c>
      <c r="S35">
        <f>IFERROR(L35*MAX(N35,1)/R35*IF(ISBLANK(K32),1,K32),0)</f>
        <v/>
      </c>
      <c r="AB35" s="7" t="inlineStr">
        <is>
          <t>^Warhead_Bullet_Light, ^Warhead_Bullet_Medium</t>
        </is>
      </c>
    </row>
    <row r="36">
      <c r="B36" s="7" t="inlineStr">
        <is>
          <t xml:space="preserve">  ↳ NaxiWW2Machinegunner</t>
        </is>
      </c>
      <c r="C36" s="7" t="inlineStr">
        <is>
          <t>Armament@GARRISONED</t>
        </is>
      </c>
      <c r="L36" s="6" t="n">
        <v>8000</v>
      </c>
      <c r="M36" s="6" t="n">
        <v>90</v>
      </c>
      <c r="N36" s="6" t="n">
        <v>10</v>
      </c>
      <c r="O36" s="6" t="n">
        <v>5</v>
      </c>
      <c r="P36" s="6" t="n">
        <v>8970</v>
      </c>
      <c r="Q36" s="6" t="n">
        <v>0.875</v>
      </c>
      <c r="R36">
        <f>M36+IF(N36&gt;1,N(O36)*(N36-1),0)</f>
        <v/>
      </c>
      <c r="S36">
        <f>IFERROR(L36*MAX(N36,1)/R36*IF(ISBLANK(K32),1,K32),0)</f>
        <v/>
      </c>
      <c r="AB36" s="7" t="inlineStr">
        <is>
          <t>^Warhead_Bullet_Light, ^Warhead_Bullet_Medium</t>
        </is>
      </c>
    </row>
    <row r="37">
      <c r="B37" s="7" t="inlineStr">
        <is>
          <t xml:space="preserve">  ↳ NaxiWW2Machinegunner_elite</t>
        </is>
      </c>
      <c r="C37" s="7" t="inlineStr">
        <is>
          <t>Armament@GARRISONEDELITE</t>
        </is>
      </c>
      <c r="L37" s="6" t="n">
        <v>8000</v>
      </c>
      <c r="M37" s="6" t="n">
        <v>90</v>
      </c>
      <c r="N37" s="6" t="n">
        <v>20</v>
      </c>
      <c r="O37" s="6" t="n">
        <v>3</v>
      </c>
      <c r="P37" s="6" t="n">
        <v>9970</v>
      </c>
      <c r="Q37" s="6" t="n">
        <v>0.875</v>
      </c>
      <c r="R37">
        <f>M37+IF(N37&gt;1,N(O37)*(N37-1),0)</f>
        <v/>
      </c>
      <c r="S37">
        <f>IFERROR(L37*MAX(N37,1)/R37*IF(ISBLANK(K32),1,K32),0)</f>
        <v/>
      </c>
      <c r="AB37" s="7" t="inlineStr">
        <is>
          <t>^Warhead_Bullet_Light, ^Warhead_Bullet_Medium</t>
        </is>
      </c>
    </row>
    <row r="38">
      <c r="A38" t="inlineStr">
        <is>
          <t>redalert2mod</t>
        </is>
      </c>
      <c r="B38" t="inlineStr">
        <is>
          <t>naxis_naximercenarysniper</t>
        </is>
      </c>
      <c r="C38" t="inlineStr">
        <is>
          <t>Naxi Mercenary Sniper</t>
        </is>
      </c>
      <c r="D38" s="6" t="inlineStr">
        <is>
          <t>SniperInfantry</t>
        </is>
      </c>
      <c r="E38" s="6" t="n">
        <v>8000</v>
      </c>
      <c r="F38" s="6" t="n">
        <v>60</v>
      </c>
      <c r="G38" t="inlineStr">
        <is>
          <t>Flak</t>
        </is>
      </c>
      <c r="H38" s="6" t="n">
        <v>0.514</v>
      </c>
      <c r="I38" s="6" t="n">
        <v>1</v>
      </c>
      <c r="J38" s="6" t="n">
        <v>1</v>
      </c>
      <c r="K38" s="6" t="n"/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250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NaxiSniper</t>
        </is>
      </c>
      <c r="C39" s="7" t="inlineStr">
        <is>
          <t>Armament@PRIMARY</t>
        </is>
      </c>
      <c r="L39" s="6" t="n">
        <v>24000</v>
      </c>
      <c r="M39" s="6" t="n">
        <v>120</v>
      </c>
      <c r="N39" s="6" t="n">
        <v>1</v>
      </c>
      <c r="O39" s="6" t="n"/>
      <c r="P39" s="6" t="n">
        <v>7777</v>
      </c>
      <c r="Q39" s="6" t="n">
        <v>0.75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^Warhead_Sniper_Light</t>
        </is>
      </c>
    </row>
    <row r="40">
      <c r="B40" s="7" t="inlineStr">
        <is>
          <t xml:space="preserve">  ↳ NaxiSniper_elite</t>
        </is>
      </c>
      <c r="C40" s="7" t="inlineStr">
        <is>
          <t>Armament@ELITE</t>
        </is>
      </c>
      <c r="L40" s="6" t="n">
        <v>24000</v>
      </c>
      <c r="M40" s="6" t="n">
        <v>120</v>
      </c>
      <c r="N40" s="6" t="n">
        <v>2</v>
      </c>
      <c r="O40" s="6" t="n">
        <v>3</v>
      </c>
      <c r="P40" s="6" t="n">
        <v>8888</v>
      </c>
      <c r="Q40" s="6" t="n">
        <v>0.75</v>
      </c>
      <c r="R40">
        <f>M40+IF(N40&gt;1,N(O40)*(N40-1),0)</f>
        <v/>
      </c>
      <c r="S40">
        <f>IFERROR(L40*MAX(N40,1)/R40*IF(ISBLANK(K38),1,K38),0)</f>
        <v/>
      </c>
      <c r="AB40" s="7" t="inlineStr">
        <is>
          <t>^Warhead_Sniper_Light</t>
        </is>
      </c>
    </row>
    <row r="41">
      <c r="B41" s="7" t="inlineStr">
        <is>
          <t xml:space="preserve">  ↳ NaxiSniper</t>
        </is>
      </c>
      <c r="C41" s="7" t="inlineStr">
        <is>
          <t>Armament@GARRISONED</t>
        </is>
      </c>
      <c r="L41" s="6" t="n">
        <v>24000</v>
      </c>
      <c r="M41" s="6" t="n">
        <v>120</v>
      </c>
      <c r="N41" s="6" t="n">
        <v>1</v>
      </c>
      <c r="O41" s="6" t="n"/>
      <c r="P41" s="6" t="n">
        <v>7777</v>
      </c>
      <c r="Q41" s="6" t="n">
        <v>0.75</v>
      </c>
      <c r="R41">
        <f>M41+IF(N41&gt;1,N(O41)*(N41-1),0)</f>
        <v/>
      </c>
      <c r="S41">
        <f>IFERROR(L41*MAX(N41,1)/R41*IF(ISBLANK(K38),1,K38),0)</f>
        <v/>
      </c>
      <c r="AB41" s="7" t="inlineStr">
        <is>
          <t>^Warhead_Sniper_Light</t>
        </is>
      </c>
    </row>
    <row r="42">
      <c r="B42" s="7" t="inlineStr">
        <is>
          <t xml:space="preserve">  ↳ NaxiSniper_elite</t>
        </is>
      </c>
      <c r="C42" s="7" t="inlineStr">
        <is>
          <t>Armament@GARRISONEDELITE</t>
        </is>
      </c>
      <c r="L42" s="6" t="n">
        <v>24000</v>
      </c>
      <c r="M42" s="6" t="n">
        <v>120</v>
      </c>
      <c r="N42" s="6" t="n">
        <v>2</v>
      </c>
      <c r="O42" s="6" t="n">
        <v>3</v>
      </c>
      <c r="P42" s="6" t="n">
        <v>8888</v>
      </c>
      <c r="Q42" s="6" t="n">
        <v>0.75</v>
      </c>
      <c r="R42">
        <f>M42+IF(N42&gt;1,N(O42)*(N42-1),0)</f>
        <v/>
      </c>
      <c r="S42">
        <f>IFERROR(L42*MAX(N42,1)/R42*IF(ISBLANK(K38),1,K38),0)</f>
        <v/>
      </c>
      <c r="AB42" s="7" t="inlineStr">
        <is>
          <t>^Warhead_Sniper_Light</t>
        </is>
      </c>
    </row>
    <row r="43">
      <c r="A43" t="inlineStr">
        <is>
          <t>redalert2mod</t>
        </is>
      </c>
      <c r="B43" t="inlineStr">
        <is>
          <t>naxis_naxiriflerecruit</t>
        </is>
      </c>
      <c r="C43" t="inlineStr">
        <is>
          <t>Naxi Rifle Recruit</t>
        </is>
      </c>
      <c r="D43" s="6" t="inlineStr">
        <is>
          <t>ScoutInfantry</t>
        </is>
      </c>
      <c r="E43" s="6" t="n">
        <v>21000</v>
      </c>
      <c r="F43" s="6" t="n">
        <v>48</v>
      </c>
      <c r="G43" t="inlineStr">
        <is>
          <t>None</t>
        </is>
      </c>
      <c r="H43" s="6" t="n">
        <v>1</v>
      </c>
      <c r="I43" s="6" t="n">
        <v>1</v>
      </c>
      <c r="J43" s="6" t="n">
        <v>1</v>
      </c>
      <c r="K43" s="6" t="n">
        <v>0.0067</v>
      </c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(((E43/20000)+(F43/60)+(S43/60)+((P43/5000)*J43))*100/4+(((E43/20000)*(F43/60))+(((P43/5000)*J43)*(S43/60)))*100/2+((E43/20000)*(F43/60)*((P43/5000)*J43)*(S43/60))*100)*(H43/1.0)/3</f>
        <v/>
      </c>
      <c r="X43" s="6" t="n">
        <v>75</v>
      </c>
      <c r="Y43">
        <f>IFERROR(W43-X43,"")</f>
        <v/>
      </c>
      <c r="Z43">
        <f>IFERROR(ABS(Y43)/MAX(X43,1),"")</f>
        <v/>
      </c>
      <c r="AA43">
        <f>IFERROR(ROUND(((3*X43-(((E43/20000)+(F43/60)+(S43/60))*100/4+((E43/20000)*(F43/60))*100/2)*(H43/1.0))/(100/4+((S43/60))*100/2+((E43/20000)*(F43/60)*(S43/60))*100)*(H43/1.0)*5000)/J43,-1),"")</f>
        <v/>
      </c>
    </row>
    <row r="44">
      <c r="B44" s="7" t="inlineStr">
        <is>
          <t xml:space="preserve">  ↳ naxis_naxiriflerecruit_rifle</t>
        </is>
      </c>
      <c r="C44" s="7" t="inlineStr">
        <is>
          <t>Armament@PRIMARY</t>
        </is>
      </c>
      <c r="L44" s="6" t="n">
        <v>8000</v>
      </c>
      <c r="M44" s="6" t="n">
        <v>100</v>
      </c>
      <c r="N44" s="6" t="n">
        <v>1</v>
      </c>
      <c r="O44" s="6" t="n"/>
      <c r="P44" s="6" t="n">
        <v>5227</v>
      </c>
      <c r="Q44" s="6" t="n">
        <v>0.75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naxis_naxiriflerecruit_rifle_elite</t>
        </is>
      </c>
      <c r="C45" s="7" t="inlineStr">
        <is>
          <t>Armament@ELITE</t>
        </is>
      </c>
      <c r="L45" s="6" t="n">
        <v>8000</v>
      </c>
      <c r="M45" s="6" t="n">
        <v>100</v>
      </c>
      <c r="N45" s="6" t="n">
        <v>2</v>
      </c>
      <c r="O45" s="6" t="n">
        <v>3</v>
      </c>
      <c r="P45" s="6" t="n">
        <v>6500</v>
      </c>
      <c r="Q45" s="6" t="n">
        <v>0.75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^Warhead_Bullet_Light</t>
        </is>
      </c>
    </row>
    <row r="46">
      <c r="B46" s="7" t="inlineStr">
        <is>
          <t xml:space="preserve">  ↳ naxis_naxiriflerecruit_rifle</t>
        </is>
      </c>
      <c r="C46" s="7" t="inlineStr">
        <is>
          <t>Armament@GARRISONED</t>
        </is>
      </c>
      <c r="L46" s="6" t="n">
        <v>8000</v>
      </c>
      <c r="M46" s="6" t="n">
        <v>100</v>
      </c>
      <c r="N46" s="6" t="n">
        <v>1</v>
      </c>
      <c r="O46" s="6" t="n"/>
      <c r="P46" s="6" t="n">
        <v>5227</v>
      </c>
      <c r="Q46" s="6" t="n">
        <v>0.75</v>
      </c>
      <c r="R46">
        <f>M46+IF(N46&gt;1,N(O46)*(N46-1),0)</f>
        <v/>
      </c>
      <c r="S46">
        <f>IFERROR(L46*MAX(N46,1)/R46*IF(ISBLANK(K43),1,K43),0)</f>
        <v/>
      </c>
      <c r="AB46" s="7" t="inlineStr">
        <is>
          <t>^Warhead_Bullet_Light</t>
        </is>
      </c>
    </row>
    <row r="47">
      <c r="B47" s="7" t="inlineStr">
        <is>
          <t xml:space="preserve">  ↳ naxis_naxiriflerecruit_rifle_elite</t>
        </is>
      </c>
      <c r="C47" s="7" t="inlineStr">
        <is>
          <t>Armament@GARRISONEDELITE</t>
        </is>
      </c>
      <c r="L47" s="6" t="n">
        <v>8000</v>
      </c>
      <c r="M47" s="6" t="n">
        <v>100</v>
      </c>
      <c r="N47" s="6" t="n">
        <v>2</v>
      </c>
      <c r="O47" s="6" t="n">
        <v>3</v>
      </c>
      <c r="P47" s="6" t="n">
        <v>6500</v>
      </c>
      <c r="Q47" s="6" t="n">
        <v>0.75</v>
      </c>
      <c r="R47">
        <f>M47+IF(N47&gt;1,N(O47)*(N47-1),0)</f>
        <v/>
      </c>
      <c r="S47">
        <f>IFERROR(L47*MAX(N47,1)/R47*IF(ISBLANK(K43),1,K43),0)</f>
        <v/>
      </c>
      <c r="AB47" s="7" t="inlineStr">
        <is>
          <t>^Warhead_Bullet_Light</t>
        </is>
      </c>
    </row>
    <row r="48">
      <c r="A48" t="inlineStr">
        <is>
          <t>redalert2mod</t>
        </is>
      </c>
      <c r="B48" t="inlineStr">
        <is>
          <t>naxis_naxiriflesoldier</t>
        </is>
      </c>
      <c r="C48" t="inlineStr">
        <is>
          <t>Naxi Rifle Soldier</t>
        </is>
      </c>
      <c r="D48" s="6" t="inlineStr">
        <is>
          <t>ScoutInfantry</t>
        </is>
      </c>
      <c r="E48" s="6" t="n">
        <v>20000</v>
      </c>
      <c r="F48" s="6" t="n">
        <v>60</v>
      </c>
      <c r="G48" t="inlineStr">
        <is>
          <t>None</t>
        </is>
      </c>
      <c r="H48" s="6" t="n">
        <v>1</v>
      </c>
      <c r="I48" s="6" t="n">
        <v>1</v>
      </c>
      <c r="J48" s="6" t="n">
        <v>1</v>
      </c>
      <c r="K48" s="6" t="n">
        <v>0.01</v>
      </c>
      <c r="P48">
        <f>MAX(P49,P50)</f>
        <v/>
      </c>
      <c r="S48">
        <f>S49+S50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(((E48/20000)+(F48/60)+(S48/60)+((P48/5000)*J48))*100/4+(((E48/20000)*(F48/60))+(((P48/5000)*J48)*(S48/60)))*100/2+((E48/20000)*(F48/60)*((P48/5000)*J48)*(S48/60))*100)*(H48/1.0)/3</f>
        <v/>
      </c>
      <c r="X48" s="6" t="n">
        <v>100</v>
      </c>
      <c r="Y48">
        <f>IFERROR(W48-X48,"")</f>
        <v/>
      </c>
      <c r="Z48">
        <f>IFERROR(ABS(Y48)/MAX(X48,1),"")</f>
        <v/>
      </c>
      <c r="AA48">
        <f>IFERROR(ROUND(((3*X48-(((E48/20000)+(F48/60)+(S48/60))*100/4+((E48/20000)*(F48/60))*100/2)*(H48/1.0))/(100/4+((S48/60))*100/2+((E48/20000)*(F48/60)*(S48/60))*100)*(H48/1.0)*5000)/J48,-1),"")</f>
        <v/>
      </c>
    </row>
    <row r="49">
      <c r="B49" s="7" t="inlineStr">
        <is>
          <t xml:space="preserve">  ↳ naxis_naxiriflesoldier_rifle</t>
        </is>
      </c>
      <c r="C49" s="7" t="inlineStr">
        <is>
          <t>Armament@PRIMARY</t>
        </is>
      </c>
      <c r="L49" s="6" t="n">
        <v>4000</v>
      </c>
      <c r="M49" s="6" t="n">
        <v>50</v>
      </c>
      <c r="N49" s="6" t="n">
        <v>1</v>
      </c>
      <c r="O49" s="6" t="n"/>
      <c r="P49" s="6" t="n">
        <v>5000</v>
      </c>
      <c r="Q49" s="6" t="n">
        <v>0.75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^Warhead_Bullet_Light</t>
        </is>
      </c>
    </row>
    <row r="50">
      <c r="B50" s="7" t="inlineStr">
        <is>
          <t xml:space="preserve">  ↳ naxis_naxiriflesoldier_rifle_elite</t>
        </is>
      </c>
      <c r="C50" s="7" t="inlineStr">
        <is>
          <t>Armament@ELITE</t>
        </is>
      </c>
      <c r="L50" s="6" t="n">
        <v>4000</v>
      </c>
      <c r="M50" s="6" t="n">
        <v>50</v>
      </c>
      <c r="N50" s="6" t="n">
        <v>2</v>
      </c>
      <c r="O50" s="6" t="n">
        <v>3</v>
      </c>
      <c r="P50" s="6" t="n">
        <v>6500</v>
      </c>
      <c r="Q50" s="6" t="n">
        <v>0.75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^Warhead_Bullet_Light</t>
        </is>
      </c>
    </row>
    <row r="51">
      <c r="B51" s="7" t="inlineStr">
        <is>
          <t xml:space="preserve">  ↳ naxis_naxiriflesoldier_rifle</t>
        </is>
      </c>
      <c r="C51" s="7" t="inlineStr">
        <is>
          <t>Armament@GARRISONED</t>
        </is>
      </c>
      <c r="L51" s="6" t="n">
        <v>4000</v>
      </c>
      <c r="M51" s="6" t="n">
        <v>50</v>
      </c>
      <c r="N51" s="6" t="n">
        <v>1</v>
      </c>
      <c r="O51" s="6" t="n"/>
      <c r="P51" s="6" t="n">
        <v>5000</v>
      </c>
      <c r="Q51" s="6" t="n">
        <v>0.75</v>
      </c>
      <c r="R51">
        <f>M51+IF(N51&gt;1,N(O51)*(N51-1),0)</f>
        <v/>
      </c>
      <c r="S51">
        <f>IFERROR(L51*MAX(N51,1)/R51*IF(ISBLANK(K48),1,K48),0)</f>
        <v/>
      </c>
      <c r="AB51" s="7" t="inlineStr">
        <is>
          <t>^Warhead_Bullet_Light</t>
        </is>
      </c>
    </row>
    <row r="52">
      <c r="B52" s="7" t="inlineStr">
        <is>
          <t xml:space="preserve">  ↳ naxis_naxiriflesoldier_rifle_elite</t>
        </is>
      </c>
      <c r="C52" s="7" t="inlineStr">
        <is>
          <t>Armament@GARRISONEDELITE</t>
        </is>
      </c>
      <c r="L52" s="6" t="n">
        <v>4000</v>
      </c>
      <c r="M52" s="6" t="n">
        <v>50</v>
      </c>
      <c r="N52" s="6" t="n">
        <v>2</v>
      </c>
      <c r="O52" s="6" t="n">
        <v>3</v>
      </c>
      <c r="P52" s="6" t="n">
        <v>6500</v>
      </c>
      <c r="Q52" s="6" t="n">
        <v>0.75</v>
      </c>
      <c r="R52">
        <f>M52+IF(N52&gt;1,N(O52)*(N52-1),0)</f>
        <v/>
      </c>
      <c r="S52">
        <f>IFERROR(L52*MAX(N52,1)/R52*IF(ISBLANK(K48),1,K48),0)</f>
        <v/>
      </c>
      <c r="AB52" s="7" t="inlineStr">
        <is>
          <t>^Warhead_Bullet_Light</t>
        </is>
      </c>
    </row>
    <row r="53">
      <c r="A53" t="inlineStr">
        <is>
          <t>redalert2mod</t>
        </is>
      </c>
      <c r="B53" t="inlineStr">
        <is>
          <t>naxis_panzerfausttrooper</t>
        </is>
      </c>
      <c r="C53" t="inlineStr">
        <is>
          <t>Panzerfaust Trooper</t>
        </is>
      </c>
      <c r="D53" s="6" t="inlineStr">
        <is>
          <t>HeavyInfantry</t>
        </is>
      </c>
      <c r="E53" s="6" t="n">
        <v>36000</v>
      </c>
      <c r="F53" s="6" t="n">
        <v>46</v>
      </c>
      <c r="G53" t="inlineStr">
        <is>
          <t>Plate</t>
        </is>
      </c>
      <c r="H53" s="6" t="n">
        <v>1</v>
      </c>
      <c r="I53" s="6" t="n">
        <v>0.8</v>
      </c>
      <c r="J53" s="6" t="n">
        <v>1</v>
      </c>
      <c r="K53" s="6" t="n"/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400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NaxiShrekCons</t>
        </is>
      </c>
      <c r="C54" s="7" t="inlineStr">
        <is>
          <t>Armament@PRIMARY</t>
        </is>
      </c>
      <c r="L54" s="6" t="n">
        <v>36000</v>
      </c>
      <c r="M54" s="6" t="n">
        <v>135</v>
      </c>
      <c r="N54" s="6" t="n">
        <v>1</v>
      </c>
      <c r="O54" s="6" t="n"/>
      <c r="P54" s="6" t="n">
        <v>5512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^Warhead_MissileAP_Medium</t>
        </is>
      </c>
    </row>
    <row r="55">
      <c r="B55" s="7" t="inlineStr">
        <is>
          <t xml:space="preserve">  ↳ NaxiShrekCons_elite</t>
        </is>
      </c>
      <c r="C55" s="7" t="inlineStr">
        <is>
          <t>Armament@ELITE</t>
        </is>
      </c>
      <c r="L55" s="6" t="n">
        <v>36000</v>
      </c>
      <c r="M55" s="6" t="n">
        <v>135</v>
      </c>
      <c r="N55" s="6" t="n">
        <v>2</v>
      </c>
      <c r="O55" s="6" t="n">
        <v>3</v>
      </c>
      <c r="P55" s="6" t="n">
        <v>6512</v>
      </c>
      <c r="Q55" s="6" t="n">
        <v>1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^Warhead_MissileAP_Medium</t>
        </is>
      </c>
    </row>
    <row r="56">
      <c r="B56" s="7" t="inlineStr">
        <is>
          <t xml:space="preserve">  ↳ NaxiShrekCons</t>
        </is>
      </c>
      <c r="C56" s="7" t="inlineStr">
        <is>
          <t>Armament@GARRISONED</t>
        </is>
      </c>
      <c r="L56" s="6" t="n">
        <v>36000</v>
      </c>
      <c r="M56" s="6" t="n">
        <v>135</v>
      </c>
      <c r="N56" s="6" t="n">
        <v>1</v>
      </c>
      <c r="O56" s="6" t="n"/>
      <c r="P56" s="6" t="n">
        <v>5512</v>
      </c>
      <c r="Q56" s="6" t="n">
        <v>1</v>
      </c>
      <c r="R56">
        <f>M56+IF(N56&gt;1,N(O56)*(N56-1),0)</f>
        <v/>
      </c>
      <c r="S56">
        <f>IFERROR(L56*MAX(N56,1)/R56*IF(ISBLANK(K53),1,K53),0)</f>
        <v/>
      </c>
      <c r="AB56" s="7" t="inlineStr">
        <is>
          <t>^Warhead_MissileAP_Medium</t>
        </is>
      </c>
    </row>
    <row r="57">
      <c r="B57" s="7" t="inlineStr">
        <is>
          <t xml:space="preserve">  ↳ NaxiShrekCons_elite</t>
        </is>
      </c>
      <c r="C57" s="7" t="inlineStr">
        <is>
          <t>Armament@GARRISONEDELITE</t>
        </is>
      </c>
      <c r="L57" s="6" t="n">
        <v>36000</v>
      </c>
      <c r="M57" s="6" t="n">
        <v>135</v>
      </c>
      <c r="N57" s="6" t="n">
        <v>2</v>
      </c>
      <c r="O57" s="6" t="n">
        <v>3</v>
      </c>
      <c r="P57" s="6" t="n">
        <v>6512</v>
      </c>
      <c r="Q57" s="6" t="n">
        <v>1</v>
      </c>
      <c r="R57">
        <f>M57+IF(N57&gt;1,N(O57)*(N57-1),0)</f>
        <v/>
      </c>
      <c r="S57">
        <f>IFERROR(L57*MAX(N57,1)/R57*IF(ISBLANK(K53),1,K53),0)</f>
        <v/>
      </c>
      <c r="AB57" s="7" t="inlineStr">
        <is>
          <t>^Warhead_MissileAP_Medium</t>
        </is>
      </c>
    </row>
    <row r="58">
      <c r="A58" t="inlineStr">
        <is>
          <t>redalert2mod</t>
        </is>
      </c>
      <c r="B58" t="inlineStr">
        <is>
          <t>naxis_panzerschreck</t>
        </is>
      </c>
      <c r="C58" t="inlineStr">
        <is>
          <t>Panzerschreck</t>
        </is>
      </c>
      <c r="D58" s="6" t="inlineStr">
        <is>
          <t>HeavyInfantry</t>
        </is>
      </c>
      <c r="E58" s="6" t="n">
        <v>96000</v>
      </c>
      <c r="F58" s="6" t="n">
        <v>42</v>
      </c>
      <c r="G58" t="inlineStr">
        <is>
          <t>Plate</t>
        </is>
      </c>
      <c r="H58" s="6" t="n">
        <v>0.75</v>
      </c>
      <c r="I58" s="6" t="n">
        <v>0.8</v>
      </c>
      <c r="J58" s="6" t="n">
        <v>1</v>
      </c>
      <c r="K58" s="6" t="n"/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(T58+U58+V58)/3</f>
        <v/>
      </c>
      <c r="X58" s="6" t="n">
        <v>600</v>
      </c>
      <c r="Y58">
        <f>IFERROR(W58-X58,"")</f>
        <v/>
      </c>
      <c r="Z58">
        <f>IFERROR(ABS(Y58)/MAX(X58,1),"")</f>
        <v/>
      </c>
      <c r="AA58">
        <f>IFERROR((X58-(((E58/100000+F58/100+S58/200)*200*I58*H58)+((E58*F58/25000)*I58*H58))/3)/(((J58/5)*200*I58*H58)+((J58*S58/2.5)*I58*H58)+((E58*F58*J58*S58*I58*H58)/12500000))/3*1000,"")</f>
        <v/>
      </c>
    </row>
    <row r="59">
      <c r="B59" s="7" t="inlineStr">
        <is>
          <t xml:space="preserve">  ↳ NaxiShrek</t>
        </is>
      </c>
      <c r="C59" s="7" t="inlineStr">
        <is>
          <t>Armament@PRIMARY</t>
        </is>
      </c>
      <c r="L59" s="6" t="n">
        <v>48000</v>
      </c>
      <c r="M59" s="6" t="n">
        <v>124</v>
      </c>
      <c r="N59" s="6" t="n">
        <v>1</v>
      </c>
      <c r="O59" s="6" t="n"/>
      <c r="P59" s="6" t="n">
        <v>6805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^Warhead_MissileAP_Medium</t>
        </is>
      </c>
    </row>
    <row r="60">
      <c r="B60" s="7" t="inlineStr">
        <is>
          <t xml:space="preserve">  ↳ NaxiShrek_elite</t>
        </is>
      </c>
      <c r="C60" s="7" t="inlineStr">
        <is>
          <t>Armament@ELITE</t>
        </is>
      </c>
      <c r="L60" s="6" t="n">
        <v>48000</v>
      </c>
      <c r="M60" s="6" t="n">
        <v>124</v>
      </c>
      <c r="N60" s="6" t="n">
        <v>2</v>
      </c>
      <c r="O60" s="6" t="n">
        <v>3</v>
      </c>
      <c r="P60" s="6" t="n">
        <v>7805</v>
      </c>
      <c r="Q60" s="6" t="n">
        <v>1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^Warhead_MissileAP_Medium</t>
        </is>
      </c>
    </row>
    <row r="61">
      <c r="B61" s="7" t="inlineStr">
        <is>
          <t xml:space="preserve">  ↳ NaxiShrek</t>
        </is>
      </c>
      <c r="C61" s="7" t="inlineStr">
        <is>
          <t>Armament@GARRISONED</t>
        </is>
      </c>
      <c r="L61" s="6" t="n">
        <v>48000</v>
      </c>
      <c r="M61" s="6" t="n">
        <v>124</v>
      </c>
      <c r="N61" s="6" t="n">
        <v>1</v>
      </c>
      <c r="O61" s="6" t="n"/>
      <c r="P61" s="6" t="n">
        <v>6805</v>
      </c>
      <c r="Q61" s="6" t="n">
        <v>1</v>
      </c>
      <c r="R61">
        <f>M61+IF(N61&gt;1,N(O61)*(N61-1),0)</f>
        <v/>
      </c>
      <c r="S61">
        <f>IFERROR(L61*MAX(N61,1)/R61*IF(ISBLANK(K58),1,K58),0)</f>
        <v/>
      </c>
      <c r="AB61" s="7" t="inlineStr">
        <is>
          <t>^Warhead_MissileAP_Medium</t>
        </is>
      </c>
    </row>
    <row r="62">
      <c r="B62" s="7" t="inlineStr">
        <is>
          <t xml:space="preserve">  ↳ NaxiShrek_elite</t>
        </is>
      </c>
      <c r="C62" s="7" t="inlineStr">
        <is>
          <t>Armament@GARRISONED_E</t>
        </is>
      </c>
      <c r="L62" s="6" t="n">
        <v>48000</v>
      </c>
      <c r="M62" s="6" t="n">
        <v>124</v>
      </c>
      <c r="N62" s="6" t="n">
        <v>2</v>
      </c>
      <c r="O62" s="6" t="n">
        <v>3</v>
      </c>
      <c r="P62" s="6" t="n">
        <v>7805</v>
      </c>
      <c r="Q62" s="6" t="n">
        <v>1</v>
      </c>
      <c r="R62">
        <f>M62+IF(N62&gt;1,N(O62)*(N62-1),0)</f>
        <v/>
      </c>
      <c r="S62">
        <f>IFERROR(L62*MAX(N62,1)/R62*IF(ISBLANK(K58),1,K58),0)</f>
        <v/>
      </c>
      <c r="AB62" s="7" t="inlineStr">
        <is>
          <t>^Warhead_MissileAP_Medium</t>
        </is>
      </c>
    </row>
    <row r="63">
      <c r="A63" t="inlineStr">
        <is>
          <t>redalert2mod</t>
        </is>
      </c>
      <c r="B63" t="inlineStr">
        <is>
          <t>naxis_portableflak</t>
        </is>
      </c>
      <c r="C63" t="inlineStr">
        <is>
          <t>Portable Flak</t>
        </is>
      </c>
      <c r="D63" s="6" t="inlineStr">
        <is>
          <t>AntiTankAntiAirInfantry</t>
        </is>
      </c>
      <c r="E63" s="6" t="n">
        <v>12000</v>
      </c>
      <c r="F63" s="6" t="n">
        <v>55</v>
      </c>
      <c r="G63" t="inlineStr">
        <is>
          <t>Flak</t>
        </is>
      </c>
      <c r="H63" s="6" t="n">
        <v>1</v>
      </c>
      <c r="I63" s="6" t="n">
        <v>0.5</v>
      </c>
      <c r="J63" s="6" t="n">
        <v>1</v>
      </c>
      <c r="K63" s="6" t="n"/>
      <c r="P63">
        <f>MAX(P65,P66)</f>
        <v/>
      </c>
      <c r="S63">
        <f>S65+S66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(((E63/5000)+(F63/50)+(S63/0)+((P63/0)*J63))*500/4+(((E63/5000)*(F63/50))+(((P63/0)*J63)*(S63/0)))*500/2+((E63/5000)*(F63/50)*((P63/0)*J63)*(S63/0))*500)*(H63/1.0)/3</f>
        <v/>
      </c>
      <c r="X63" s="6" t="n">
        <v>400</v>
      </c>
      <c r="Y63">
        <f>IFERROR(W63-X63,"")</f>
        <v/>
      </c>
      <c r="Z63">
        <f>IFERROR(ABS(Y63)/MAX(X63,1),"")</f>
        <v/>
      </c>
      <c r="AA63">
        <f>IFERROR(ROUND(((3*X63-(((E63/5000)+(F63/50)+(S63/0))*500/4+((E63/5000)*(F63/50))*500/2)*(H63/1.0))/(500/4+((S63/0))*500/2+((E63/5000)*(F63/50)*(S63/0))*500)*(H63/1.0)*0)/J63,-1),"")</f>
        <v/>
      </c>
    </row>
    <row r="64">
      <c r="B64" s="7" t="inlineStr">
        <is>
          <t xml:space="preserve">  ↳ NaxQuadCannonTargeting</t>
        </is>
      </c>
      <c r="C64" s="7" t="inlineStr">
        <is>
          <t>Armament@Dummy</t>
        </is>
      </c>
      <c r="L64" s="6" t="n"/>
      <c r="M64" s="6" t="n">
        <v>50</v>
      </c>
      <c r="N64" s="6" t="n">
        <v>1</v>
      </c>
      <c r="O64" s="6" t="n"/>
      <c r="P64" s="6" t="n">
        <v>8888</v>
      </c>
      <c r="Q64" s="6" t="n">
        <v>1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^AADeployTargeting</t>
        </is>
      </c>
    </row>
    <row r="65">
      <c r="B65" s="7" t="inlineStr">
        <is>
          <t xml:space="preserve">  ↳ PortableFlak</t>
        </is>
      </c>
      <c r="C65" s="7" t="inlineStr">
        <is>
          <t>Armament@Deployed</t>
        </is>
      </c>
      <c r="L65" s="6" t="n">
        <v>7000</v>
      </c>
      <c r="M65" s="6" t="n">
        <v>47</v>
      </c>
      <c r="N65" s="6" t="n">
        <v>6</v>
      </c>
      <c r="O65" s="6" t="n">
        <v>4</v>
      </c>
      <c r="P65" s="6" t="n">
        <v>8888</v>
      </c>
      <c r="Q65" s="6" t="n">
        <v>1</v>
      </c>
      <c r="R65">
        <f>M65+IF(N65&gt;1,N(O65)*(N65-1),0)</f>
        <v/>
      </c>
      <c r="S65">
        <f>IFERROR(L65*MAX(N65,1)/R65*IF(ISBLANK(K63),1,K63),0)</f>
        <v/>
      </c>
      <c r="AB65" s="7" t="inlineStr">
        <is>
          <t>^Warhead_Flak_Medium</t>
        </is>
      </c>
    </row>
    <row r="66">
      <c r="B66" s="7" t="inlineStr">
        <is>
          <t xml:space="preserve">  ↳ PortableFlak_elite</t>
        </is>
      </c>
      <c r="C66" s="7" t="inlineStr">
        <is>
          <t>Armament@DEPLOYEDELITE</t>
        </is>
      </c>
      <c r="L66" s="6" t="n">
        <v>7000</v>
      </c>
      <c r="M66" s="6" t="n">
        <v>47</v>
      </c>
      <c r="N66" s="6" t="n">
        <v>8</v>
      </c>
      <c r="O66" s="6" t="n">
        <v>3</v>
      </c>
      <c r="P66" s="6" t="n">
        <v>9999</v>
      </c>
      <c r="Q66" s="6" t="n">
        <v>1</v>
      </c>
      <c r="R66">
        <f>M66+IF(N66&gt;1,N(O66)*(N66-1),0)</f>
        <v/>
      </c>
      <c r="S66">
        <f>IFERROR(L66*MAX(N66,1)/R66*IF(ISBLANK(K63),1,K63),0)</f>
        <v/>
      </c>
      <c r="AB66" s="7" t="inlineStr">
        <is>
          <t>^Warhead_Flak_Medium</t>
        </is>
      </c>
    </row>
    <row r="67">
      <c r="B67" s="7" t="inlineStr">
        <is>
          <t xml:space="preserve">  ↳ PortableFlak</t>
        </is>
      </c>
      <c r="C67" s="7" t="inlineStr">
        <is>
          <t>Armament@GARRISONED</t>
        </is>
      </c>
      <c r="L67" s="6" t="n">
        <v>7000</v>
      </c>
      <c r="M67" s="6" t="n">
        <v>47</v>
      </c>
      <c r="N67" s="6" t="n">
        <v>6</v>
      </c>
      <c r="O67" s="6" t="n">
        <v>4</v>
      </c>
      <c r="P67" s="6" t="n">
        <v>8888</v>
      </c>
      <c r="Q67" s="6" t="n">
        <v>1</v>
      </c>
      <c r="R67">
        <f>M67+IF(N67&gt;1,N(O67)*(N67-1),0)</f>
        <v/>
      </c>
      <c r="S67">
        <f>IFERROR(L67*MAX(N67,1)/R67*IF(ISBLANK(K63),1,K63),0)</f>
        <v/>
      </c>
      <c r="AB67" s="7" t="inlineStr">
        <is>
          <t>^Warhead_Flak_Medium</t>
        </is>
      </c>
    </row>
    <row r="68">
      <c r="B68" s="7" t="inlineStr">
        <is>
          <t xml:space="preserve">  ↳ PortableFlak_elite</t>
        </is>
      </c>
      <c r="C68" s="7" t="inlineStr">
        <is>
          <t>Armament@GARRISONEDELITE</t>
        </is>
      </c>
      <c r="L68" s="6" t="n">
        <v>7000</v>
      </c>
      <c r="M68" s="6" t="n">
        <v>47</v>
      </c>
      <c r="N68" s="6" t="n">
        <v>8</v>
      </c>
      <c r="O68" s="6" t="n">
        <v>3</v>
      </c>
      <c r="P68" s="6" t="n">
        <v>9999</v>
      </c>
      <c r="Q68" s="6" t="n">
        <v>1</v>
      </c>
      <c r="R68">
        <f>M68+IF(N68&gt;1,N(O68)*(N68-1),0)</f>
        <v/>
      </c>
      <c r="S68">
        <f>IFERROR(L68*MAX(N68,1)/R68*IF(ISBLANK(K63),1,K63),0)</f>
        <v/>
      </c>
      <c r="AB68" s="7" t="inlineStr">
        <is>
          <t>^Warhead_Flak_Medium</t>
        </is>
      </c>
    </row>
    <row r="69">
      <c r="A69" t="inlineStr">
        <is>
          <t>redalert2mod</t>
        </is>
      </c>
      <c r="B69" t="inlineStr">
        <is>
          <t>naxis_skymage</t>
        </is>
      </c>
      <c r="C69" t="inlineStr">
        <is>
          <t>Sky Mage</t>
        </is>
      </c>
      <c r="D69" s="6" t="inlineStr">
        <is>
          <t>FlyingInfantry</t>
        </is>
      </c>
      <c r="E69" s="6" t="n">
        <v>48000</v>
      </c>
      <c r="F69" s="6" t="n">
        <v>160</v>
      </c>
      <c r="G69" t="inlineStr">
        <is>
          <t>Scout</t>
        </is>
      </c>
      <c r="H69" s="6" t="n">
        <v>0.75</v>
      </c>
      <c r="I69" s="6" t="n">
        <v>1</v>
      </c>
      <c r="J69" s="6" t="n">
        <v>1.25</v>
      </c>
      <c r="K69" s="6" t="n">
        <v>0.005</v>
      </c>
      <c r="P69">
        <f>MAX(P70,P71,P72,P73)</f>
        <v/>
      </c>
      <c r="S69">
        <f>S70+S71+S72+S73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1200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SkyMageCannon</t>
        </is>
      </c>
      <c r="C70" s="7" t="inlineStr">
        <is>
          <t>Armament@PRIMARY</t>
        </is>
      </c>
      <c r="L70" s="6" t="n">
        <v>7000</v>
      </c>
      <c r="M70" s="6" t="n">
        <v>26</v>
      </c>
      <c r="N70" s="6" t="n">
        <v>6</v>
      </c>
      <c r="O70" s="6" t="n">
        <v>4</v>
      </c>
      <c r="P70" s="6" t="n">
        <v>5000</v>
      </c>
      <c r="Q70" s="6" t="n">
        <v>1</v>
      </c>
      <c r="R70">
        <f>M70+IF(N70&gt;1,N(O70)*(N70-1),0)</f>
        <v/>
      </c>
      <c r="S70">
        <f>IFERROR(L70*MAX(N70,1)/R70*IF(ISBLANK(K69),1,K69),0)</f>
        <v/>
      </c>
      <c r="AB70" s="7" t="inlineStr">
        <is>
          <t>^Warhead_Flak_Medium</t>
        </is>
      </c>
    </row>
    <row r="71">
      <c r="B71" s="7" t="inlineStr">
        <is>
          <t xml:space="preserve">  ↳ SkyMageCannon_elite</t>
        </is>
      </c>
      <c r="C71" s="7" t="inlineStr">
        <is>
          <t>Armament@ELITE</t>
        </is>
      </c>
      <c r="L71" s="6" t="n">
        <v>7000</v>
      </c>
      <c r="M71" s="6" t="n">
        <v>26</v>
      </c>
      <c r="N71" s="6" t="n">
        <v>8</v>
      </c>
      <c r="O71" s="6" t="n">
        <v>3</v>
      </c>
      <c r="P71" s="6" t="n">
        <v>6000</v>
      </c>
      <c r="Q71" s="6" t="n">
        <v>1</v>
      </c>
      <c r="R71">
        <f>M71+IF(N71&gt;1,N(O71)*(N71-1),0)</f>
        <v/>
      </c>
      <c r="S71">
        <f>IFERROR(L71*MAX(N71,1)/R71*IF(ISBLANK(K69),1,K69),0)</f>
        <v/>
      </c>
      <c r="AB71" s="7" t="inlineStr">
        <is>
          <t>^Warhead_Flak_Medium</t>
        </is>
      </c>
    </row>
    <row r="72">
      <c r="B72" s="7" t="inlineStr">
        <is>
          <t xml:space="preserve">  ↳ SkyMageCannon_AA</t>
        </is>
      </c>
      <c r="C72" s="7" t="inlineStr">
        <is>
          <t>Armament@AA</t>
        </is>
      </c>
      <c r="L72" s="6" t="n">
        <v>7000</v>
      </c>
      <c r="M72" s="6" t="n">
        <v>26</v>
      </c>
      <c r="N72" s="6" t="n">
        <v>6</v>
      </c>
      <c r="O72" s="6" t="n">
        <v>4</v>
      </c>
      <c r="P72" s="6" t="n">
        <v>7500</v>
      </c>
      <c r="Q72" s="6" t="n">
        <v>1</v>
      </c>
      <c r="R72">
        <f>M72+IF(N72&gt;1,N(O72)*(N72-1),0)</f>
        <v/>
      </c>
      <c r="S72">
        <f>IFERROR(L72*MAX(N72,1)/R72*IF(ISBLANK(K69),1,K69),0)</f>
        <v/>
      </c>
      <c r="AB72" s="7" t="inlineStr">
        <is>
          <t>^Warhead_Flak_Medium</t>
        </is>
      </c>
    </row>
    <row r="73">
      <c r="B73" s="7" t="inlineStr">
        <is>
          <t xml:space="preserve">  ↳ SkyMageCannon_AA_elite</t>
        </is>
      </c>
      <c r="C73" s="7" t="inlineStr">
        <is>
          <t>Armament@ELITEAA</t>
        </is>
      </c>
      <c r="L73" s="6" t="n">
        <v>7000</v>
      </c>
      <c r="M73" s="6" t="n">
        <v>26</v>
      </c>
      <c r="N73" s="6" t="n">
        <v>8</v>
      </c>
      <c r="O73" s="6" t="n">
        <v>3</v>
      </c>
      <c r="P73" s="6" t="n">
        <v>8500</v>
      </c>
      <c r="Q73" s="6" t="n">
        <v>1</v>
      </c>
      <c r="R73">
        <f>M73+IF(N73&gt;1,N(O73)*(N73-1),0)</f>
        <v/>
      </c>
      <c r="S73">
        <f>IFERROR(L73*MAX(N73,1)/R73*IF(ISBLANK(K69),1,K69),0)</f>
        <v/>
      </c>
      <c r="AB73" s="7" t="inlineStr">
        <is>
          <t>^Warhead_Flak_Medium</t>
        </is>
      </c>
    </row>
    <row r="74">
      <c r="A74" t="inlineStr">
        <is>
          <t>redalert2mod</t>
        </is>
      </c>
      <c r="B74" t="inlineStr">
        <is>
          <t>naxis_slave</t>
        </is>
      </c>
      <c r="C74" t="inlineStr">
        <is>
          <t>Slave</t>
        </is>
      </c>
      <c r="D74" s="6" t="inlineStr">
        <is>
          <t>MeleeInfantry</t>
        </is>
      </c>
      <c r="E74" s="6" t="n">
        <v>10000</v>
      </c>
      <c r="F74" s="6" t="n">
        <v>60</v>
      </c>
      <c r="G74" t="inlineStr">
        <is>
          <t>Plate</t>
        </is>
      </c>
      <c r="H74" s="6" t="n">
        <v>0.9649</v>
      </c>
      <c r="I74" s="6" t="n">
        <v>1</v>
      </c>
      <c r="J74" s="6" t="n">
        <v>1</v>
      </c>
      <c r="K74" s="6" t="n"/>
      <c r="P74">
        <f>MAX(P75)</f>
        <v/>
      </c>
      <c r="S74">
        <f>S75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250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RA2Shovel</t>
        </is>
      </c>
      <c r="C75" s="7" t="inlineStr">
        <is>
          <t>Armament@PRIMARY</t>
        </is>
      </c>
      <c r="L75" s="6" t="n">
        <v>2000</v>
      </c>
      <c r="M75" s="6" t="n">
        <v>30</v>
      </c>
      <c r="N75" s="6" t="n">
        <v>1</v>
      </c>
      <c r="O75" s="6" t="n"/>
      <c r="P75" s="6" t="n">
        <v>1500</v>
      </c>
      <c r="Q75" s="6" t="n">
        <v>1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^Warhead_Melee_Medium</t>
        </is>
      </c>
    </row>
    <row r="76">
      <c r="B76" s="7" t="inlineStr">
        <is>
          <t xml:space="preserve">  ↳ RA2Shovel</t>
        </is>
      </c>
      <c r="C76" s="7" t="inlineStr">
        <is>
          <t>Armament@GARRISONED</t>
        </is>
      </c>
      <c r="L76" s="6" t="n">
        <v>2000</v>
      </c>
      <c r="M76" s="6" t="n">
        <v>30</v>
      </c>
      <c r="N76" s="6" t="n">
        <v>1</v>
      </c>
      <c r="O76" s="6" t="n"/>
      <c r="P76" s="6" t="n">
        <v>1500</v>
      </c>
      <c r="Q76" s="6" t="n">
        <v>1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^Warhead_Melee_Medium</t>
        </is>
      </c>
    </row>
    <row r="77">
      <c r="A77" t="inlineStr">
        <is>
          <t>redalert2mod</t>
        </is>
      </c>
      <c r="B77" t="inlineStr">
        <is>
          <t>naxis_slaveoverseer</t>
        </is>
      </c>
      <c r="C77" t="inlineStr">
        <is>
          <t>Slave Overseer</t>
        </is>
      </c>
      <c r="D77" s="6" t="inlineStr">
        <is>
          <t>ScoutInfantry</t>
        </is>
      </c>
      <c r="E77" s="6" t="n">
        <v>20000</v>
      </c>
      <c r="F77" s="6" t="n">
        <v>90</v>
      </c>
      <c r="G77" t="inlineStr">
        <is>
          <t>None</t>
        </is>
      </c>
      <c r="H77" s="6" t="n">
        <v>0.9649</v>
      </c>
      <c r="I77" s="6" t="n">
        <v>1</v>
      </c>
      <c r="J77" s="6" t="n">
        <v>1</v>
      </c>
      <c r="K77" s="6" t="n"/>
      <c r="P77">
        <f>MAX(P79,P80)</f>
        <v/>
      </c>
      <c r="S77">
        <f>S79+S80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(((E77/5000)+(F77/50)+(S77/0)+((P77/0)*J77))*500/4+(((E77/5000)*(F77/50))+(((P77/0)*J77)*(S77/0)))*500/2+((E77/5000)*(F77/50)*((P77/0)*J77)*(S77/0))*500)*(H77/1.0)/3</f>
        <v/>
      </c>
      <c r="X77" s="6" t="n">
        <v>500</v>
      </c>
      <c r="Y77">
        <f>IFERROR(W77-X77,"")</f>
        <v/>
      </c>
      <c r="Z77">
        <f>IFERROR(ABS(Y77)/MAX(X77,1),"")</f>
        <v/>
      </c>
      <c r="AA77">
        <f>IFERROR(ROUND(((3*X77-(((E77/5000)+(F77/50)+(S77/0))*500/4+((E77/5000)*(F77/50))*500/2)*(H77/1.0))/(500/4+((S77/0))*500/2+((E77/5000)*(F77/50)*(S77/0))*500)*(H77/1.0)*0)/J77,-1),"")</f>
        <v/>
      </c>
    </row>
    <row r="78">
      <c r="B78" s="7" t="inlineStr">
        <is>
          <t xml:space="preserve">  ↳ NaxiSlaveWhip</t>
        </is>
      </c>
      <c r="C78" s="7" t="inlineStr">
        <is>
          <t>Armament@SlaveWhip</t>
        </is>
      </c>
      <c r="L78" s="6" t="n"/>
      <c r="M78" s="6" t="n">
        <v>50</v>
      </c>
      <c r="N78" s="6" t="n">
        <v>1</v>
      </c>
      <c r="O78" s="6" t="n"/>
      <c r="P78" s="6" t="n">
        <v>2500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/>
    </row>
    <row r="79">
      <c r="B79" s="7" t="inlineStr">
        <is>
          <t xml:space="preserve">  ↳ NaxiRifle</t>
        </is>
      </c>
      <c r="C79" s="7" t="inlineStr">
        <is>
          <t>Armament@PRIMARY</t>
        </is>
      </c>
      <c r="L79" s="6" t="n">
        <v>6000</v>
      </c>
      <c r="M79" s="6" t="n">
        <v>75</v>
      </c>
      <c r="N79" s="6" t="n">
        <v>1</v>
      </c>
      <c r="O79" s="6" t="n"/>
      <c r="P79" s="6" t="n">
        <v>5621</v>
      </c>
      <c r="Q79" s="6" t="n">
        <v>0.75</v>
      </c>
      <c r="R79">
        <f>M79+IF(N79&gt;1,N(O79)*(N79-1),0)</f>
        <v/>
      </c>
      <c r="S79">
        <f>IFERROR(L79*MAX(N79,1)/R79*IF(ISBLANK(K77),1,K77),0)</f>
        <v/>
      </c>
      <c r="AB79" s="7" t="inlineStr">
        <is>
          <t>^Warhead_Bullet_Light</t>
        </is>
      </c>
    </row>
    <row r="80">
      <c r="B80" s="7" t="inlineStr">
        <is>
          <t xml:space="preserve">  ↳ NaxiRifle_elite</t>
        </is>
      </c>
      <c r="C80" s="7" t="inlineStr">
        <is>
          <t>Armament@ELITE</t>
        </is>
      </c>
      <c r="L80" s="6" t="n">
        <v>6000</v>
      </c>
      <c r="M80" s="6" t="n">
        <v>75</v>
      </c>
      <c r="N80" s="6" t="n">
        <v>2</v>
      </c>
      <c r="O80" s="6" t="n">
        <v>3</v>
      </c>
      <c r="P80" s="6" t="n">
        <v>6621</v>
      </c>
      <c r="Q80" s="6" t="n">
        <v>0.75</v>
      </c>
      <c r="R80">
        <f>M80+IF(N80&gt;1,N(O80)*(N80-1),0)</f>
        <v/>
      </c>
      <c r="S80">
        <f>IFERROR(L80*MAX(N80,1)/R80*IF(ISBLANK(K77),1,K77),0)</f>
        <v/>
      </c>
      <c r="AB80" s="7" t="inlineStr">
        <is>
          <t>^Warhead_Bullet_Light</t>
        </is>
      </c>
    </row>
    <row r="81">
      <c r="B81" s="7" t="inlineStr">
        <is>
          <t xml:space="preserve">  ↳ NaxiRifle</t>
        </is>
      </c>
      <c r="C81" s="7" t="inlineStr">
        <is>
          <t>Armament@GARRISONED</t>
        </is>
      </c>
      <c r="L81" s="6" t="n">
        <v>6000</v>
      </c>
      <c r="M81" s="6" t="n">
        <v>75</v>
      </c>
      <c r="N81" s="6" t="n">
        <v>1</v>
      </c>
      <c r="O81" s="6" t="n"/>
      <c r="P81" s="6" t="n">
        <v>5621</v>
      </c>
      <c r="Q81" s="6" t="n">
        <v>0.75</v>
      </c>
      <c r="R81">
        <f>M81+IF(N81&gt;1,N(O81)*(N81-1),0)</f>
        <v/>
      </c>
      <c r="S81">
        <f>IFERROR(L81*MAX(N81,1)/R81*IF(ISBLANK(K77),1,K77),0)</f>
        <v/>
      </c>
      <c r="AB81" s="7" t="inlineStr">
        <is>
          <t>^Warhead_Bullet_Light</t>
        </is>
      </c>
    </row>
    <row r="82">
      <c r="B82" s="7" t="inlineStr">
        <is>
          <t xml:space="preserve">  ↳ NaxiRifle_elite</t>
        </is>
      </c>
      <c r="C82" s="7" t="inlineStr">
        <is>
          <t>Armament@GARRISONEDELITE</t>
        </is>
      </c>
      <c r="L82" s="6" t="n">
        <v>6000</v>
      </c>
      <c r="M82" s="6" t="n">
        <v>75</v>
      </c>
      <c r="N82" s="6" t="n">
        <v>2</v>
      </c>
      <c r="O82" s="6" t="n">
        <v>3</v>
      </c>
      <c r="P82" s="6" t="n">
        <v>6621</v>
      </c>
      <c r="Q82" s="6" t="n">
        <v>0.75</v>
      </c>
      <c r="R82">
        <f>M82+IF(N82&gt;1,N(O82)*(N82-1),0)</f>
        <v/>
      </c>
      <c r="S82">
        <f>IFERROR(L82*MAX(N82,1)/R82*IF(ISBLANK(K77),1,K77),0)</f>
        <v/>
      </c>
      <c r="AB82" s="7" t="inlineStr">
        <is>
          <t>^Warhead_Bullet_Light</t>
        </is>
      </c>
    </row>
    <row r="83">
      <c r="A83" t="inlineStr">
        <is>
          <t>redalert2mod</t>
        </is>
      </c>
      <c r="B83" t="inlineStr">
        <is>
          <t>naxis_sssoldier</t>
        </is>
      </c>
      <c r="C83" t="inlineStr">
        <is>
          <t>SS Soldier</t>
        </is>
      </c>
      <c r="D83" s="6" t="inlineStr">
        <is>
          <t>CloseCombatInfantry</t>
        </is>
      </c>
      <c r="E83" s="6" t="n">
        <v>63000</v>
      </c>
      <c r="F83" s="6" t="n">
        <v>55</v>
      </c>
      <c r="G83" t="inlineStr">
        <is>
          <t>Plate</t>
        </is>
      </c>
      <c r="H83" s="6" t="n">
        <v>0.75</v>
      </c>
      <c r="I83" s="6" t="n">
        <v>1</v>
      </c>
      <c r="J83" s="6" t="n">
        <v>1</v>
      </c>
      <c r="K83" s="6" t="n">
        <v>0.0095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(((E83/50000)+(F83/75)+(S83/250)+((P83/3500)*J83))*200/4+(((E83/50000)*(F83/75))+(((P83/3500)*J83)*(S83/250)))*200/2+((E83/50000)*(F83/75)*((P83/3500)*J83)*(S83/250))*200)*(H83/1.0)/3</f>
        <v/>
      </c>
      <c r="X83" s="6" t="n">
        <v>240</v>
      </c>
      <c r="Y83">
        <f>IFERROR(W83-X83,"")</f>
        <v/>
      </c>
      <c r="Z83">
        <f>IFERROR(ABS(Y83)/MAX(X83,1),"")</f>
        <v/>
      </c>
      <c r="AA83">
        <f>IFERROR(ROUND(((3*X83-(((E83/50000)+(F83/75)+(S83/250))*200/4+((E83/50000)*(F83/75))*200/2)*(H83/1.0))/(200/4+((S83/250))*200/2+((E83/50000)*(F83/75)*(S83/250))*200)*(H83/1.0)*3500)/J83,-1),"")</f>
        <v/>
      </c>
    </row>
    <row r="84">
      <c r="B84" s="7" t="inlineStr">
        <is>
          <t xml:space="preserve">  ↳ naxis_sssoldier_smg</t>
        </is>
      </c>
      <c r="C84" s="7" t="inlineStr">
        <is>
          <t>Armament@PRIMARY</t>
        </is>
      </c>
      <c r="L84" s="6" t="n">
        <v>4000</v>
      </c>
      <c r="M84" s="6" t="n">
        <v>75</v>
      </c>
      <c r="N84" s="6" t="n">
        <v>10</v>
      </c>
      <c r="O84" s="6" t="n">
        <v>5</v>
      </c>
      <c r="P84" s="6" t="n">
        <v>4500</v>
      </c>
      <c r="Q84" s="6" t="n">
        <v>0.875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^Warhead_Bullet_Light, ^Warhead_Bullet_Medium</t>
        </is>
      </c>
    </row>
    <row r="85">
      <c r="B85" s="7" t="inlineStr">
        <is>
          <t xml:space="preserve">  ↳ naxis_sssoldier_smg_elite</t>
        </is>
      </c>
      <c r="C85" s="7" t="inlineStr">
        <is>
          <t>Armament@ELITE</t>
        </is>
      </c>
      <c r="L85" s="6" t="n">
        <v>4000</v>
      </c>
      <c r="M85" s="6" t="n">
        <v>75</v>
      </c>
      <c r="N85" s="6" t="n">
        <v>20</v>
      </c>
      <c r="O85" s="6" t="n">
        <v>4</v>
      </c>
      <c r="P85" s="6" t="n">
        <v>4500</v>
      </c>
      <c r="Q85" s="6" t="n">
        <v>0.875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^Warhead_Bullet_Light, ^Warhead_Bullet_Medium</t>
        </is>
      </c>
    </row>
    <row r="86">
      <c r="B86" s="7" t="inlineStr">
        <is>
          <t xml:space="preserve">  ↳ naxis_sssoldier_smg</t>
        </is>
      </c>
      <c r="C86" s="7" t="inlineStr">
        <is>
          <t>Armament@GARRISONED</t>
        </is>
      </c>
      <c r="L86" s="6" t="n">
        <v>4000</v>
      </c>
      <c r="M86" s="6" t="n">
        <v>75</v>
      </c>
      <c r="N86" s="6" t="n">
        <v>10</v>
      </c>
      <c r="O86" s="6" t="n">
        <v>5</v>
      </c>
      <c r="P86" s="6" t="n">
        <v>4500</v>
      </c>
      <c r="Q86" s="6" t="n">
        <v>0.875</v>
      </c>
      <c r="R86">
        <f>M86+IF(N86&gt;1,N(O86)*(N86-1),0)</f>
        <v/>
      </c>
      <c r="S86">
        <f>IFERROR(L86*MAX(N86,1)/R86*IF(ISBLANK(K83),1,K83),0)</f>
        <v/>
      </c>
      <c r="AB86" s="7" t="inlineStr">
        <is>
          <t>^Warhead_Bullet_Light, ^Warhead_Bullet_Medium</t>
        </is>
      </c>
    </row>
    <row r="87">
      <c r="B87" s="7" t="inlineStr">
        <is>
          <t xml:space="preserve">  ↳ naxis_sssoldier_smg_elite</t>
        </is>
      </c>
      <c r="C87" s="7" t="inlineStr">
        <is>
          <t>Armament@GARRISONEDELITE</t>
        </is>
      </c>
      <c r="L87" s="6" t="n">
        <v>4000</v>
      </c>
      <c r="M87" s="6" t="n">
        <v>75</v>
      </c>
      <c r="N87" s="6" t="n">
        <v>20</v>
      </c>
      <c r="O87" s="6" t="n">
        <v>4</v>
      </c>
      <c r="P87" s="6" t="n">
        <v>4500</v>
      </c>
      <c r="Q87" s="6" t="n">
        <v>0.875</v>
      </c>
      <c r="R87">
        <f>M87+IF(N87&gt;1,N(O87)*(N87-1),0)</f>
        <v/>
      </c>
      <c r="S87">
        <f>IFERROR(L87*MAX(N87,1)/R87*IF(ISBLANK(K83),1,K83),0)</f>
        <v/>
      </c>
      <c r="AB87" s="7" t="inlineStr">
        <is>
          <t>^Warhead_Bullet_Light, ^Warhead_Bullet_Medium</t>
        </is>
      </c>
    </row>
    <row r="88">
      <c r="A88" t="inlineStr">
        <is>
          <t>redalert2mod</t>
        </is>
      </c>
      <c r="B88" t="inlineStr">
        <is>
          <t>undead.nax</t>
        </is>
      </c>
      <c r="C88" t="inlineStr">
        <is>
          <t>Undead Soldier</t>
        </is>
      </c>
      <c r="D88" s="6" t="inlineStr">
        <is>
          <t>ScoutInfantry</t>
        </is>
      </c>
      <c r="E88" s="6" t="n">
        <v>15000</v>
      </c>
      <c r="F88" s="6" t="n">
        <v>50</v>
      </c>
      <c r="G88" t="inlineStr">
        <is>
          <t>None</t>
        </is>
      </c>
      <c r="H88" s="6" t="n">
        <v>1</v>
      </c>
      <c r="I88" s="6" t="n">
        <v>1</v>
      </c>
      <c r="J88" s="6" t="n">
        <v>1</v>
      </c>
      <c r="K88" s="6" t="n"/>
      <c r="P88">
        <f>MAX(P89,P90)</f>
        <v/>
      </c>
      <c r="S88">
        <f>S89+S90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(((E88/20000)+(F88/60)+(S88/60)+((P88/5000)*J88))*100/4+(((E88/20000)*(F88/60))+(((P88/5000)*J88)*(S88/60)))*100/2+((E88/20000)*(F88/60)*((P88/5000)*J88)*(S88/60))*100)*(H88/1.0)/3</f>
        <v/>
      </c>
      <c r="X88" s="6" t="n">
        <v>100</v>
      </c>
      <c r="Y88">
        <f>IFERROR(W88-X88,"")</f>
        <v/>
      </c>
      <c r="Z88">
        <f>IFERROR(ABS(Y88)/MAX(X88,1),"")</f>
        <v/>
      </c>
      <c r="AA88">
        <f>IFERROR(ROUND(((3*X88-(((E88/20000)+(F88/60)+(S88/60))*100/4+((E88/20000)*(F88/60))*100/2)*(H88/1.0))/(100/4+((S88/60))*100/2+((E88/20000)*(F88/60)*(S88/60))*100)*(H88/1.0)*5000)/J88,-1),"")</f>
        <v/>
      </c>
    </row>
    <row r="89">
      <c r="B89" s="7" t="inlineStr">
        <is>
          <t xml:space="preserve">  ↳ NaxiRifle</t>
        </is>
      </c>
      <c r="C89" s="7" t="inlineStr">
        <is>
          <t>Armament@PRIMARY</t>
        </is>
      </c>
      <c r="L89" s="6" t="n">
        <v>6000</v>
      </c>
      <c r="M89" s="6" t="n">
        <v>75</v>
      </c>
      <c r="N89" s="6" t="n">
        <v>1</v>
      </c>
      <c r="O89" s="6" t="n"/>
      <c r="P89" s="6" t="n">
        <v>5621</v>
      </c>
      <c r="Q89" s="6" t="n">
        <v>0.75</v>
      </c>
      <c r="R89">
        <f>M89+IF(N89&gt;1,N(O89)*(N89-1),0)</f>
        <v/>
      </c>
      <c r="S89">
        <f>IFERROR(L89*MAX(N89,1)/R89*IF(ISBLANK(K88),1,K88),0)</f>
        <v/>
      </c>
      <c r="AB89" s="7" t="inlineStr">
        <is>
          <t>^Warhead_Bullet_Light</t>
        </is>
      </c>
    </row>
    <row r="90">
      <c r="B90" s="7" t="inlineStr">
        <is>
          <t xml:space="preserve">  ↳ NaxiRifle_elite</t>
        </is>
      </c>
      <c r="C90" s="7" t="inlineStr">
        <is>
          <t>Armament@ELITE</t>
        </is>
      </c>
      <c r="L90" s="6" t="n">
        <v>6000</v>
      </c>
      <c r="M90" s="6" t="n">
        <v>75</v>
      </c>
      <c r="N90" s="6" t="n">
        <v>2</v>
      </c>
      <c r="O90" s="6" t="n">
        <v>3</v>
      </c>
      <c r="P90" s="6" t="n">
        <v>6621</v>
      </c>
      <c r="Q90" s="6" t="n">
        <v>0.75</v>
      </c>
      <c r="R90">
        <f>M90+IF(N90&gt;1,N(O90)*(N90-1),0)</f>
        <v/>
      </c>
      <c r="S90">
        <f>IFERROR(L90*MAX(N90,1)/R90*IF(ISBLANK(K88),1,K88),0)</f>
        <v/>
      </c>
      <c r="AB90" s="7" t="inlineStr">
        <is>
          <t>^Warhead_Bullet_Light</t>
        </is>
      </c>
    </row>
    <row r="91">
      <c r="B91" s="7" t="inlineStr">
        <is>
          <t xml:space="preserve">  ↳ NaxiRifle</t>
        </is>
      </c>
      <c r="C91" s="7" t="inlineStr">
        <is>
          <t>Armament@GARRISONED</t>
        </is>
      </c>
      <c r="L91" s="6" t="n">
        <v>6000</v>
      </c>
      <c r="M91" s="6" t="n">
        <v>75</v>
      </c>
      <c r="N91" s="6" t="n">
        <v>1</v>
      </c>
      <c r="O91" s="6" t="n"/>
      <c r="P91" s="6" t="n">
        <v>5621</v>
      </c>
      <c r="Q91" s="6" t="n">
        <v>0.75</v>
      </c>
      <c r="R91">
        <f>M91+IF(N91&gt;1,N(O91)*(N91-1),0)</f>
        <v/>
      </c>
      <c r="S91">
        <f>IFERROR(L91*MAX(N91,1)/R91*IF(ISBLANK(K88),1,K88),0)</f>
        <v/>
      </c>
      <c r="AB91" s="7" t="inlineStr">
        <is>
          <t>^Warhead_Bullet_Light</t>
        </is>
      </c>
    </row>
    <row r="92">
      <c r="B92" s="7" t="inlineStr">
        <is>
          <t xml:space="preserve">  ↳ NaxiRifle_elite</t>
        </is>
      </c>
      <c r="C92" s="7" t="inlineStr">
        <is>
          <t>Armament@GARRISONEDELITE</t>
        </is>
      </c>
      <c r="L92" s="6" t="n">
        <v>6000</v>
      </c>
      <c r="M92" s="6" t="n">
        <v>75</v>
      </c>
      <c r="N92" s="6" t="n">
        <v>2</v>
      </c>
      <c r="O92" s="6" t="n">
        <v>3</v>
      </c>
      <c r="P92" s="6" t="n">
        <v>6621</v>
      </c>
      <c r="Q92" s="6" t="n">
        <v>0.75</v>
      </c>
      <c r="R92">
        <f>M92+IF(N92&gt;1,N(O92)*(N92-1),0)</f>
        <v/>
      </c>
      <c r="S92">
        <f>IFERROR(L92*MAX(N92,1)/R92*IF(ISBLANK(K88),1,K88),0)</f>
        <v/>
      </c>
      <c r="AB92" s="7" t="inlineStr">
        <is>
          <t>^Warhead_Bullet_Light</t>
        </is>
      </c>
    </row>
    <row r="93">
      <c r="A93" s="4" t="inlineStr">
        <is>
          <t>VEHICLES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t="inlineStr">
        <is>
          <t>redalert2mod</t>
        </is>
      </c>
      <c r="B94" t="inlineStr">
        <is>
          <t>assault.nax</t>
        </is>
      </c>
      <c r="C94" t="inlineStr">
        <is>
          <t>Imperial Assault Tank</t>
        </is>
      </c>
      <c r="D94" s="6" t="inlineStr">
        <is>
          <t>MainBattleTank</t>
        </is>
      </c>
      <c r="E94" s="6" t="n">
        <v>130000</v>
      </c>
      <c r="F94" s="6" t="n">
        <v>100</v>
      </c>
      <c r="G94" t="inlineStr">
        <is>
          <t>Heavy</t>
        </is>
      </c>
      <c r="H94" s="6" t="n">
        <v>1</v>
      </c>
      <c r="I94" s="6" t="n">
        <v>1</v>
      </c>
      <c r="J94" s="6" t="n">
        <v>1</v>
      </c>
      <c r="K94" s="6" t="n">
        <v>0.012</v>
      </c>
      <c r="P94">
        <f>MAX(P95,P96,P97)</f>
        <v/>
      </c>
      <c r="S94">
        <f>S95+S96+S97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(((E94/240000)+(F94/95)+(S94/600)+((P94/5500)*J94))*800/4+(((E94/240000)*(F94/95))+(((P94/5500)*J94)*(S94/600)))*800/2+((E94/240000)*(F94/95)*((P94/5500)*J94)*(S94/600))*800)*(H94/1.0)/3</f>
        <v/>
      </c>
      <c r="X94" s="6" t="n">
        <v>900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Nax120mmAssault</t>
        </is>
      </c>
      <c r="C95" s="7" t="inlineStr">
        <is>
          <t>Armament</t>
        </is>
      </c>
      <c r="L95" s="6" t="n">
        <v>10000</v>
      </c>
      <c r="M95" s="6" t="n">
        <v>28</v>
      </c>
      <c r="N95" s="6" t="n">
        <v>1</v>
      </c>
      <c r="O95" s="6" t="n"/>
      <c r="P95" s="6" t="n">
        <v>5200</v>
      </c>
      <c r="Q95" s="6" t="n">
        <v>1</v>
      </c>
      <c r="R95">
        <f>M95+IF(N95&gt;1,N(O95)*(N95-1),0)</f>
        <v/>
      </c>
      <c r="S95">
        <f>IFERROR(L95*MAX(N95,1)/R95*IF(ISBLANK(K94),1,K94),0)</f>
        <v/>
      </c>
      <c r="AB95" s="7" t="inlineStr">
        <is>
          <t>^Warhead_CannonHE_Medium</t>
        </is>
      </c>
    </row>
    <row r="96">
      <c r="B96" s="7" t="inlineStr">
        <is>
          <t xml:space="preserve">  ↳ Nax120mmAssault_elite</t>
        </is>
      </c>
      <c r="C96" s="7" t="inlineStr">
        <is>
          <t>Armament@elite</t>
        </is>
      </c>
      <c r="L96" s="6" t="n">
        <v>10000</v>
      </c>
      <c r="M96" s="6" t="n">
        <v>28</v>
      </c>
      <c r="N96" s="6" t="n">
        <v>2</v>
      </c>
      <c r="O96" s="6" t="n">
        <v>3</v>
      </c>
      <c r="P96" s="6" t="n">
        <v>6200</v>
      </c>
      <c r="Q96" s="6" t="n">
        <v>1</v>
      </c>
      <c r="R96">
        <f>M96+IF(N96&gt;1,N(O96)*(N96-1),0)</f>
        <v/>
      </c>
      <c r="S96">
        <f>IFERROR(L96*MAX(N96,1)/R96*IF(ISBLANK(K94),1,K94),0)</f>
        <v/>
      </c>
      <c r="AB96" s="7" t="inlineStr">
        <is>
          <t>^Warhead_CannonHE_Medium</t>
        </is>
      </c>
    </row>
    <row r="97">
      <c r="B97" s="7" t="inlineStr">
        <is>
          <t xml:space="preserve">  ↳ SyndicateFireballLauncher</t>
        </is>
      </c>
      <c r="C97" s="7" t="inlineStr">
        <is>
          <t>Armament@Flam</t>
        </is>
      </c>
      <c r="L97" s="6" t="n">
        <v>6000</v>
      </c>
      <c r="M97" s="6" t="n">
        <v>44</v>
      </c>
      <c r="N97" s="6" t="n">
        <v>4</v>
      </c>
      <c r="O97" s="6" t="n">
        <v>4</v>
      </c>
      <c r="P97" s="6" t="n">
        <v>5555</v>
      </c>
      <c r="Q97" s="6" t="n">
        <v>1</v>
      </c>
      <c r="R97">
        <f>M97+IF(N97&gt;1,N(O97)*(N97-1),0)</f>
        <v/>
      </c>
      <c r="S97">
        <f>IFERROR(L97*MAX(N97,1)/R97*IF(ISBLANK(K94),1,K94),0)</f>
        <v/>
      </c>
      <c r="AB97" s="7" t="inlineStr">
        <is>
          <t>^Warhead_Flame_Light, ^Warhead_Flame_Medium, ^Warhead_Flame_Heavy</t>
        </is>
      </c>
    </row>
    <row r="98">
      <c r="A98" t="inlineStr">
        <is>
          <t>redalert2mod</t>
        </is>
      </c>
      <c r="B98" t="inlineStr">
        <is>
          <t>car.nax</t>
        </is>
      </c>
      <c r="C98" t="inlineStr">
        <is>
          <t>Combat Car</t>
        </is>
      </c>
      <c r="D98" s="6" t="inlineStr">
        <is>
          <t>SupportVehicle</t>
        </is>
      </c>
      <c r="E98" s="6" t="n">
        <v>47500</v>
      </c>
      <c r="F98" s="6" t="n">
        <v>85</v>
      </c>
      <c r="G98" t="inlineStr">
        <is>
          <t>Medium</t>
        </is>
      </c>
      <c r="H98" s="6" t="n">
        <v>1</v>
      </c>
      <c r="I98" s="6" t="n">
        <v>1</v>
      </c>
      <c r="J98" s="6" t="n">
        <v>1</v>
      </c>
      <c r="K98" s="6" t="n"/>
      <c r="P98">
        <f>MAX(P99,P100)</f>
        <v/>
      </c>
      <c r="S98">
        <f>S99+S100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800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NaxiWW2MachinegunTop</t>
        </is>
      </c>
      <c r="C99" s="7" t="inlineStr">
        <is>
          <t>Armament</t>
        </is>
      </c>
      <c r="L99" s="6" t="n">
        <v>8000</v>
      </c>
      <c r="M99" s="6" t="n">
        <v>60</v>
      </c>
      <c r="N99" s="6" t="n">
        <v>6</v>
      </c>
      <c r="O99" s="6" t="n">
        <v>4</v>
      </c>
      <c r="P99" s="6" t="n">
        <v>7555</v>
      </c>
      <c r="Q99" s="6" t="n">
        <v>0.875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^Warhead_Bullet_Light, ^Warhead_Bullet_Medium</t>
        </is>
      </c>
    </row>
    <row r="100">
      <c r="B100" s="7" t="inlineStr">
        <is>
          <t xml:space="preserve">  ↳ NaxiWW2MachinegunTop_AA</t>
        </is>
      </c>
      <c r="C100" s="7" t="inlineStr">
        <is>
          <t>Armament@AA</t>
        </is>
      </c>
      <c r="L100" s="6" t="n">
        <v>8000</v>
      </c>
      <c r="M100" s="6" t="n">
        <v>60</v>
      </c>
      <c r="N100" s="6" t="n">
        <v>6</v>
      </c>
      <c r="O100" s="6" t="n">
        <v>4</v>
      </c>
      <c r="P100" s="6" t="n">
        <v>7555</v>
      </c>
      <c r="Q100" s="6" t="n">
        <v>0.875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^Warhead_Bullet_Light, ^Warhead_Bullet_Medium</t>
        </is>
      </c>
    </row>
    <row r="101">
      <c r="A101" t="inlineStr">
        <is>
          <t>redalert2mod</t>
        </is>
      </c>
      <c r="B101" t="inlineStr">
        <is>
          <t>naxis_brummbar</t>
        </is>
      </c>
      <c r="C101" t="inlineStr">
        <is>
          <t>Brummbär</t>
        </is>
      </c>
      <c r="D101" s="6" t="inlineStr">
        <is>
          <t>Artillery</t>
        </is>
      </c>
      <c r="E101" s="6" t="n">
        <v>90000</v>
      </c>
      <c r="F101" s="6" t="n">
        <v>60</v>
      </c>
      <c r="G101" t="inlineStr">
        <is>
          <t>Light</t>
        </is>
      </c>
      <c r="H101" s="6" t="n">
        <v>0.6846</v>
      </c>
      <c r="I101" s="6" t="n">
        <v>1</v>
      </c>
      <c r="J101" s="6" t="n">
        <v>1</v>
      </c>
      <c r="K101" s="6" t="n"/>
      <c r="P101">
        <f>MAX(P102,P103)</f>
        <v/>
      </c>
      <c r="S101">
        <f>S102+S103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(((E101/60000)+(F101/75)+(S101/500)+((P101/15000)*J101))*500/4+(((E101/60000)*(F101/75))+(((P101/15000)*J101)*(S101/500)))*500/2+((E101/60000)*(F101/75)*((P101/15000)*J101)*(S101/500))*500)*(H101/1.0)/3</f>
        <v/>
      </c>
      <c r="X101" s="6" t="n">
        <v>1100</v>
      </c>
      <c r="Y101">
        <f>IFERROR(W101-X101,"")</f>
        <v/>
      </c>
      <c r="Z101">
        <f>IFERROR(ABS(Y101)/MAX(X101,1),"")</f>
        <v/>
      </c>
      <c r="AA101">
        <f>IFERROR(ROUND(((3*X101-(((E101/60000)+(F101/75)+(S101/500))*500/4+((E101/60000)*(F101/75))*500/2)*(H101/1.0))/(500/4+((S101/500))*500/2+((E101/60000)*(F101/75)*(S101/500))*500)*(H101/1.0)*15000)/J101,-1),"")</f>
        <v/>
      </c>
    </row>
    <row r="102">
      <c r="B102" s="7" t="inlineStr">
        <is>
          <t xml:space="preserve">  ↳ NaxBrummbarArty</t>
        </is>
      </c>
      <c r="C102" s="7" t="inlineStr">
        <is>
          <t>Armament@AG</t>
        </is>
      </c>
      <c r="L102" s="6" t="n">
        <v>42000</v>
      </c>
      <c r="M102" s="6" t="n">
        <v>140</v>
      </c>
      <c r="N102" s="6" t="n">
        <v>1</v>
      </c>
      <c r="O102" s="6" t="n"/>
      <c r="P102" s="6" t="n">
        <v>14000</v>
      </c>
      <c r="Q102" s="6" t="n">
        <v>1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^Warhead_Demolition_Heavy, ^Warhead_Concussion_Medium, ^Warhead_CannonHE_Heavy</t>
        </is>
      </c>
    </row>
    <row r="103">
      <c r="B103" s="7" t="inlineStr">
        <is>
          <t xml:space="preserve">  ↳ NaxBrummbarArty_elite</t>
        </is>
      </c>
      <c r="C103" s="7" t="inlineStr">
        <is>
          <t>Armament@elite</t>
        </is>
      </c>
      <c r="L103" s="6" t="n">
        <v>42000</v>
      </c>
      <c r="M103" s="6" t="n">
        <v>140</v>
      </c>
      <c r="N103" s="6" t="n">
        <v>2</v>
      </c>
      <c r="O103" s="6" t="n">
        <v>3</v>
      </c>
      <c r="P103" s="6" t="n">
        <v>15000</v>
      </c>
      <c r="Q103" s="6" t="n">
        <v>1</v>
      </c>
      <c r="R103">
        <f>M103+IF(N103&gt;1,N(O103)*(N103-1),0)</f>
        <v/>
      </c>
      <c r="S103">
        <f>IFERROR(L103*MAX(N103,1)/R103*IF(ISBLANK(K101),1,K101),0)</f>
        <v/>
      </c>
      <c r="AB103" s="7" t="inlineStr">
        <is>
          <t>^Warhead_Demolition_Heavy, ^Warhead_Concussion_Medium, ^Warhead_CannonHE_Heavy</t>
        </is>
      </c>
    </row>
    <row r="104">
      <c r="A104" t="inlineStr">
        <is>
          <t>redalert2mod</t>
        </is>
      </c>
      <c r="B104" t="inlineStr">
        <is>
          <t>naxis_donnerschlag</t>
        </is>
      </c>
      <c r="C104" t="inlineStr">
        <is>
          <t>Donnerschlag</t>
        </is>
      </c>
      <c r="D104" s="6" t="inlineStr">
        <is>
          <t>Artillery</t>
        </is>
      </c>
      <c r="E104" s="6" t="n">
        <v>80000</v>
      </c>
      <c r="F104" s="6" t="n">
        <v>40</v>
      </c>
      <c r="G104" t="inlineStr">
        <is>
          <t>Light</t>
        </is>
      </c>
      <c r="H104" s="6" t="n">
        <v>1</v>
      </c>
      <c r="I104" s="6" t="n">
        <v>0.5</v>
      </c>
      <c r="J104" s="6" t="n">
        <v>1</v>
      </c>
      <c r="K104" s="6" t="n">
        <v>0.0125</v>
      </c>
      <c r="X104" s="6" t="n">
        <v>2300</v>
      </c>
    </row>
    <row r="105">
      <c r="B105" s="7" t="inlineStr">
        <is>
          <t xml:space="preserve">  ↳ NaxisDonnerschlagTarget</t>
        </is>
      </c>
      <c r="C105" s="7" t="inlineStr">
        <is>
          <t>Armament</t>
        </is>
      </c>
      <c r="L105" s="6" t="n"/>
      <c r="M105" s="6" t="n">
        <v>15</v>
      </c>
      <c r="N105" s="6" t="n">
        <v>1</v>
      </c>
      <c r="O105" s="6" t="n"/>
      <c r="P105" s="6" t="n">
        <v>20130</v>
      </c>
      <c r="Q105" s="6" t="n">
        <v>1</v>
      </c>
      <c r="R105">
        <f>M105+IF(N105&gt;1,N(O105)*(N105-1),0)</f>
        <v/>
      </c>
      <c r="S105">
        <f>IFERROR(L105*MAX(N105,1)/R105*IF(ISBLANK(K104),1,K104),0)</f>
        <v/>
      </c>
      <c r="AB105" s="7" t="inlineStr"/>
    </row>
    <row r="106">
      <c r="B106" s="7" t="inlineStr">
        <is>
          <t xml:space="preserve">  ↳ NaxisDonnerschlagTargetVisualLaser</t>
        </is>
      </c>
      <c r="C106" s="7" t="inlineStr">
        <is>
          <t>Armament@VISUAL</t>
        </is>
      </c>
      <c r="L106" s="6" t="n"/>
      <c r="M106" s="6" t="n">
        <v>3</v>
      </c>
      <c r="N106" s="6" t="n">
        <v>1</v>
      </c>
      <c r="O106" s="6" t="n"/>
      <c r="P106" s="6" t="n">
        <v>20130</v>
      </c>
      <c r="Q106" s="6" t="n">
        <v>1</v>
      </c>
      <c r="R106">
        <f>M106+IF(N106&gt;1,N(O106)*(N106-1),0)</f>
        <v/>
      </c>
      <c r="S106">
        <f>IFERROR(L106*MAX(N106,1)/R106*IF(ISBLANK(K104),1,K104),0)</f>
        <v/>
      </c>
      <c r="AB106" s="7" t="inlineStr"/>
    </row>
    <row r="107">
      <c r="A107" t="inlineStr">
        <is>
          <t>redalert2mod</t>
        </is>
      </c>
      <c r="B107" t="inlineStr">
        <is>
          <t>naxis_engineeringtruck</t>
        </is>
      </c>
      <c r="C107" t="inlineStr">
        <is>
          <t>Engineering Truck</t>
        </is>
      </c>
      <c r="D107" s="6" t="inlineStr">
        <is>
          <t>SupportVehicle</t>
        </is>
      </c>
      <c r="E107" s="6" t="n">
        <v>50000</v>
      </c>
      <c r="F107" s="6" t="n">
        <v>75</v>
      </c>
      <c r="G107" t="inlineStr">
        <is>
          <t>Light</t>
        </is>
      </c>
      <c r="H107" s="6" t="n">
        <v>1</v>
      </c>
      <c r="I107" s="6" t="n">
        <v>0.5</v>
      </c>
      <c r="J107" s="6" t="n">
        <v>2</v>
      </c>
      <c r="K107" s="6" t="n"/>
      <c r="P107">
        <f>MAX(P108)</f>
        <v/>
      </c>
      <c r="S107">
        <f>S108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(T107+U107+V107)/3</f>
        <v/>
      </c>
      <c r="X107" s="6" t="n">
        <v>1000</v>
      </c>
      <c r="Y107">
        <f>IFERROR(W107-X107,"")</f>
        <v/>
      </c>
      <c r="Z107">
        <f>IFERROR(ABS(Y107)/MAX(X107,1),"")</f>
        <v/>
      </c>
      <c r="AA107">
        <f>IFERROR((X107-(((E107/100000+F107/100+S107/200)*200*I107*H107)+((E107*F107/25000)*I107*H107))/3)/(((J107/5)*200*I107*H107)+((J107*S107/2.5)*I107*H107)+((E107*F107*J107*S107*I107*H107)/12500000))/3*1000,"")</f>
        <v/>
      </c>
    </row>
    <row r="108">
      <c r="B108" s="7" t="inlineStr">
        <is>
          <t xml:space="preserve">  ↳ RA2IFVRepair</t>
        </is>
      </c>
      <c r="C108" s="7" t="inlineStr">
        <is>
          <t>Armament</t>
        </is>
      </c>
      <c r="L108" s="6" t="n">
        <v>-3000</v>
      </c>
      <c r="M108" s="6" t="n">
        <v>50</v>
      </c>
      <c r="N108" s="6" t="n">
        <v>10</v>
      </c>
      <c r="O108" s="6" t="n">
        <v>1</v>
      </c>
      <c r="P108" s="6" t="n">
        <v>5000</v>
      </c>
      <c r="Q108" s="6" t="n">
        <v>1</v>
      </c>
      <c r="R108">
        <f>M108+IF(N108&gt;1,N(O108)*(N108-1),0)</f>
        <v/>
      </c>
      <c r="S108">
        <f>IFERROR(L108*MAX(N108,1)/R108*IF(ISBLANK(K107),1,K107),0)</f>
        <v/>
      </c>
      <c r="AB108" s="7" t="inlineStr">
        <is>
          <t>^RepairWeapon</t>
        </is>
      </c>
    </row>
    <row r="109">
      <c r="A109" t="inlineStr">
        <is>
          <t>redalert2mod</t>
        </is>
      </c>
      <c r="B109" t="inlineStr">
        <is>
          <t>naxis_grille</t>
        </is>
      </c>
      <c r="C109" t="inlineStr">
        <is>
          <t>Grille</t>
        </is>
      </c>
      <c r="D109" s="6" t="inlineStr">
        <is>
          <t>Artillery</t>
        </is>
      </c>
      <c r="E109" s="6" t="n">
        <v>40000</v>
      </c>
      <c r="F109" s="6" t="n">
        <v>80</v>
      </c>
      <c r="G109" t="inlineStr">
        <is>
          <t>Light</t>
        </is>
      </c>
      <c r="H109" s="6" t="n">
        <v>1</v>
      </c>
      <c r="I109" s="6" t="n">
        <v>0.5</v>
      </c>
      <c r="J109" s="6" t="n">
        <v>1</v>
      </c>
      <c r="K109" s="6" t="n"/>
      <c r="P109">
        <f>MAX(P110,P111)</f>
        <v/>
      </c>
      <c r="S109">
        <f>S110+S111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(((E109/60000)+(F109/75)+(S109/500)+((P109/15000)*J109))*500/4+(((E109/60000)*(F109/75))+(((P109/15000)*J109)*(S109/500)))*500/2+((E109/60000)*(F109/75)*((P109/15000)*J109)*(S109/500))*500)*(H109/1.0)/3</f>
        <v/>
      </c>
      <c r="X109" s="6" t="n">
        <v>800</v>
      </c>
      <c r="Y109">
        <f>IFERROR(W109-X109,"")</f>
        <v/>
      </c>
      <c r="Z109">
        <f>IFERROR(ABS(Y109)/MAX(X109,1),"")</f>
        <v/>
      </c>
      <c r="AA109">
        <f>IFERROR(ROUND(((3*X109-(((E109/60000)+(F109/75)+(S109/500))*500/4+((E109/60000)*(F109/75))*500/2)*(H109/1.0))/(500/4+((S109/500))*500/2+((E109/60000)*(F109/75)*(S109/500))*500)*(H109/1.0)*15000)/J109,-1),"")</f>
        <v/>
      </c>
    </row>
    <row r="110">
      <c r="B110" s="7" t="inlineStr">
        <is>
          <t xml:space="preserve">  ↳ NaxGrilleArty</t>
        </is>
      </c>
      <c r="C110" s="7" t="inlineStr">
        <is>
          <t>Armament@AG</t>
        </is>
      </c>
      <c r="L110" s="6" t="n">
        <v>48000</v>
      </c>
      <c r="M110" s="6" t="n">
        <v>111</v>
      </c>
      <c r="N110" s="6" t="n">
        <v>1</v>
      </c>
      <c r="O110" s="6" t="n"/>
      <c r="P110" s="6" t="n">
        <v>12345</v>
      </c>
      <c r="Q110" s="6" t="n">
        <v>1</v>
      </c>
      <c r="R110">
        <f>M110+IF(N110&gt;1,N(O110)*(N110-1),0)</f>
        <v/>
      </c>
      <c r="S110">
        <f>IFERROR(L110*MAX(N110,1)/R110*IF(ISBLANK(K109),1,K109),0)</f>
        <v/>
      </c>
      <c r="AB110" s="7" t="inlineStr">
        <is>
          <t>^Warhead_CannonHE_Heavy, ^Warhead_Concussion_Medium, ^Warhead_Demolition_Light</t>
        </is>
      </c>
    </row>
    <row r="111">
      <c r="B111" s="7" t="inlineStr">
        <is>
          <t xml:space="preserve">  ↳ NaxGrilleArty_elite</t>
        </is>
      </c>
      <c r="C111" s="7" t="inlineStr">
        <is>
          <t>Armament@elite</t>
        </is>
      </c>
      <c r="L111" s="6" t="n">
        <v>48000</v>
      </c>
      <c r="M111" s="6" t="n">
        <v>111</v>
      </c>
      <c r="N111" s="6" t="n">
        <v>2</v>
      </c>
      <c r="O111" s="6" t="n">
        <v>3</v>
      </c>
      <c r="P111" s="6" t="n">
        <v>13333</v>
      </c>
      <c r="Q111" s="6" t="n">
        <v>1</v>
      </c>
      <c r="R111">
        <f>M111+IF(N111&gt;1,N(O111)*(N111-1),0)</f>
        <v/>
      </c>
      <c r="S111">
        <f>IFERROR(L111*MAX(N111,1)/R111*IF(ISBLANK(K109),1,K109),0)</f>
        <v/>
      </c>
      <c r="AB111" s="7" t="inlineStr">
        <is>
          <t>^Warhead_CannonHE_Heavy, ^Warhead_Concussion_Medium, ^Warhead_Demolition_Light</t>
        </is>
      </c>
    </row>
    <row r="112">
      <c r="A112" t="inlineStr">
        <is>
          <t>redalert2mod</t>
        </is>
      </c>
      <c r="B112" t="inlineStr">
        <is>
          <t>naxis_halftrack</t>
        </is>
      </c>
      <c r="C112" t="inlineStr">
        <is>
          <t>Halftrack</t>
        </is>
      </c>
      <c r="D112" s="6" t="inlineStr">
        <is>
          <t>SupportVehicle</t>
        </is>
      </c>
      <c r="E112" s="6" t="n">
        <v>115000</v>
      </c>
      <c r="F112" s="6" t="n">
        <v>115</v>
      </c>
      <c r="G112" t="inlineStr">
        <is>
          <t>Medium</t>
        </is>
      </c>
      <c r="H112" s="6" t="n">
        <v>0.8639</v>
      </c>
      <c r="I112" s="6" t="n">
        <v>1</v>
      </c>
      <c r="J112" s="6" t="n">
        <v>1</v>
      </c>
      <c r="K112" s="6" t="n"/>
      <c r="P112">
        <f>MAX(P113,P114)</f>
        <v/>
      </c>
      <c r="S112">
        <f>S113+S114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2500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NaxiWW2Machinegun</t>
        </is>
      </c>
      <c r="C113" s="7" t="inlineStr">
        <is>
          <t>Armament@AG</t>
        </is>
      </c>
      <c r="L113" s="6" t="n">
        <v>8000</v>
      </c>
      <c r="M113" s="6" t="n">
        <v>60</v>
      </c>
      <c r="N113" s="6" t="n">
        <v>6</v>
      </c>
      <c r="O113" s="6" t="n">
        <v>4</v>
      </c>
      <c r="P113" s="6" t="n">
        <v>5570</v>
      </c>
      <c r="Q113" s="6" t="n">
        <v>0.875</v>
      </c>
      <c r="R113">
        <f>M113+IF(N113&gt;1,N(O113)*(N113-1),0)</f>
        <v/>
      </c>
      <c r="S113">
        <f>IFERROR(L113*MAX(N113,1)/R113*IF(ISBLANK(K112),1,K112),0)</f>
        <v/>
      </c>
      <c r="AB113" s="7" t="inlineStr">
        <is>
          <t>^Warhead_Bullet_Light, ^Warhead_Bullet_Medium</t>
        </is>
      </c>
    </row>
    <row r="114">
      <c r="B114" s="7" t="inlineStr">
        <is>
          <t xml:space="preserve">  ↳ NaxiWW2Machinegun_AA</t>
        </is>
      </c>
      <c r="C114" s="7" t="inlineStr">
        <is>
          <t>Armament@AA</t>
        </is>
      </c>
      <c r="L114" s="6" t="n">
        <v>8000</v>
      </c>
      <c r="M114" s="6" t="n">
        <v>60</v>
      </c>
      <c r="N114" s="6" t="n">
        <v>6</v>
      </c>
      <c r="O114" s="6" t="n">
        <v>4</v>
      </c>
      <c r="P114" s="6" t="n">
        <v>8355</v>
      </c>
      <c r="Q114" s="6" t="n">
        <v>0.875</v>
      </c>
      <c r="R114">
        <f>M114+IF(N114&gt;1,N(O114)*(N114-1),0)</f>
        <v/>
      </c>
      <c r="S114">
        <f>IFERROR(L114*MAX(N114,1)/R114*IF(ISBLANK(K112),1,K112),0)</f>
        <v/>
      </c>
      <c r="AB114" s="7" t="inlineStr">
        <is>
          <t>^Warhead_Bullet_Light, ^Warhead_Bullet_Medium</t>
        </is>
      </c>
    </row>
    <row r="115">
      <c r="A115" t="inlineStr">
        <is>
          <t>redalert2mod</t>
        </is>
      </c>
      <c r="B115" t="inlineStr">
        <is>
          <t>naxis_hetzer</t>
        </is>
      </c>
      <c r="C115" t="inlineStr">
        <is>
          <t>Hetzer</t>
        </is>
      </c>
      <c r="D115" s="6" t="inlineStr">
        <is>
          <t>TankDestroyer</t>
        </is>
      </c>
      <c r="E115" s="6" t="n">
        <v>75000</v>
      </c>
      <c r="F115" s="6" t="n">
        <v>75</v>
      </c>
      <c r="G115" t="inlineStr">
        <is>
          <t>Heavy</t>
        </is>
      </c>
      <c r="H115" s="6" t="n">
        <v>1</v>
      </c>
      <c r="I115" s="6" t="n">
        <v>1</v>
      </c>
      <c r="J115" s="6" t="n">
        <v>1</v>
      </c>
      <c r="K115" s="6" t="n"/>
      <c r="P115">
        <f>MAX(P116,P117)</f>
        <v/>
      </c>
      <c r="S115">
        <f>S116+S117</f>
        <v/>
      </c>
      <c r="T115">
        <f>(E115/100000+F115/100+(P115/1000)*J115/5+S115/200)*200*I115*H115</f>
        <v/>
      </c>
      <c r="U115">
        <f>((E115*F115/25000)+((P115/1000)*J115*S115/2.5))*I115*H115</f>
        <v/>
      </c>
      <c r="V115">
        <f>(E115*F115*(P115/1000)*J115*S115*I115*H115)/12500000</f>
        <v/>
      </c>
      <c r="W115">
        <f>(((E115/150000)+(F115/70)+(S115/900)+((P115/7500)*J115))*600/4+(((E115/150000)*(F115/70))+(((P115/7500)*J115)*(S115/900)))*600/2+((E115/150000)*(F115/70)*((P115/7500)*J115)*(S115/900))*600)*(H115/1.0)/3</f>
        <v/>
      </c>
      <c r="X115" s="6" t="n">
        <v>1300</v>
      </c>
      <c r="Y115">
        <f>IFERROR(W115-X115,"")</f>
        <v/>
      </c>
      <c r="Z115">
        <f>IFERROR(ABS(Y115)/MAX(X115,1),"")</f>
        <v/>
      </c>
      <c r="AA115">
        <f>IFERROR(ROUND(((3*X115-(((E115/150000)+(F115/70)+(S115/900))*600/4+((E115/150000)*(F115/70))*600/2)*(H115/1.0))/(600/4+((S115/900))*600/2+((E115/150000)*(F115/70)*(S115/900))*600)*(H115/1.0)*7500)/J115,-1),"")</f>
        <v/>
      </c>
    </row>
    <row r="116">
      <c r="B116" s="7" t="inlineStr">
        <is>
          <t xml:space="preserve">  ↳ NaxiHetzerDestroyer</t>
        </is>
      </c>
      <c r="C116" s="7" t="inlineStr">
        <is>
          <t>Armament@AG</t>
        </is>
      </c>
      <c r="L116" s="6" t="n">
        <v>40000</v>
      </c>
      <c r="M116" s="6" t="n">
        <v>80</v>
      </c>
      <c r="N116" s="6" t="n">
        <v>1</v>
      </c>
      <c r="O116" s="6" t="n"/>
      <c r="P116" s="6" t="n">
        <v>7132</v>
      </c>
      <c r="Q116" s="6" t="n">
        <v>0.875</v>
      </c>
      <c r="R116">
        <f>M116+IF(N116&gt;1,N(O116)*(N116-1),0)</f>
        <v/>
      </c>
      <c r="S116">
        <f>IFERROR(L116*MAX(N116,1)/R116*IF(ISBLANK(K115),1,K115),0)</f>
        <v/>
      </c>
      <c r="AB116" s="7" t="inlineStr">
        <is>
          <t>^Warhead_CannonHE_Medium, ^Warhead_CannonAP_Light</t>
        </is>
      </c>
    </row>
    <row r="117">
      <c r="B117" s="7" t="inlineStr">
        <is>
          <t xml:space="preserve">  ↳ NaxiHetzerDestroyer_elite</t>
        </is>
      </c>
      <c r="C117" s="7" t="inlineStr">
        <is>
          <t>Armament@elite</t>
        </is>
      </c>
      <c r="L117" s="6" t="n">
        <v>40000</v>
      </c>
      <c r="M117" s="6" t="n">
        <v>80</v>
      </c>
      <c r="N117" s="6" t="n">
        <v>2</v>
      </c>
      <c r="O117" s="6" t="n">
        <v>3</v>
      </c>
      <c r="P117" s="6" t="n">
        <v>6000</v>
      </c>
      <c r="Q117" s="6" t="n">
        <v>0.875</v>
      </c>
      <c r="R117">
        <f>M117+IF(N117&gt;1,N(O117)*(N117-1),0)</f>
        <v/>
      </c>
      <c r="S117">
        <f>IFERROR(L117*MAX(N117,1)/R117*IF(ISBLANK(K115),1,K115),0)</f>
        <v/>
      </c>
      <c r="AB117" s="7" t="inlineStr">
        <is>
          <t>^Warhead_CannonHE_Medium, ^Warhead_CannonAP_Light</t>
        </is>
      </c>
    </row>
    <row r="118">
      <c r="A118" t="inlineStr">
        <is>
          <t>redalert2mod</t>
        </is>
      </c>
      <c r="B118" t="inlineStr">
        <is>
          <t>naxis_imperialturbotank</t>
        </is>
      </c>
      <c r="C118" t="inlineStr">
        <is>
          <t>Imperial Turbo Tank</t>
        </is>
      </c>
      <c r="D118" s="6" t="inlineStr">
        <is>
          <t>FireSupport</t>
        </is>
      </c>
      <c r="E118" s="6" t="n">
        <v>82500</v>
      </c>
      <c r="F118" s="6" t="n">
        <v>110</v>
      </c>
      <c r="G118" t="inlineStr">
        <is>
          <t>Light</t>
        </is>
      </c>
      <c r="H118" s="6" t="n">
        <v>0.6846</v>
      </c>
      <c r="I118" s="6" t="n">
        <v>1</v>
      </c>
      <c r="J118" s="6" t="n">
        <v>1</v>
      </c>
      <c r="K118" s="6" t="n"/>
      <c r="P118">
        <f>MAX(P119,P120,P121)</f>
        <v/>
      </c>
      <c r="S118">
        <f>S119+S120+S121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(((E118/120000)+(F118/90)+(S118/2100)+((P118/10000)*J118))*1400/4+(((E118/120000)*(F118/90))+(((P118/10000)*J118)*(S118/2100)))*1400/2+((E118/120000)*(F118/90)*((P118/10000)*J118)*(S118/2100))*1400)*(H118/0.6735)/3</f>
        <v/>
      </c>
      <c r="X118" s="6" t="n">
        <v>950</v>
      </c>
      <c r="Y118">
        <f>IFERROR(W118-X118,"")</f>
        <v/>
      </c>
      <c r="Z118">
        <f>IFERROR(ABS(Y118)/MAX(X118,1),"")</f>
        <v/>
      </c>
      <c r="AA118">
        <f>IFERROR(ROUND(((3*X118-(((E118/120000)+(F118/90)+(S118/2100))*1400/4+((E118/120000)*(F118/90))*1400/2)*(H118/0.6735))/(1400/4+((S118/2100))*1400/2+((E118/120000)*(F118/90)*(S118/2100))*1400)*(H118/0.6735)*10000)/J118,-1),"")</f>
        <v/>
      </c>
    </row>
    <row r="119">
      <c r="B119" s="7" t="inlineStr">
        <is>
          <t xml:space="preserve">  ↳ NaxiJadgDestroyer</t>
        </is>
      </c>
      <c r="C119" s="7" t="inlineStr">
        <is>
          <t>Armament@AG</t>
        </is>
      </c>
      <c r="L119" s="6" t="n">
        <v>60000</v>
      </c>
      <c r="M119" s="6" t="n">
        <v>90</v>
      </c>
      <c r="N119" s="6" t="n">
        <v>1</v>
      </c>
      <c r="O119" s="6" t="n"/>
      <c r="P119" s="6" t="n">
        <v>7396</v>
      </c>
      <c r="Q119" s="6" t="n">
        <v>1</v>
      </c>
      <c r="R119">
        <f>M119+IF(N119&gt;1,N(O119)*(N119-1),0)</f>
        <v/>
      </c>
      <c r="S119">
        <f>IFERROR(L119*MAX(N119,1)/R119*IF(ISBLANK(K118),1,K118),0)</f>
        <v/>
      </c>
      <c r="AB119" s="7" t="inlineStr">
        <is>
          <t>^Warhead_CannonHE_Heavy, ^Warhead_Concussion_Medium, ^Warhead_CannonAP_Light</t>
        </is>
      </c>
    </row>
    <row r="120">
      <c r="B120" s="7" t="inlineStr">
        <is>
          <t xml:space="preserve">  ↳ Nax120mmAssault</t>
        </is>
      </c>
      <c r="C120" s="7" t="inlineStr">
        <is>
          <t>Armament</t>
        </is>
      </c>
      <c r="L120" s="6" t="n">
        <v>10000</v>
      </c>
      <c r="M120" s="6" t="n">
        <v>28</v>
      </c>
      <c r="N120" s="6" t="n">
        <v>1</v>
      </c>
      <c r="O120" s="6" t="n"/>
      <c r="P120" s="6" t="n">
        <v>5200</v>
      </c>
      <c r="Q120" s="6" t="n">
        <v>1</v>
      </c>
      <c r="R120">
        <f>M120+IF(N120&gt;1,N(O120)*(N120-1),0)</f>
        <v/>
      </c>
      <c r="S120">
        <f>IFERROR(L120*MAX(N120,1)/R120*IF(ISBLANK(K118),1,K118),0)</f>
        <v/>
      </c>
      <c r="AB120" s="7" t="inlineStr">
        <is>
          <t>^Warhead_CannonHE_Medium</t>
        </is>
      </c>
    </row>
    <row r="121">
      <c r="B121" s="7" t="inlineStr">
        <is>
          <t xml:space="preserve">  ↳ Nax120mmAssault_elite</t>
        </is>
      </c>
      <c r="C121" s="7" t="inlineStr">
        <is>
          <t>Armament@elite</t>
        </is>
      </c>
      <c r="L121" s="6" t="n">
        <v>10000</v>
      </c>
      <c r="M121" s="6" t="n">
        <v>28</v>
      </c>
      <c r="N121" s="6" t="n">
        <v>2</v>
      </c>
      <c r="O121" s="6" t="n">
        <v>3</v>
      </c>
      <c r="P121" s="6" t="n">
        <v>6200</v>
      </c>
      <c r="Q121" s="6" t="n">
        <v>1</v>
      </c>
      <c r="R121">
        <f>M121+IF(N121&gt;1,N(O121)*(N121-1),0)</f>
        <v/>
      </c>
      <c r="S121">
        <f>IFERROR(L121*MAX(N121,1)/R121*IF(ISBLANK(K118),1,K118),0)</f>
        <v/>
      </c>
      <c r="AB121" s="7" t="inlineStr">
        <is>
          <t>^Warhead_CannonHE_Medium</t>
        </is>
      </c>
    </row>
    <row r="122">
      <c r="A122" t="inlineStr">
        <is>
          <t>redalert2mod</t>
        </is>
      </c>
      <c r="B122" t="inlineStr">
        <is>
          <t>naxis_jagdpanzer</t>
        </is>
      </c>
      <c r="C122" t="inlineStr">
        <is>
          <t>Jagdpanzer</t>
        </is>
      </c>
      <c r="D122" s="6" t="inlineStr">
        <is>
          <t>TankDestroyer</t>
        </is>
      </c>
      <c r="E122" s="6" t="n">
        <v>125000</v>
      </c>
      <c r="F122" s="6" t="n">
        <v>50</v>
      </c>
      <c r="G122" t="inlineStr">
        <is>
          <t>Heavy</t>
        </is>
      </c>
      <c r="H122" s="6" t="n">
        <v>1</v>
      </c>
      <c r="I122" s="6" t="n">
        <v>1</v>
      </c>
      <c r="J122" s="6" t="n">
        <v>1</v>
      </c>
      <c r="K122" s="6" t="n"/>
      <c r="P122">
        <f>MAX(P123,P124)</f>
        <v/>
      </c>
      <c r="S122">
        <f>S123+S124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(((E122/150000)+(F122/70)+(S122/900)+((P122/7500)*J122))*600/4+(((E122/150000)*(F122/70))+(((P122/7500)*J122)*(S122/900)))*600/2+((E122/150000)*(F122/70)*((P122/7500)*J122)*(S122/900))*600)*(H122/1.0)/3</f>
        <v/>
      </c>
      <c r="X122" s="6" t="n">
        <v>2000</v>
      </c>
      <c r="Y122">
        <f>IFERROR(W122-X122,"")</f>
        <v/>
      </c>
      <c r="Z122">
        <f>IFERROR(ABS(Y122)/MAX(X122,1),"")</f>
        <v/>
      </c>
      <c r="AA122">
        <f>IFERROR(ROUND(((3*X122-(((E122/150000)+(F122/70)+(S122/900))*600/4+((E122/150000)*(F122/70))*600/2)*(H122/1.0))/(600/4+((S122/900))*600/2+((E122/150000)*(F122/70)*(S122/900))*600)*(H122/1.0)*7500)/J122,-1),"")</f>
        <v/>
      </c>
    </row>
    <row r="123">
      <c r="B123" s="7" t="inlineStr">
        <is>
          <t xml:space="preserve">  ↳ NaxiJadgDestroyer</t>
        </is>
      </c>
      <c r="C123" s="7" t="inlineStr">
        <is>
          <t>Armament@AG</t>
        </is>
      </c>
      <c r="L123" s="6" t="n">
        <v>60000</v>
      </c>
      <c r="M123" s="6" t="n">
        <v>90</v>
      </c>
      <c r="N123" s="6" t="n">
        <v>1</v>
      </c>
      <c r="O123" s="6" t="n"/>
      <c r="P123" s="6" t="n">
        <v>7396</v>
      </c>
      <c r="Q123" s="6" t="n">
        <v>1</v>
      </c>
      <c r="R123">
        <f>M123+IF(N123&gt;1,N(O123)*(N123-1),0)</f>
        <v/>
      </c>
      <c r="S123">
        <f>IFERROR(L123*MAX(N123,1)/R123*IF(ISBLANK(K122),1,K122),0)</f>
        <v/>
      </c>
      <c r="AB123" s="7" t="inlineStr">
        <is>
          <t>^Warhead_CannonHE_Heavy, ^Warhead_Concussion_Medium, ^Warhead_CannonAP_Light</t>
        </is>
      </c>
    </row>
    <row r="124">
      <c r="B124" s="7" t="inlineStr">
        <is>
          <t xml:space="preserve">  ↳ NaxiJadgDestroyer_elite</t>
        </is>
      </c>
      <c r="C124" s="7" t="inlineStr">
        <is>
          <t>Armament@elite</t>
        </is>
      </c>
      <c r="L124" s="6" t="n">
        <v>60000</v>
      </c>
      <c r="M124" s="6" t="n">
        <v>90</v>
      </c>
      <c r="N124" s="6" t="n">
        <v>2</v>
      </c>
      <c r="O124" s="6" t="n">
        <v>3</v>
      </c>
      <c r="P124" s="6" t="n">
        <v>8396</v>
      </c>
      <c r="Q124" s="6" t="n">
        <v>1</v>
      </c>
      <c r="R124">
        <f>M124+IF(N124&gt;1,N(O124)*(N124-1),0)</f>
        <v/>
      </c>
      <c r="S124">
        <f>IFERROR(L124*MAX(N124,1)/R124*IF(ISBLANK(K122),1,K122),0)</f>
        <v/>
      </c>
      <c r="AB124" s="7" t="inlineStr">
        <is>
          <t>^Warhead_CannonHE_Heavy, ^Warhead_Concussion_Medium, ^Warhead_CannonAP_Light</t>
        </is>
      </c>
    </row>
    <row r="125">
      <c r="A125" t="inlineStr">
        <is>
          <t>redalert2mod</t>
        </is>
      </c>
      <c r="B125" t="inlineStr">
        <is>
          <t>naxis_kingtigerheavytank</t>
        </is>
      </c>
      <c r="C125" t="inlineStr">
        <is>
          <t>King Tiger Heavy Tank</t>
        </is>
      </c>
      <c r="D125" s="6" t="inlineStr">
        <is>
          <t>MainBattleTank</t>
        </is>
      </c>
      <c r="E125" s="6" t="n">
        <v>200000</v>
      </c>
      <c r="F125" s="6" t="n">
        <v>100</v>
      </c>
      <c r="G125" t="inlineStr">
        <is>
          <t>Heavy</t>
        </is>
      </c>
      <c r="H125" s="6" t="n">
        <v>1</v>
      </c>
      <c r="I125" s="6" t="n">
        <v>1</v>
      </c>
      <c r="J125" s="6" t="n">
        <v>1</v>
      </c>
      <c r="K125" s="6" t="n"/>
      <c r="P125">
        <f>MAX(P126,P127)</f>
        <v/>
      </c>
      <c r="S125">
        <f>S126+S127</f>
        <v/>
      </c>
      <c r="T125">
        <f>(E125/100000+F125/100+(P125/1000)*J125/5+S125/200)*200*I125*H125</f>
        <v/>
      </c>
      <c r="U125">
        <f>((E125*F125/25000)+((P125/1000)*J125*S125/2.5))*I125*H125</f>
        <v/>
      </c>
      <c r="V125">
        <f>(E125*F125*(P125/1000)*J125*S125*I125*H125)/12500000</f>
        <v/>
      </c>
      <c r="W125">
        <f>(((E125/240000)+(F125/95)+(S125/600)+((P125/5500)*J125))*800/4+(((E125/240000)*(F125/95))+(((P125/5500)*J125)*(S125/600)))*800/2+((E125/240000)*(F125/95)*((P125/5500)*J125)*(S125/600))*800)*(H125/1.0)/3</f>
        <v/>
      </c>
      <c r="X125" s="6" t="n">
        <v>2000</v>
      </c>
      <c r="Y125">
        <f>IFERROR(W125-X125,"")</f>
        <v/>
      </c>
      <c r="Z125">
        <f>IFERROR(ABS(Y125)/MAX(X125,1),"")</f>
        <v/>
      </c>
      <c r="AA125">
        <f>IFERROR(ROUND(((3*X125-(((E125/240000)+(F125/95)+(S125/600))*800/4+((E125/240000)*(F125/95))*800/2)*(H125/1.0))/(800/4+((S125/600))*800/2+((E125/240000)*(F125/95)*(S125/600))*800)*(H125/1.0)*5500)/J125,-1),"")</f>
        <v/>
      </c>
    </row>
    <row r="126">
      <c r="B126" s="7" t="inlineStr">
        <is>
          <t xml:space="preserve">  ↳ KingNaxTigerCannon</t>
        </is>
      </c>
      <c r="C126" s="7" t="inlineStr">
        <is>
          <t>Armament</t>
        </is>
      </c>
      <c r="L126" s="6" t="n">
        <v>20000</v>
      </c>
      <c r="M126" s="6" t="n">
        <v>50</v>
      </c>
      <c r="N126" s="6" t="n">
        <v>1</v>
      </c>
      <c r="O126" s="6" t="n"/>
      <c r="P126" s="6" t="n">
        <v>5000</v>
      </c>
      <c r="Q126" s="6" t="n">
        <v>1</v>
      </c>
      <c r="R126">
        <f>M126+IF(N126&gt;1,N(O126)*(N126-1),0)</f>
        <v/>
      </c>
      <c r="S126">
        <f>IFERROR(L126*MAX(N126,1)/R126*IF(ISBLANK(K125),1,K125),0)</f>
        <v/>
      </c>
      <c r="AB126" s="7" t="inlineStr">
        <is>
          <t>^Warhead_CannonHE_Medium</t>
        </is>
      </c>
    </row>
    <row r="127">
      <c r="B127" s="7" t="inlineStr">
        <is>
          <t xml:space="preserve">  ↳ KingNaxTigerCannon_elite</t>
        </is>
      </c>
      <c r="C127" s="7" t="inlineStr">
        <is>
          <t>Armament@elite</t>
        </is>
      </c>
      <c r="L127" s="6" t="n">
        <v>20000</v>
      </c>
      <c r="M127" s="6" t="n">
        <v>50</v>
      </c>
      <c r="N127" s="6" t="n">
        <v>2</v>
      </c>
      <c r="O127" s="6" t="n">
        <v>3</v>
      </c>
      <c r="P127" s="6" t="n">
        <v>6000</v>
      </c>
      <c r="Q127" s="6" t="n">
        <v>1</v>
      </c>
      <c r="R127">
        <f>M127+IF(N127&gt;1,N(O127)*(N127-1),0)</f>
        <v/>
      </c>
      <c r="S127">
        <f>IFERROR(L127*MAX(N127,1)/R127*IF(ISBLANK(K125),1,K125),0)</f>
        <v/>
      </c>
      <c r="AB127" s="7" t="inlineStr">
        <is>
          <t>^Warhead_CannonHE_Medium</t>
        </is>
      </c>
    </row>
    <row r="128">
      <c r="A128" t="inlineStr">
        <is>
          <t>redalert2mod</t>
        </is>
      </c>
      <c r="B128" t="inlineStr">
        <is>
          <t>naxis_kubelwagen</t>
        </is>
      </c>
      <c r="C128" t="inlineStr">
        <is>
          <t>Kübelwagen</t>
        </is>
      </c>
      <c r="D128" s="6" t="inlineStr">
        <is>
          <t>AntiAirVehicle</t>
        </is>
      </c>
      <c r="E128" s="6" t="n">
        <v>50000</v>
      </c>
      <c r="F128" s="6" t="n">
        <v>115</v>
      </c>
      <c r="G128" t="inlineStr">
        <is>
          <t>Medium</t>
        </is>
      </c>
      <c r="H128" s="6" t="n">
        <v>0.8639</v>
      </c>
      <c r="I128" s="6" t="n">
        <v>1</v>
      </c>
      <c r="J128" s="6" t="n">
        <v>1</v>
      </c>
      <c r="K128" s="6" t="n"/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(((E128/170000)+(F128/110)+(S128/1250)+((P128/6000)*J128))*1000/4+(((E128/170000)*(F128/110))+(((P128/6000)*J128)*(S128/1250)))*1000/2+((E128/170000)*(F128/110)*((P128/6000)*J128)*(S128/1250))*1000)*(H128/1.0)/3</f>
        <v/>
      </c>
      <c r="X128" s="6" t="n">
        <v>850</v>
      </c>
      <c r="Y128">
        <f>IFERROR(W128-X128,"")</f>
        <v/>
      </c>
      <c r="Z128">
        <f>IFERROR(ABS(Y128)/MAX(X128,1),"")</f>
        <v/>
      </c>
      <c r="AA128">
        <f>IFERROR(ROUND(((3*X128-(((E128/170000)+(F128/110)+(S128/1250))*1000/4+((E128/170000)*(F128/110))*1000/2)*(H128/1.0))/(1000/4+((S128/1250))*1000/2+((E128/170000)*(F128/110)*(S128/1250))*1000)*(H128/1.0)*6000)/J128,-1),"")</f>
        <v/>
      </c>
    </row>
    <row r="129">
      <c r="B129" s="7" t="inlineStr">
        <is>
          <t xml:space="preserve">  ↳ NaxiWW2KübelwagenMachinegun</t>
        </is>
      </c>
      <c r="C129" s="7" t="inlineStr">
        <is>
          <t>Armament@AG</t>
        </is>
      </c>
      <c r="L129" s="6" t="n">
        <v>4000</v>
      </c>
      <c r="M129" s="6" t="n">
        <v>80</v>
      </c>
      <c r="N129" s="6" t="n">
        <v>6</v>
      </c>
      <c r="O129" s="6" t="n">
        <v>4</v>
      </c>
      <c r="P129" s="6" t="n">
        <v>5757</v>
      </c>
      <c r="Q129" s="6" t="n">
        <v>0.875</v>
      </c>
      <c r="R129">
        <f>M129+IF(N129&gt;1,N(O129)*(N129-1),0)</f>
        <v/>
      </c>
      <c r="S129">
        <f>IFERROR(L129*MAX(N129,1)/R129*IF(ISBLANK(K128),1,K128),0)</f>
        <v/>
      </c>
      <c r="AB129" s="7" t="inlineStr">
        <is>
          <t>^Warhead_Bullet_Light, ^Warhead_Bullet_Medium</t>
        </is>
      </c>
    </row>
    <row r="130">
      <c r="A130" t="inlineStr">
        <is>
          <t>redalert2mod</t>
        </is>
      </c>
      <c r="B130" t="inlineStr">
        <is>
          <t>naxis_maus</t>
        </is>
      </c>
      <c r="C130" t="inlineStr">
        <is>
          <t>Maus</t>
        </is>
      </c>
      <c r="D130" s="6" t="inlineStr">
        <is>
          <t>HighTechTank</t>
        </is>
      </c>
      <c r="E130" s="6" t="n">
        <v>600000</v>
      </c>
      <c r="F130" s="6" t="n">
        <v>60</v>
      </c>
      <c r="G130" t="inlineStr">
        <is>
          <t>Superheavy</t>
        </is>
      </c>
      <c r="H130" s="6" t="n">
        <v>0.75</v>
      </c>
      <c r="I130" s="6" t="n">
        <v>1</v>
      </c>
      <c r="J130" s="6" t="n">
        <v>1</v>
      </c>
      <c r="K130" s="6" t="n"/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(((E130/700000)+(F130/65)+(S130/2000)+((P130/6500)*J130))*2000/4+(((E130/700000)*(F130/65))+(((P130/6500)*J130)*(S130/2000)))*2000/2+((E130/700000)*(F130/65)*((P130/6500)*J130)*(S130/2000))*2000)*(H130/0.75)/3</f>
        <v/>
      </c>
      <c r="X130" s="6" t="n">
        <v>4200</v>
      </c>
      <c r="Y130">
        <f>IFERROR(W130-X130,"")</f>
        <v/>
      </c>
      <c r="Z130">
        <f>IFERROR(ABS(Y130)/MAX(X130,1),"")</f>
        <v/>
      </c>
      <c r="AA130">
        <f>IFERROR(ROUND(((3*X130-(((E130/700000)+(F130/65)+(S130/2000))*2000/4+((E130/700000)*(F130/65))*2000/2)*(H130/0.75))/(2000/4+((S130/2000))*2000/2+((E130/700000)*(F130/65)*(S130/2000))*2000)*(H130/0.75)*6500)/J130,-1),"")</f>
        <v/>
      </c>
    </row>
    <row r="131">
      <c r="B131" s="7" t="inlineStr">
        <is>
          <t xml:space="preserve">  ↳ NaxMausCannon</t>
        </is>
      </c>
      <c r="C131" s="7" t="inlineStr">
        <is>
          <t>Armament</t>
        </is>
      </c>
      <c r="L131" s="6" t="n">
        <v>60000</v>
      </c>
      <c r="M131" s="6" t="n">
        <v>99</v>
      </c>
      <c r="N131" s="6" t="n">
        <v>1</v>
      </c>
      <c r="O131" s="6" t="n"/>
      <c r="P131" s="6" t="n">
        <v>6666</v>
      </c>
      <c r="Q131" s="6" t="n">
        <v>1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^Warhead_CannonHE_Medium</t>
        </is>
      </c>
    </row>
    <row r="132">
      <c r="B132" s="7" t="inlineStr">
        <is>
          <t xml:space="preserve">  ↳ NaxMausCannon_elite</t>
        </is>
      </c>
      <c r="C132" s="7" t="inlineStr">
        <is>
          <t>Armament@elite</t>
        </is>
      </c>
      <c r="L132" s="6" t="n">
        <v>60000</v>
      </c>
      <c r="M132" s="6" t="n">
        <v>99</v>
      </c>
      <c r="N132" s="6" t="n">
        <v>2</v>
      </c>
      <c r="O132" s="6" t="n">
        <v>3</v>
      </c>
      <c r="P132" s="6" t="n">
        <v>7777</v>
      </c>
      <c r="Q132" s="6" t="n">
        <v>1</v>
      </c>
      <c r="R132">
        <f>M132+IF(N132&gt;1,N(O132)*(N132-1),0)</f>
        <v/>
      </c>
      <c r="S132">
        <f>IFERROR(L132*MAX(N132,1)/R132*IF(ISBLANK(K130),1,K130),0)</f>
        <v/>
      </c>
      <c r="AB132" s="7" t="inlineStr">
        <is>
          <t>^Warhead_CannonHE_Medium</t>
        </is>
      </c>
    </row>
    <row r="133">
      <c r="A133" t="inlineStr">
        <is>
          <t>redalert2mod</t>
        </is>
      </c>
      <c r="B133" t="inlineStr">
        <is>
          <t>naxis_naximobileconstructionvehicle</t>
        </is>
      </c>
      <c r="C133" t="inlineStr">
        <is>
          <t>Naxi Mobile Construction Vehicle</t>
        </is>
      </c>
      <c r="D133" s="6" t="inlineStr">
        <is>
          <t>SupportVehicle</t>
        </is>
      </c>
      <c r="E133" s="6" t="n">
        <v>300000</v>
      </c>
      <c r="F133" s="6" t="n">
        <v>75</v>
      </c>
      <c r="G133" t="inlineStr">
        <is>
          <t>Medium</t>
        </is>
      </c>
      <c r="H133" s="6" t="n">
        <v>0.5872000000000001</v>
      </c>
      <c r="I133" s="6" t="n">
        <v>1</v>
      </c>
      <c r="J133" s="6" t="n">
        <v>1</v>
      </c>
      <c r="K133" s="6" t="n"/>
      <c r="X133" s="6" t="n">
        <v>5000</v>
      </c>
    </row>
    <row r="134">
      <c r="A134" t="inlineStr">
        <is>
          <t>redalert2mod</t>
        </is>
      </c>
      <c r="B134" t="inlineStr">
        <is>
          <t>naxis_nokana</t>
        </is>
      </c>
      <c r="C134" t="inlineStr">
        <is>
          <t>Nokana</t>
        </is>
      </c>
      <c r="D134" s="6" t="inlineStr">
        <is>
          <t>EpicVehicle</t>
        </is>
      </c>
      <c r="E134" s="6" t="n">
        <v>450000</v>
      </c>
      <c r="F134" s="6" t="n">
        <v>60</v>
      </c>
      <c r="G134" t="inlineStr">
        <is>
          <t>Superheavy</t>
        </is>
      </c>
      <c r="H134" s="6" t="n">
        <v>0.4839</v>
      </c>
      <c r="I134" s="6" t="n">
        <v>1</v>
      </c>
      <c r="J134" s="6" t="n">
        <v>1</v>
      </c>
      <c r="K134" s="6" t="n"/>
      <c r="P134">
        <f>MAX(P135,P136,P137)</f>
        <v/>
      </c>
      <c r="S134">
        <f>S135+S136+S137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(((E134/4000000)+(F134/60)+(S134/20000)+((P134/8500)*J134))*10000/4+(((E134/4000000)*(F134/60))+(((P134/8500)*J134)*(S134/20000)))*10000/2+((E134/4000000)*(F134/60)*((P134/8500)*J134)*(S134/20000))*10000)*(H134/0.75)/3</f>
        <v/>
      </c>
      <c r="X134" s="6" t="n">
        <v>3000</v>
      </c>
      <c r="Y134">
        <f>IFERROR(W134-X134,"")</f>
        <v/>
      </c>
      <c r="Z134">
        <f>IFERROR(ABS(Y134)/MAX(X134,1),"")</f>
        <v/>
      </c>
      <c r="AA134">
        <f>IFERROR(ROUND(((3*X134-(((E134/4000000)+(F134/60)+(S134/20000))*10000/4+((E134/4000000)*(F134/60))*10000/2)*(H134/0.75))/(10000/4+((S134/20000))*10000/2+((E134/4000000)*(F134/60)*(S134/20000))*10000)*(H134/0.75)*8500)/J134,-1),"")</f>
        <v/>
      </c>
    </row>
    <row r="135">
      <c r="B135" s="7" t="inlineStr">
        <is>
          <t xml:space="preserve">  ↳ NaxMausCannon</t>
        </is>
      </c>
      <c r="C135" s="7" t="inlineStr">
        <is>
          <t>Armament@AG</t>
        </is>
      </c>
      <c r="L135" s="6" t="n">
        <v>60000</v>
      </c>
      <c r="M135" s="6" t="n">
        <v>99</v>
      </c>
      <c r="N135" s="6" t="n">
        <v>1</v>
      </c>
      <c r="O135" s="6" t="n"/>
      <c r="P135" s="6" t="n">
        <v>6666</v>
      </c>
      <c r="Q135" s="6" t="n">
        <v>1</v>
      </c>
      <c r="R135">
        <f>M135+IF(N135&gt;1,N(O135)*(N135-1),0)</f>
        <v/>
      </c>
      <c r="S135">
        <f>IFERROR(L135*MAX(N135,1)/R135*IF(ISBLANK(K134),1,K134),0)</f>
        <v/>
      </c>
      <c r="AB135" s="7" t="inlineStr">
        <is>
          <t>^Warhead_CannonHE_Medium</t>
        </is>
      </c>
    </row>
    <row r="136">
      <c r="B136" s="7" t="inlineStr">
        <is>
          <t xml:space="preserve">  ↳ LatinBuggyRocket_elite</t>
        </is>
      </c>
      <c r="C136" s="7" t="inlineStr">
        <is>
          <t>Armament@RK</t>
        </is>
      </c>
      <c r="L136" s="6" t="n">
        <v>40000</v>
      </c>
      <c r="M136" s="6" t="n">
        <v>55</v>
      </c>
      <c r="N136" s="6" t="n">
        <v>2</v>
      </c>
      <c r="O136" s="6" t="n">
        <v>3</v>
      </c>
      <c r="P136" s="6" t="n">
        <v>7000</v>
      </c>
      <c r="Q136" s="6" t="n">
        <v>1</v>
      </c>
      <c r="R136">
        <f>M136+IF(N136&gt;1,N(O136)*(N136-1),0)</f>
        <v/>
      </c>
      <c r="S136">
        <f>IFERROR(L136*MAX(N136,1)/R136*IF(ISBLANK(K134),1,K134),0)</f>
        <v/>
      </c>
      <c r="AB136" s="7" t="inlineStr">
        <is>
          <t>^Warhead_Demolition_Light, ^Warhead_Concussion_Medium, ^Warhead_MissileAP_Light, ^Warhead_MissileAP_Medium</t>
        </is>
      </c>
    </row>
    <row r="137">
      <c r="B137" s="7" t="inlineStr">
        <is>
          <t xml:space="preserve">  ↳ SyndicateFireballLauncher</t>
        </is>
      </c>
      <c r="C137" s="7" t="inlineStr">
        <is>
          <t>Armament@Flam</t>
        </is>
      </c>
      <c r="L137" s="6" t="n">
        <v>6000</v>
      </c>
      <c r="M137" s="6" t="n">
        <v>44</v>
      </c>
      <c r="N137" s="6" t="n">
        <v>4</v>
      </c>
      <c r="O137" s="6" t="n">
        <v>4</v>
      </c>
      <c r="P137" s="6" t="n">
        <v>5555</v>
      </c>
      <c r="Q137" s="6" t="n">
        <v>1</v>
      </c>
      <c r="R137">
        <f>M137+IF(N137&gt;1,N(O137)*(N137-1),0)</f>
        <v/>
      </c>
      <c r="S137">
        <f>IFERROR(L137*MAX(N137,1)/R137*IF(ISBLANK(K134),1,K134),0)</f>
        <v/>
      </c>
      <c r="AB137" s="7" t="inlineStr">
        <is>
          <t>^Warhead_Flame_Light, ^Warhead_Flame_Medium, ^Warhead_Flame_Heavy</t>
        </is>
      </c>
    </row>
    <row r="138">
      <c r="A138" t="inlineStr">
        <is>
          <t>redalert2mod</t>
        </is>
      </c>
      <c r="B138" t="inlineStr">
        <is>
          <t>naxis_nop03sarubia</t>
        </is>
      </c>
      <c r="C138" t="inlineStr">
        <is>
          <t>Nop-03 Sarubia</t>
        </is>
      </c>
      <c r="D138" s="6" t="inlineStr">
        <is>
          <t>FireSupport</t>
        </is>
      </c>
      <c r="E138" s="6" t="n">
        <v>62500</v>
      </c>
      <c r="F138" s="6" t="n">
        <v>65</v>
      </c>
      <c r="G138" t="inlineStr">
        <is>
          <t>Light</t>
        </is>
      </c>
      <c r="H138" s="6" t="n">
        <v>0.4839</v>
      </c>
      <c r="I138" s="6" t="n">
        <v>1</v>
      </c>
      <c r="J138" s="6" t="n">
        <v>1</v>
      </c>
      <c r="K138" s="6" t="n"/>
      <c r="X138" s="6" t="n">
        <v>1400</v>
      </c>
    </row>
    <row r="139">
      <c r="B139" s="7" t="inlineStr">
        <is>
          <t xml:space="preserve">  ↳ NaxisSarubianTarget</t>
        </is>
      </c>
      <c r="C139" s="7" t="inlineStr">
        <is>
          <t>Armament@AG</t>
        </is>
      </c>
      <c r="L139" s="6" t="n"/>
      <c r="M139" s="6" t="n">
        <v>40</v>
      </c>
      <c r="N139" s="6" t="n">
        <v>1</v>
      </c>
      <c r="O139" s="6" t="n"/>
      <c r="P139" s="6" t="n">
        <v>7800</v>
      </c>
      <c r="Q139" s="6" t="n">
        <v>1</v>
      </c>
      <c r="R139">
        <f>M139+IF(N139&gt;1,N(O139)*(N139-1),0)</f>
        <v/>
      </c>
      <c r="S139">
        <f>IFERROR(L139*MAX(N139,1)/R139*IF(ISBLANK(K138),1,K138),0)</f>
        <v/>
      </c>
      <c r="AB139" s="7" t="inlineStr"/>
    </row>
    <row r="140">
      <c r="A140" t="inlineStr">
        <is>
          <t>redalert2mod</t>
        </is>
      </c>
      <c r="B140" t="inlineStr">
        <is>
          <t>naxis_oldtank</t>
        </is>
      </c>
      <c r="C140" t="inlineStr">
        <is>
          <t>Old Tank</t>
        </is>
      </c>
      <c r="D140" s="6" t="inlineStr">
        <is>
          <t>LineBreaker</t>
        </is>
      </c>
      <c r="E140" s="6" t="n">
        <v>110000</v>
      </c>
      <c r="F140" s="6" t="n">
        <v>50</v>
      </c>
      <c r="G140" t="inlineStr">
        <is>
          <t>Superheavy</t>
        </is>
      </c>
      <c r="H140" s="6" t="n">
        <v>0.6846</v>
      </c>
      <c r="I140" s="6" t="n">
        <v>1</v>
      </c>
      <c r="J140" s="6" t="n">
        <v>1</v>
      </c>
      <c r="K140" s="6" t="n"/>
      <c r="P140">
        <f>MAX(P141)</f>
        <v/>
      </c>
      <c r="S140">
        <f>S141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(((E140/750000)+(F140/80)+(S140/1600)+((P140/2500)*J140))*1600/4+(((E140/750000)*(F140/80))+(((P140/2500)*J140)*(S140/1600)))*1600/2+((E140/750000)*(F140/80)*((P140/2500)*J140)*(S140/1600))*1600)*(H140/1.0)/3</f>
        <v/>
      </c>
      <c r="X140" s="6" t="n">
        <v>2000</v>
      </c>
      <c r="Y140">
        <f>IFERROR(W140-X140,"")</f>
        <v/>
      </c>
      <c r="Z140">
        <f>IFERROR(ABS(Y140)/MAX(X140,1),"")</f>
        <v/>
      </c>
      <c r="AA140">
        <f>IFERROR(ROUND(((3*X140-(((E140/750000)+(F140/80)+(S140/1600))*1600/4+((E140/750000)*(F140/80))*1600/2)*(H140/1.0))/(1600/4+((S140/1600))*1600/2+((E140/750000)*(F140/80)*(S140/1600))*1600)*(H140/1.0)*2500)/J140,-1),"")</f>
        <v/>
      </c>
    </row>
    <row r="141">
      <c r="B141" s="7" t="inlineStr">
        <is>
          <t xml:space="preserve">  ↳ NaxiAntiTankCannon</t>
        </is>
      </c>
      <c r="C141" s="7" t="inlineStr">
        <is>
          <t>Armament</t>
        </is>
      </c>
      <c r="L141" s="6" t="n">
        <v>28000</v>
      </c>
      <c r="M141" s="6" t="n">
        <v>75</v>
      </c>
      <c r="N141" s="6" t="n">
        <v>1</v>
      </c>
      <c r="O141" s="6" t="n"/>
      <c r="P141" s="6" t="n">
        <v>7361</v>
      </c>
      <c r="Q141" s="6" t="n">
        <v>0.875</v>
      </c>
      <c r="R141">
        <f>M141+IF(N141&gt;1,N(O141)*(N141-1),0)</f>
        <v/>
      </c>
      <c r="S141">
        <f>IFERROR(L141*MAX(N141,1)/R141*IF(ISBLANK(K140),1,K140),0)</f>
        <v/>
      </c>
      <c r="AB141" s="7" t="inlineStr">
        <is>
          <t>^Warhead_CannonHE_Medium, ^Warhead_CannonAP_Light</t>
        </is>
      </c>
    </row>
    <row r="142">
      <c r="A142" t="inlineStr">
        <is>
          <t>redalert2mod</t>
        </is>
      </c>
      <c r="B142" t="inlineStr">
        <is>
          <t>naxis_ratte</t>
        </is>
      </c>
      <c r="C142" t="inlineStr">
        <is>
          <t>Ratte</t>
        </is>
      </c>
      <c r="D142" s="6" t="inlineStr">
        <is>
          <t>EpicVehicle</t>
        </is>
      </c>
      <c r="E142" s="6" t="n">
        <v>2000000</v>
      </c>
      <c r="F142" s="6" t="n">
        <v>35</v>
      </c>
      <c r="G142" t="inlineStr">
        <is>
          <t>Superheavy</t>
        </is>
      </c>
      <c r="H142" s="6" t="n">
        <v>0.75</v>
      </c>
      <c r="I142" s="6" t="n">
        <v>0.4</v>
      </c>
      <c r="J142" s="6" t="n">
        <v>1</v>
      </c>
      <c r="K142" s="6" t="n"/>
      <c r="P142">
        <f>MAX(P143,P144,P145,P146)</f>
        <v/>
      </c>
      <c r="S142">
        <f>S143+S144+S145+S146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(((E142/4000000)+(F142/60)+(S142/20000)+((P142/8500)*J142))*10000/4+(((E142/4000000)*(F142/60))+(((P142/8500)*J142)*(S142/20000)))*10000/2+((E142/4000000)*(F142/60)*((P142/8500)*J142)*(S142/20000))*10000)*(H142/0.75)/3</f>
        <v/>
      </c>
      <c r="X142" s="6" t="n">
        <v>8000</v>
      </c>
      <c r="Y142">
        <f>IFERROR(W142-X142,"")</f>
        <v/>
      </c>
      <c r="Z142">
        <f>IFERROR(ABS(Y142)/MAX(X142,1),"")</f>
        <v/>
      </c>
      <c r="AA142">
        <f>IFERROR(ROUND(((3*X142-(((E142/4000000)+(F142/60)+(S142/20000))*10000/4+((E142/4000000)*(F142/60))*10000/2)*(H142/0.75))/(10000/4+((S142/20000))*10000/2+((E142/4000000)*(F142/60)*(S142/20000))*10000)*(H142/0.75)*8500)/J142,-1),"")</f>
        <v/>
      </c>
    </row>
    <row r="143">
      <c r="B143" s="7" t="inlineStr">
        <is>
          <t xml:space="preserve">  ↳ NaxRatteCannon</t>
        </is>
      </c>
      <c r="C143" s="7" t="inlineStr">
        <is>
          <t>Armament</t>
        </is>
      </c>
      <c r="L143" s="6" t="n">
        <v>150000</v>
      </c>
      <c r="M143" s="6" t="n">
        <v>145</v>
      </c>
      <c r="N143" s="6" t="n">
        <v>2</v>
      </c>
      <c r="O143" s="6" t="n">
        <v>10</v>
      </c>
      <c r="P143" s="6" t="n">
        <v>6110</v>
      </c>
      <c r="Q143" s="6" t="n">
        <v>1</v>
      </c>
      <c r="R143">
        <f>M143+IF(N143&gt;1,N(O143)*(N143-1),0)</f>
        <v/>
      </c>
      <c r="S143">
        <f>IFERROR(L143*MAX(N143,1)/R143*IF(ISBLANK(K142),1,K142),0)</f>
        <v/>
      </c>
      <c r="AB143" s="7" t="inlineStr">
        <is>
          <t>^Warhead_CannonHE_Medium</t>
        </is>
      </c>
    </row>
    <row r="144">
      <c r="B144" s="7" t="inlineStr">
        <is>
          <t xml:space="preserve">  ↳ NaxRatteCannon_elite</t>
        </is>
      </c>
      <c r="C144" s="7" t="inlineStr">
        <is>
          <t>Armament@elite</t>
        </is>
      </c>
      <c r="L144" s="6" t="n">
        <v>150000</v>
      </c>
      <c r="M144" s="6" t="n">
        <v>145</v>
      </c>
      <c r="N144" s="6" t="n">
        <v>4</v>
      </c>
      <c r="O144" s="6" t="n">
        <v>3</v>
      </c>
      <c r="P144" s="6" t="n">
        <v>7110</v>
      </c>
      <c r="Q144" s="6" t="n">
        <v>1</v>
      </c>
      <c r="R144">
        <f>M144+IF(N144&gt;1,N(O144)*(N144-1),0)</f>
        <v/>
      </c>
      <c r="S144">
        <f>IFERROR(L144*MAX(N144,1)/R144*IF(ISBLANK(K142),1,K142),0)</f>
        <v/>
      </c>
      <c r="AB144" s="7" t="inlineStr">
        <is>
          <t>^Warhead_CannonHE_Medium</t>
        </is>
      </c>
    </row>
    <row r="145">
      <c r="B145" s="7" t="inlineStr">
        <is>
          <t xml:space="preserve">  ↳ NaxQuadCannon_AA_elite</t>
        </is>
      </c>
      <c r="C145" s="7" t="inlineStr">
        <is>
          <t>Armament@AA1</t>
        </is>
      </c>
      <c r="L145" s="6" t="n">
        <v>7000</v>
      </c>
      <c r="M145" s="6" t="n">
        <v>47</v>
      </c>
      <c r="N145" s="6" t="n">
        <v>8</v>
      </c>
      <c r="O145" s="6" t="n">
        <v>3</v>
      </c>
      <c r="P145" s="6" t="n">
        <v>9052</v>
      </c>
      <c r="Q145" s="6" t="n">
        <v>1</v>
      </c>
      <c r="R145">
        <f>M145+IF(N145&gt;1,N(O145)*(N145-1),0)</f>
        <v/>
      </c>
      <c r="S145">
        <f>IFERROR(L145*MAX(N145,1)/R145*IF(ISBLANK(K142),1,K142),0)</f>
        <v/>
      </c>
      <c r="AB145" s="7" t="inlineStr">
        <is>
          <t>^Warhead_Flak_Medium</t>
        </is>
      </c>
    </row>
    <row r="146">
      <c r="B146" s="7" t="inlineStr">
        <is>
          <t xml:space="preserve">  ↳ NaxQuadCannon_AA_elite</t>
        </is>
      </c>
      <c r="C146" s="7" t="inlineStr">
        <is>
          <t>Armament@AA2</t>
        </is>
      </c>
      <c r="L146" s="6" t="n">
        <v>7000</v>
      </c>
      <c r="M146" s="6" t="n">
        <v>47</v>
      </c>
      <c r="N146" s="6" t="n">
        <v>8</v>
      </c>
      <c r="O146" s="6" t="n">
        <v>3</v>
      </c>
      <c r="P146" s="6" t="n">
        <v>9052</v>
      </c>
      <c r="Q146" s="6" t="n">
        <v>1</v>
      </c>
      <c r="R146">
        <f>M146+IF(N146&gt;1,N(O146)*(N146-1),0)</f>
        <v/>
      </c>
      <c r="S146">
        <f>IFERROR(L146*MAX(N146,1)/R146*IF(ISBLANK(K142),1,K142),0)</f>
        <v/>
      </c>
      <c r="AB146" s="7" t="inlineStr">
        <is>
          <t>^Warhead_Flak_Medium</t>
        </is>
      </c>
    </row>
    <row r="147">
      <c r="A147" t="inlineStr">
        <is>
          <t>redalert2mod</t>
        </is>
      </c>
      <c r="B147" t="inlineStr">
        <is>
          <t>naxis_shoekarn</t>
        </is>
      </c>
      <c r="C147" t="inlineStr">
        <is>
          <t>Shoe Karn</t>
        </is>
      </c>
      <c r="D147" s="6" t="inlineStr">
        <is>
          <t>HighTechTank</t>
        </is>
      </c>
      <c r="E147" s="6" t="n">
        <v>150000</v>
      </c>
      <c r="F147" s="6" t="n">
        <v>75</v>
      </c>
      <c r="G147" t="inlineStr">
        <is>
          <t>Superheavy</t>
        </is>
      </c>
      <c r="H147" s="6" t="n">
        <v>0.4839</v>
      </c>
      <c r="I147" s="6" t="n">
        <v>1</v>
      </c>
      <c r="J147" s="6" t="n">
        <v>1</v>
      </c>
      <c r="K147" s="6" t="n"/>
      <c r="P147">
        <f>MAX(P148,P149,P150,P151)</f>
        <v/>
      </c>
      <c r="S147">
        <f>S148+S149+S150+S151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(((E147/700000)+(F147/65)+(S147/2000)+((P147/6500)*J147))*2000/4+(((E147/700000)*(F147/65))+(((P147/6500)*J147)*(S147/2000)))*2000/2+((E147/700000)*(F147/65)*((P147/6500)*J147)*(S147/2000))*2000)*(H147/0.75)/3</f>
        <v/>
      </c>
      <c r="X147" s="6" t="n">
        <v>2500</v>
      </c>
      <c r="Y147">
        <f>IFERROR(W147-X147,"")</f>
        <v/>
      </c>
      <c r="Z147">
        <f>IFERROR(ABS(Y147)/MAX(X147,1),"")</f>
        <v/>
      </c>
      <c r="AA147">
        <f>IFERROR(ROUND(((3*X147-(((E147/700000)+(F147/65)+(S147/2000))*2000/4+((E147/700000)*(F147/65))*2000/2)*(H147/0.75))/(2000/4+((S147/2000))*2000/2+((E147/700000)*(F147/65)*(S147/2000))*2000)*(H147/0.75)*6500)/J147,-1),"")</f>
        <v/>
      </c>
    </row>
    <row r="148">
      <c r="B148" s="7" t="inlineStr">
        <is>
          <t xml:space="preserve">  ↳ RA2120mm</t>
        </is>
      </c>
      <c r="C148" s="7" t="inlineStr">
        <is>
          <t>Armament</t>
        </is>
      </c>
      <c r="L148" s="6" t="n">
        <v>10000</v>
      </c>
      <c r="M148" s="6" t="n">
        <v>54</v>
      </c>
      <c r="N148" s="6" t="n">
        <v>1</v>
      </c>
      <c r="O148" s="6" t="n"/>
      <c r="P148" s="6" t="n">
        <v>5374</v>
      </c>
      <c r="Q148" s="6" t="n">
        <v>1</v>
      </c>
      <c r="R148">
        <f>M148+IF(N148&gt;1,N(O148)*(N148-1),0)</f>
        <v/>
      </c>
      <c r="S148">
        <f>IFERROR(L148*MAX(N148,1)/R148*IF(ISBLANK(K147),1,K147),0)</f>
        <v/>
      </c>
      <c r="AB148" s="7" t="inlineStr">
        <is>
          <t>^Warhead_CannonHE_Medium</t>
        </is>
      </c>
    </row>
    <row r="149">
      <c r="B149" s="7" t="inlineStr">
        <is>
          <t xml:space="preserve">  ↳ RA2120mm_elite</t>
        </is>
      </c>
      <c r="C149" s="7" t="inlineStr">
        <is>
          <t>Armament@elite</t>
        </is>
      </c>
      <c r="L149" s="6" t="n">
        <v>10000</v>
      </c>
      <c r="M149" s="6" t="n">
        <v>54</v>
      </c>
      <c r="N149" s="6" t="n">
        <v>2</v>
      </c>
      <c r="O149" s="6" t="n">
        <v>3</v>
      </c>
      <c r="P149" s="6" t="n">
        <v>6374</v>
      </c>
      <c r="Q149" s="6" t="n">
        <v>1</v>
      </c>
      <c r="R149">
        <f>M149+IF(N149&gt;1,N(O149)*(N149-1),0)</f>
        <v/>
      </c>
      <c r="S149">
        <f>IFERROR(L149*MAX(N149,1)/R149*IF(ISBLANK(K147),1,K147),0)</f>
        <v/>
      </c>
      <c r="AB149" s="7" t="inlineStr">
        <is>
          <t>^Warhead_CannonHE_Medium</t>
        </is>
      </c>
    </row>
    <row r="150">
      <c r="B150" s="7" t="inlineStr">
        <is>
          <t xml:space="preserve">  ↳ NaxGrilleArty</t>
        </is>
      </c>
      <c r="C150" s="7" t="inlineStr">
        <is>
          <t>Armament@mortar</t>
        </is>
      </c>
      <c r="L150" s="6" t="n">
        <v>48000</v>
      </c>
      <c r="M150" s="6" t="n">
        <v>111</v>
      </c>
      <c r="N150" s="6" t="n">
        <v>1</v>
      </c>
      <c r="O150" s="6" t="n"/>
      <c r="P150" s="6" t="n">
        <v>12345</v>
      </c>
      <c r="Q150" s="6" t="n">
        <v>1</v>
      </c>
      <c r="R150">
        <f>M150+IF(N150&gt;1,N(O150)*(N150-1),0)</f>
        <v/>
      </c>
      <c r="S150">
        <f>IFERROR(L150*MAX(N150,1)/R150*IF(ISBLANK(K147),1,K147),0)</f>
        <v/>
      </c>
      <c r="AB150" s="7" t="inlineStr">
        <is>
          <t>^Warhead_CannonHE_Heavy, ^Warhead_Concussion_Medium, ^Warhead_Demolition_Light</t>
        </is>
      </c>
    </row>
    <row r="151">
      <c r="B151" s="7" t="inlineStr">
        <is>
          <t xml:space="preserve">  ↳ NaxShoeRocket</t>
        </is>
      </c>
      <c r="C151" s="7" t="inlineStr">
        <is>
          <t>Armament@scud</t>
        </is>
      </c>
      <c r="L151" s="6" t="n">
        <v>24000</v>
      </c>
      <c r="M151" s="6" t="n">
        <v>250</v>
      </c>
      <c r="N151" s="6" t="n">
        <v>1</v>
      </c>
      <c r="O151" s="6" t="n"/>
      <c r="P151" s="6" t="n">
        <v>12000</v>
      </c>
      <c r="Q151" s="6" t="n">
        <v>1</v>
      </c>
      <c r="R151">
        <f>M151+IF(N151&gt;1,N(O151)*(N151-1),0)</f>
        <v/>
      </c>
      <c r="S151">
        <f>IFERROR(L151*MAX(N151,1)/R151*IF(ISBLANK(K147),1,K147),0)</f>
        <v/>
      </c>
      <c r="AB151" s="7" t="inlineStr">
        <is>
          <t>^Warhead_Demolition_Heavy, ^Warhead_Demolition_Light, ^Warhead_MissileAP_Medium</t>
        </is>
      </c>
    </row>
    <row r="152">
      <c r="A152" t="inlineStr">
        <is>
          <t>redalert2mod</t>
        </is>
      </c>
      <c r="B152" t="inlineStr">
        <is>
          <t>naxis_sturmtiger</t>
        </is>
      </c>
      <c r="C152" t="inlineStr">
        <is>
          <t>Sturm Tiger</t>
        </is>
      </c>
      <c r="D152" s="6" t="inlineStr">
        <is>
          <t>Dreadnought</t>
        </is>
      </c>
      <c r="E152" s="6" t="n">
        <v>250000</v>
      </c>
      <c r="F152" s="6" t="n">
        <v>30</v>
      </c>
      <c r="G152" t="inlineStr">
        <is>
          <t>Superheavy</t>
        </is>
      </c>
      <c r="H152" s="6" t="n">
        <v>0.4839</v>
      </c>
      <c r="I152" s="6" t="n">
        <v>1</v>
      </c>
      <c r="J152" s="6" t="n">
        <v>1</v>
      </c>
      <c r="K152" s="6" t="n"/>
      <c r="P152">
        <f>MAX(P153)</f>
        <v/>
      </c>
      <c r="S152">
        <f>S153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(((E152/1150000)+(F152/50)+(S152/3750)+((P152/7000)*J152))*3000/4+(((E152/1150000)*(F152/50))+(((P152/7000)*J152)*(S152/3750)))*3000/2+((E152/1150000)*(F152/50)*((P152/7000)*J152)*(S152/3750))*3000)*(H152/0.75)/3</f>
        <v/>
      </c>
      <c r="X152" s="6" t="n">
        <v>2500</v>
      </c>
      <c r="Y152">
        <f>IFERROR(W152-X152,"")</f>
        <v/>
      </c>
      <c r="Z152">
        <f>IFERROR(ABS(Y152)/MAX(X152,1),"")</f>
        <v/>
      </c>
      <c r="AA152">
        <f>IFERROR(ROUND(((3*X152-(((E152/1150000)+(F152/50)+(S152/3750))*3000/4+((E152/1150000)*(F152/50))*3000/2)*(H152/0.75))/(3000/4+((S152/3750))*3000/2+((E152/1150000)*(F152/50)*(S152/3750))*3000)*(H152/0.75)*7000)/J152,-1),"")</f>
        <v/>
      </c>
    </row>
    <row r="153">
      <c r="B153" s="7" t="inlineStr">
        <is>
          <t xml:space="preserve">  ↳ NaxSturmArty</t>
        </is>
      </c>
      <c r="C153" s="7" t="inlineStr">
        <is>
          <t>Armament@AG</t>
        </is>
      </c>
      <c r="L153" s="6" t="n">
        <v>80000</v>
      </c>
      <c r="M153" s="6" t="n">
        <v>140</v>
      </c>
      <c r="N153" s="6" t="n">
        <v>1</v>
      </c>
      <c r="O153" s="6" t="n"/>
      <c r="P153" s="6" t="n">
        <v>14000</v>
      </c>
      <c r="Q153" s="6" t="n">
        <v>1</v>
      </c>
      <c r="R153">
        <f>M153+IF(N153&gt;1,N(O153)*(N153-1),0)</f>
        <v/>
      </c>
      <c r="S153">
        <f>IFERROR(L153*MAX(N153,1)/R153*IF(ISBLANK(K152),1,K152),0)</f>
        <v/>
      </c>
      <c r="AB153" s="7" t="inlineStr">
        <is>
          <t>^Warhead_Demolition_Heavy, ^Warhead_CannonHE_Medium, ^Warhead_Demolition_Light</t>
        </is>
      </c>
    </row>
    <row r="154">
      <c r="A154" t="inlineStr">
        <is>
          <t>redalert2mod</t>
        </is>
      </c>
      <c r="B154" t="inlineStr">
        <is>
          <t>panzer.nax</t>
        </is>
      </c>
      <c r="C154" t="inlineStr">
        <is>
          <t>Panzer III</t>
        </is>
      </c>
      <c r="D154" s="6" t="inlineStr">
        <is>
          <t>LightTank</t>
        </is>
      </c>
      <c r="E154" s="6" t="n">
        <v>100000</v>
      </c>
      <c r="F154" s="6" t="n">
        <v>100</v>
      </c>
      <c r="G154" t="inlineStr">
        <is>
          <t>Medium</t>
        </is>
      </c>
      <c r="H154" s="6" t="n">
        <v>1</v>
      </c>
      <c r="I154" s="6" t="n">
        <v>1</v>
      </c>
      <c r="J154" s="6" t="n">
        <v>1</v>
      </c>
      <c r="K154" s="6" t="n"/>
      <c r="P154">
        <f>MAX(P155,P156)</f>
        <v/>
      </c>
      <c r="S154">
        <f>S155+S156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(((E154/100000)+(F154/125)+(S154/200)+((P154/5000)*J154))*400/4+(((E154/100000)*(F154/125))+(((P154/5000)*J154)*(S154/200)))*400/2+((E154/100000)*(F154/125)*((P154/5000)*J154)*(S154/200))*400)*(H154/1.0)/3</f>
        <v/>
      </c>
      <c r="X154" s="6" t="n">
        <v>600</v>
      </c>
      <c r="Y154">
        <f>IFERROR(W154-X154,"")</f>
        <v/>
      </c>
      <c r="Z154">
        <f>IFERROR(ABS(Y154)/MAX(X154,1),"")</f>
        <v/>
      </c>
      <c r="AA154">
        <f>IFERROR(ROUND(((3*X154-(((E154/100000)+(F154/125)+(S154/200))*400/4+((E154/100000)*(F154/125))*400/2)*(H154/1.0))/(400/4+((S154/200))*400/2+((E154/100000)*(F154/125)*(S154/200))*400)*(H154/1.0)*5000)/J154,-1),"")</f>
        <v/>
      </c>
    </row>
    <row r="155">
      <c r="B155" s="7" t="inlineStr">
        <is>
          <t xml:space="preserve">  ↳ RA2105mm</t>
        </is>
      </c>
      <c r="C155" s="7" t="inlineStr">
        <is>
          <t>Armament</t>
        </is>
      </c>
      <c r="L155" s="6" t="n">
        <v>8000</v>
      </c>
      <c r="M155" s="6" t="n">
        <v>45</v>
      </c>
      <c r="N155" s="6" t="n">
        <v>1</v>
      </c>
      <c r="O155" s="6" t="n"/>
      <c r="P155" s="6" t="n">
        <v>5289</v>
      </c>
      <c r="Q155" s="6" t="n">
        <v>1</v>
      </c>
      <c r="R155">
        <f>M155+IF(N155&gt;1,N(O155)*(N155-1),0)</f>
        <v/>
      </c>
      <c r="S155">
        <f>IFERROR(L155*MAX(N155,1)/R155*IF(ISBLANK(K154),1,K154),0)</f>
        <v/>
      </c>
      <c r="AB155" s="7" t="inlineStr">
        <is>
          <t>^Warhead_CannonHE_Medium</t>
        </is>
      </c>
    </row>
    <row r="156">
      <c r="B156" s="7" t="inlineStr">
        <is>
          <t xml:space="preserve">  ↳ RA2105mm_elite</t>
        </is>
      </c>
      <c r="C156" s="7" t="inlineStr">
        <is>
          <t>Armament@elite</t>
        </is>
      </c>
      <c r="L156" s="6" t="n">
        <v>8000</v>
      </c>
      <c r="M156" s="6" t="n">
        <v>45</v>
      </c>
      <c r="N156" s="6" t="n">
        <v>2</v>
      </c>
      <c r="O156" s="6" t="n">
        <v>3</v>
      </c>
      <c r="P156" s="6" t="n">
        <v>6289</v>
      </c>
      <c r="Q156" s="6" t="n">
        <v>1</v>
      </c>
      <c r="R156">
        <f>M156+IF(N156&gt;1,N(O156)*(N156-1),0)</f>
        <v/>
      </c>
      <c r="S156">
        <f>IFERROR(L156*MAX(N156,1)/R156*IF(ISBLANK(K154),1,K154),0)</f>
        <v/>
      </c>
      <c r="AB156" s="7" t="inlineStr">
        <is>
          <t>^Warhead_CannonHE_Medium</t>
        </is>
      </c>
    </row>
    <row r="157">
      <c r="A157" t="inlineStr">
        <is>
          <t>redalert2mod</t>
        </is>
      </c>
      <c r="B157" t="inlineStr">
        <is>
          <t>tiger.nax</t>
        </is>
      </c>
      <c r="C157" t="inlineStr">
        <is>
          <t>Tiger Heavy Tank</t>
        </is>
      </c>
      <c r="D157" s="6" t="inlineStr">
        <is>
          <t>MainBattleTank</t>
        </is>
      </c>
      <c r="E157" s="6" t="n">
        <v>100000</v>
      </c>
      <c r="F157" s="6" t="n">
        <v>100</v>
      </c>
      <c r="G157" t="inlineStr">
        <is>
          <t>Heavy</t>
        </is>
      </c>
      <c r="H157" s="6" t="n">
        <v>1</v>
      </c>
      <c r="I157" s="6" t="n">
        <v>1</v>
      </c>
      <c r="J157" s="6" t="n">
        <v>1</v>
      </c>
      <c r="K157" s="6" t="n"/>
      <c r="P157">
        <f>MAX(P158,P159)</f>
        <v/>
      </c>
      <c r="S157">
        <f>S158+S159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(((E157/240000)+(F157/95)+(S157/600)+((P157/5500)*J157))*800/4+(((E157/240000)*(F157/95))+(((P157/5500)*J157)*(S157/600)))*800/2+((E157/240000)*(F157/95)*((P157/5500)*J157)*(S157/600))*800)*(H157/1.0)/3</f>
        <v/>
      </c>
      <c r="X157" s="6" t="n">
        <v>800</v>
      </c>
      <c r="Y157">
        <f>IFERROR(W157-X157,"")</f>
        <v/>
      </c>
      <c r="Z157">
        <f>IFERROR(ABS(Y157)/MAX(X157,1),"")</f>
        <v/>
      </c>
      <c r="AA157">
        <f>IFERROR(ROUND(((3*X157-(((E157/240000)+(F157/95)+(S157/600))*800/4+((E157/240000)*(F157/95))*800/2)*(H157/1.0))/(800/4+((S157/600))*800/2+((E157/240000)*(F157/95)*(S157/600))*800)*(H157/1.0)*5500)/J157,-1),"")</f>
        <v/>
      </c>
    </row>
    <row r="158">
      <c r="B158" s="7" t="inlineStr">
        <is>
          <t xml:space="preserve">  ↳ NaxTigerCannon</t>
        </is>
      </c>
      <c r="C158" s="7" t="inlineStr">
        <is>
          <t>Armament</t>
        </is>
      </c>
      <c r="L158" s="6" t="n">
        <v>10000</v>
      </c>
      <c r="M158" s="6" t="n">
        <v>50</v>
      </c>
      <c r="N158" s="6" t="n">
        <v>1</v>
      </c>
      <c r="O158" s="6" t="n"/>
      <c r="P158" s="6" t="n">
        <v>5000</v>
      </c>
      <c r="Q158" s="6" t="n">
        <v>1</v>
      </c>
      <c r="R158">
        <f>M158+IF(N158&gt;1,N(O158)*(N158-1),0)</f>
        <v/>
      </c>
      <c r="S158">
        <f>IFERROR(L158*MAX(N158,1)/R158*IF(ISBLANK(K157),1,K157),0)</f>
        <v/>
      </c>
      <c r="AB158" s="7" t="inlineStr">
        <is>
          <t>^Warhead_CannonHE_Medium</t>
        </is>
      </c>
    </row>
    <row r="159">
      <c r="B159" s="7" t="inlineStr">
        <is>
          <t xml:space="preserve">  ↳ NaxTigerCannon_elite</t>
        </is>
      </c>
      <c r="C159" s="7" t="inlineStr">
        <is>
          <t>Armament@elite</t>
        </is>
      </c>
      <c r="L159" s="6" t="n">
        <v>10000</v>
      </c>
      <c r="M159" s="6" t="n">
        <v>50</v>
      </c>
      <c r="N159" s="6" t="n">
        <v>2</v>
      </c>
      <c r="O159" s="6" t="n">
        <v>3</v>
      </c>
      <c r="P159" s="6" t="n">
        <v>6000</v>
      </c>
      <c r="Q159" s="6" t="n">
        <v>1</v>
      </c>
      <c r="R159">
        <f>M159+IF(N159&gt;1,N(O159)*(N159-1),0)</f>
        <v/>
      </c>
      <c r="S159">
        <f>IFERROR(L159*MAX(N159,1)/R159*IF(ISBLANK(K157),1,K157),0)</f>
        <v/>
      </c>
      <c r="AB159" s="7" t="inlineStr">
        <is>
          <t>^Warhead_CannonHE_Medium</t>
        </is>
      </c>
    </row>
    <row r="160">
      <c r="A160" t="inlineStr">
        <is>
          <t>redalert2mod</t>
        </is>
      </c>
      <c r="B160" t="inlineStr">
        <is>
          <t>wirbelwind.nax</t>
        </is>
      </c>
      <c r="C160" t="inlineStr">
        <is>
          <t>Wirbelwind</t>
        </is>
      </c>
      <c r="D160" s="6" t="inlineStr">
        <is>
          <t>AntiAirVehicle</t>
        </is>
      </c>
      <c r="E160" s="6" t="n">
        <v>87500</v>
      </c>
      <c r="F160" s="6" t="n">
        <v>85</v>
      </c>
      <c r="G160" t="inlineStr">
        <is>
          <t>Medium</t>
        </is>
      </c>
      <c r="H160" s="6" t="n">
        <v>1</v>
      </c>
      <c r="I160" s="6" t="n">
        <v>1</v>
      </c>
      <c r="J160" s="6" t="n">
        <v>1</v>
      </c>
      <c r="K160" s="6" t="n"/>
      <c r="P160">
        <f>MAX(P161,P162,P163,P164)</f>
        <v/>
      </c>
      <c r="S160">
        <f>S161+S162+S163+S164</f>
        <v/>
      </c>
      <c r="T160">
        <f>(E160/100000+F160/100+(P160/1000)*J160/5+S160/200)*200*I160*H160</f>
        <v/>
      </c>
      <c r="U160">
        <f>((E160*F160/25000)+((P160/1000)*J160*S160/2.5))*I160*H160</f>
        <v/>
      </c>
      <c r="V160">
        <f>(E160*F160*(P160/1000)*J160*S160*I160*H160)/12500000</f>
        <v/>
      </c>
      <c r="W160">
        <f>(((E160/170000)+(F160/110)+(S160/1250)+((P160/6000)*J160))*1000/4+(((E160/170000)*(F160/110))+(((P160/6000)*J160)*(S160/1250)))*1000/2+((E160/170000)*(F160/110)*((P160/6000)*J160)*(S160/1250))*1000)*(H160/1.0)/3</f>
        <v/>
      </c>
      <c r="X160" s="6" t="n">
        <v>1800</v>
      </c>
      <c r="Y160">
        <f>IFERROR(W160-X160,"")</f>
        <v/>
      </c>
      <c r="Z160">
        <f>IFERROR(ABS(Y160)/MAX(X160,1),"")</f>
        <v/>
      </c>
      <c r="AA160">
        <f>IFERROR(ROUND(((3*X160-(((E160/170000)+(F160/110)+(S160/1250))*1000/4+((E160/170000)*(F160/110))*1000/2)*(H160/1.0))/(1000/4+((S160/1250))*1000/2+((E160/170000)*(F160/110)*(S160/1250))*1000)*(H160/1.0)*6000)/J160,-1),"")</f>
        <v/>
      </c>
    </row>
    <row r="161">
      <c r="B161" s="7" t="inlineStr">
        <is>
          <t xml:space="preserve">  ↳ NaxQuadCannon</t>
        </is>
      </c>
      <c r="C161" s="7" t="inlineStr">
        <is>
          <t>Armament</t>
        </is>
      </c>
      <c r="L161" s="6" t="n">
        <v>7000</v>
      </c>
      <c r="M161" s="6" t="n">
        <v>47</v>
      </c>
      <c r="N161" s="6" t="n">
        <v>6</v>
      </c>
      <c r="O161" s="6" t="n">
        <v>4</v>
      </c>
      <c r="P161" s="6" t="n">
        <v>5368</v>
      </c>
      <c r="Q161" s="6" t="n">
        <v>1</v>
      </c>
      <c r="R161">
        <f>M161+IF(N161&gt;1,N(O161)*(N161-1),0)</f>
        <v/>
      </c>
      <c r="S161">
        <f>IFERROR(L161*MAX(N161,1)/R161*IF(ISBLANK(K160),1,K160),0)</f>
        <v/>
      </c>
      <c r="AB161" s="7" t="inlineStr">
        <is>
          <t>^Warhead_Flak_Medium</t>
        </is>
      </c>
    </row>
    <row r="162">
      <c r="B162" s="7" t="inlineStr">
        <is>
          <t xml:space="preserve">  ↳ NaxQuadCannon_elite</t>
        </is>
      </c>
      <c r="C162" s="7" t="inlineStr">
        <is>
          <t>Armament@elite</t>
        </is>
      </c>
      <c r="L162" s="6" t="n">
        <v>7000</v>
      </c>
      <c r="M162" s="6" t="n">
        <v>47</v>
      </c>
      <c r="N162" s="6" t="n">
        <v>8</v>
      </c>
      <c r="O162" s="6" t="n">
        <v>3</v>
      </c>
      <c r="P162" s="6" t="n">
        <v>6368</v>
      </c>
      <c r="Q162" s="6" t="n">
        <v>1</v>
      </c>
      <c r="R162">
        <f>M162+IF(N162&gt;1,N(O162)*(N162-1),0)</f>
        <v/>
      </c>
      <c r="S162">
        <f>IFERROR(L162*MAX(N162,1)/R162*IF(ISBLANK(K160),1,K160),0)</f>
        <v/>
      </c>
      <c r="AB162" s="7" t="inlineStr">
        <is>
          <t>^Warhead_Flak_Medium</t>
        </is>
      </c>
    </row>
    <row r="163">
      <c r="B163" s="7" t="inlineStr">
        <is>
          <t xml:space="preserve">  ↳ NaxQuadCannon_AA</t>
        </is>
      </c>
      <c r="C163" s="7" t="inlineStr">
        <is>
          <t>Armament@AA</t>
        </is>
      </c>
      <c r="L163" s="6" t="n">
        <v>7000</v>
      </c>
      <c r="M163" s="6" t="n">
        <v>47</v>
      </c>
      <c r="N163" s="6" t="n">
        <v>6</v>
      </c>
      <c r="O163" s="6" t="n">
        <v>4</v>
      </c>
      <c r="P163" s="6" t="n">
        <v>8052</v>
      </c>
      <c r="Q163" s="6" t="n">
        <v>1</v>
      </c>
      <c r="R163">
        <f>M163+IF(N163&gt;1,N(O163)*(N163-1),0)</f>
        <v/>
      </c>
      <c r="S163">
        <f>IFERROR(L163*MAX(N163,1)/R163*IF(ISBLANK(K160),1,K160),0)</f>
        <v/>
      </c>
      <c r="AB163" s="7" t="inlineStr">
        <is>
          <t>^Warhead_Flak_Medium</t>
        </is>
      </c>
    </row>
    <row r="164">
      <c r="B164" s="7" t="inlineStr">
        <is>
          <t xml:space="preserve">  ↳ NaxQuadCannon_AA_elite</t>
        </is>
      </c>
      <c r="C164" s="7" t="inlineStr">
        <is>
          <t>Armament@eliteAA</t>
        </is>
      </c>
      <c r="L164" s="6" t="n">
        <v>7000</v>
      </c>
      <c r="M164" s="6" t="n">
        <v>47</v>
      </c>
      <c r="N164" s="6" t="n">
        <v>8</v>
      </c>
      <c r="O164" s="6" t="n">
        <v>3</v>
      </c>
      <c r="P164" s="6" t="n">
        <v>9052</v>
      </c>
      <c r="Q164" s="6" t="n">
        <v>1</v>
      </c>
      <c r="R164">
        <f>M164+IF(N164&gt;1,N(O164)*(N164-1),0)</f>
        <v/>
      </c>
      <c r="S164">
        <f>IFERROR(L164*MAX(N164,1)/R164*IF(ISBLANK(K160),1,K160),0)</f>
        <v/>
      </c>
      <c r="AB164" s="7" t="inlineStr">
        <is>
          <t>^Warhead_Flak_Medium</t>
        </is>
      </c>
    </row>
    <row r="165">
      <c r="A165" s="4" t="inlineStr">
        <is>
          <t>AIRCRAFT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t="inlineStr">
        <is>
          <t>redalert2mod</t>
        </is>
      </c>
      <c r="B166" t="inlineStr">
        <is>
          <t>cplane.nax</t>
        </is>
      </c>
      <c r="C166" t="inlineStr">
        <is>
          <t>Cargo Plane</t>
        </is>
      </c>
      <c r="D166" s="6" t="inlineStr">
        <is>
          <t>Aircraft</t>
        </is>
      </c>
      <c r="E166" s="6" t="n">
        <v>175000</v>
      </c>
      <c r="F166" s="6" t="n">
        <v>150</v>
      </c>
      <c r="G166" t="inlineStr">
        <is>
          <t>Bomber</t>
        </is>
      </c>
      <c r="H166" s="6" t="n">
        <v>1</v>
      </c>
      <c r="I166" s="6" t="n">
        <v>1</v>
      </c>
      <c r="J166" s="6" t="n">
        <v>1</v>
      </c>
      <c r="K166" s="6" t="n"/>
      <c r="X166" s="6" t="n">
        <v>4000</v>
      </c>
    </row>
    <row r="167">
      <c r="A167" t="inlineStr">
        <is>
          <t>redalert2mod</t>
        </is>
      </c>
      <c r="B167" t="inlineStr">
        <is>
          <t>horten_bomber.nax</t>
        </is>
      </c>
      <c r="C167" t="inlineStr">
        <is>
          <t>Horten Bomber Plane</t>
        </is>
      </c>
      <c r="D167" s="6" t="inlineStr">
        <is>
          <t>Aircraft</t>
        </is>
      </c>
      <c r="E167" s="6" t="n">
        <v>150000</v>
      </c>
      <c r="F167" s="6" t="n">
        <v>175</v>
      </c>
      <c r="G167" t="inlineStr">
        <is>
          <t>Bomber</t>
        </is>
      </c>
      <c r="H167" s="6" t="n">
        <v>1</v>
      </c>
      <c r="I167" s="6" t="n">
        <v>1</v>
      </c>
      <c r="J167" s="6" t="n">
        <v>1</v>
      </c>
      <c r="K167" s="6" t="n"/>
      <c r="P167">
        <f>MAX(P168)</f>
        <v/>
      </c>
      <c r="S167">
        <f>S168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(T167+U167+V167)/3</f>
        <v/>
      </c>
      <c r="X167" s="6" t="n">
        <v>4000</v>
      </c>
      <c r="Y167">
        <f>IFERROR(W167-X167,"")</f>
        <v/>
      </c>
      <c r="Z167">
        <f>IFERROR(ABS(Y167)/MAX(X167,1),"")</f>
        <v/>
      </c>
      <c r="AA167">
        <f>IFERROR((X167-(((E167/100000+F167/100+S167/200)*200*I167*H167)+((E167*F167/25000)*I167*H167))/3)/(((J167/5)*200*I167*H167)+((J167*S167/2.5)*I167*H167)+((E167*F167*J167*S167*I167*H167)/12500000))/3*1000,"")</f>
        <v/>
      </c>
    </row>
    <row r="168">
      <c r="B168" s="7" t="inlineStr">
        <is>
          <t xml:space="preserve">  ↳ JapanSuperBomb</t>
        </is>
      </c>
      <c r="C168" s="7" t="inlineStr">
        <is>
          <t>Armament</t>
        </is>
      </c>
      <c r="L168" s="6" t="n">
        <v>50000</v>
      </c>
      <c r="M168" s="6" t="n">
        <v>5</v>
      </c>
      <c r="N168" s="6" t="n">
        <v>1</v>
      </c>
      <c r="O168" s="6" t="n"/>
      <c r="P168" s="6" t="n">
        <v>3000</v>
      </c>
      <c r="Q168" s="6" t="n">
        <v>1</v>
      </c>
      <c r="R168">
        <f>M168+IF(N168&gt;1,N(O168)*(N168-1),0)</f>
        <v/>
      </c>
      <c r="S168">
        <f>IFERROR(L168*MAX(N168,1)/R168*IF(ISBLANK(K167),1,K167),0)</f>
        <v/>
      </c>
      <c r="AB168" s="7" t="inlineStr">
        <is>
          <t>^Grenade, ^ShrapnelWeapon, ^MediumChemicalWeapon, ^MediumFlameWeapon, ^HeavyBomb</t>
        </is>
      </c>
    </row>
    <row r="169">
      <c r="A169" t="inlineStr">
        <is>
          <t>redalert2mod</t>
        </is>
      </c>
      <c r="B169" t="inlineStr">
        <is>
          <t>naxis_bf109</t>
        </is>
      </c>
      <c r="C169" t="inlineStr">
        <is>
          <t>BF 109</t>
        </is>
      </c>
      <c r="D169" s="6" t="inlineStr">
        <is>
          <t>Fighter</t>
        </is>
      </c>
      <c r="E169" s="6" t="n">
        <v>60000</v>
      </c>
      <c r="F169" s="6" t="n">
        <v>115</v>
      </c>
      <c r="G169" t="inlineStr">
        <is>
          <t>Fighter</t>
        </is>
      </c>
      <c r="H169" s="6" t="n">
        <v>1</v>
      </c>
      <c r="I169" s="6" t="n">
        <v>1</v>
      </c>
      <c r="J169" s="6" t="n">
        <v>1</v>
      </c>
      <c r="K169" s="6" t="n"/>
      <c r="P169">
        <f>MAX(P170,P171)</f>
        <v/>
      </c>
      <c r="S169">
        <f>S170+S171</f>
        <v/>
      </c>
      <c r="T169">
        <f>(E169/100000+F169/100+(P169/1000)*J169/5+S169/200)*200*I169*H169</f>
        <v/>
      </c>
      <c r="U169">
        <f>((E169*F169/25000)+((P169/1000)*J169*S169/2.5))*I169*H169</f>
        <v/>
      </c>
      <c r="V169">
        <f>(E169*F169*(P169/1000)*J169*S169*I169*H169)/12500000</f>
        <v/>
      </c>
      <c r="W169">
        <f>(T169+U169+V169)/3</f>
        <v/>
      </c>
      <c r="X169" s="6" t="n">
        <v>1100</v>
      </c>
      <c r="Y169">
        <f>IFERROR(W169-X169,"")</f>
        <v/>
      </c>
      <c r="Z169">
        <f>IFERROR(ABS(Y169)/MAX(X169,1),"")</f>
        <v/>
      </c>
      <c r="AA169">
        <f>IFERROR((X169-(((E169/100000+F169/100+S169/200)*200*I169*H169)+((E169*F169/25000)*I169*H169))/3)/(((J169/5)*200*I169*H169)+((J169*S169/2.5)*I169*H169)+((E169*F169*J169*S169*I169*H169)/12500000))/3*1000,"")</f>
        <v/>
      </c>
    </row>
    <row r="170">
      <c r="B170" s="7" t="inlineStr">
        <is>
          <t xml:space="preserve">  ↳ NaxPlanegun_elite</t>
        </is>
      </c>
      <c r="C170" s="7" t="inlineStr">
        <is>
          <t>Armament</t>
        </is>
      </c>
      <c r="L170" s="6" t="n">
        <v>6000</v>
      </c>
      <c r="M170" s="6" t="n">
        <v>127</v>
      </c>
      <c r="N170" s="6" t="n">
        <v>10</v>
      </c>
      <c r="O170" s="6" t="n">
        <v>2</v>
      </c>
      <c r="P170" s="6" t="n">
        <v>6090</v>
      </c>
      <c r="Q170" s="6" t="n">
        <v>1</v>
      </c>
      <c r="R170">
        <f>M170+IF(N170&gt;1,N(O170)*(N170-1),0)</f>
        <v/>
      </c>
      <c r="S170">
        <f>IFERROR(L170*MAX(N170,1)/R170*IF(ISBLANK(K169),1,K169),0)</f>
        <v/>
      </c>
      <c r="AB170" s="7" t="inlineStr">
        <is>
          <t>^Warhead_Concussion_Light, ^Warhead_CannonHE_Heavy, ^Warhead_Bullet_Medium</t>
        </is>
      </c>
    </row>
    <row r="171">
      <c r="B171" s="7" t="inlineStr">
        <is>
          <t xml:space="preserve">  ↳ NaxPlanegun_elite</t>
        </is>
      </c>
      <c r="C171" s="7" t="inlineStr">
        <is>
          <t>Armament@ELITE</t>
        </is>
      </c>
      <c r="L171" s="6" t="n">
        <v>6000</v>
      </c>
      <c r="M171" s="6" t="n">
        <v>127</v>
      </c>
      <c r="N171" s="6" t="n">
        <v>10</v>
      </c>
      <c r="O171" s="6" t="n">
        <v>2</v>
      </c>
      <c r="P171" s="6" t="n">
        <v>6090</v>
      </c>
      <c r="Q171" s="6" t="n">
        <v>1</v>
      </c>
      <c r="R171">
        <f>M171+IF(N171&gt;1,N(O171)*(N171-1),0)</f>
        <v/>
      </c>
      <c r="S171">
        <f>IFERROR(L171*MAX(N171,1)/R171*IF(ISBLANK(K169),1,K169),0)</f>
        <v/>
      </c>
      <c r="AB171" s="7" t="inlineStr">
        <is>
          <t>^Warhead_Concussion_Light, ^Warhead_CannonHE_Heavy, ^Warhead_Bullet_Medium</t>
        </is>
      </c>
    </row>
    <row r="172">
      <c r="A172" t="inlineStr">
        <is>
          <t>redalert2mod</t>
        </is>
      </c>
      <c r="B172" t="inlineStr">
        <is>
          <t>naxis_interceptor</t>
        </is>
      </c>
      <c r="C172" t="inlineStr">
        <is>
          <t>Interceptor</t>
        </is>
      </c>
      <c r="D172" s="6" t="inlineStr">
        <is>
          <t>Fighter</t>
        </is>
      </c>
      <c r="E172" s="6" t="n">
        <v>10000</v>
      </c>
      <c r="F172" s="6" t="n">
        <v>160</v>
      </c>
      <c r="G172" t="inlineStr">
        <is>
          <t>Fighter</t>
        </is>
      </c>
      <c r="H172" s="6" t="n">
        <v>1</v>
      </c>
      <c r="I172" s="6" t="n">
        <v>1</v>
      </c>
      <c r="J172" s="6" t="n">
        <v>1</v>
      </c>
      <c r="K172" s="6" t="n">
        <v>0.005</v>
      </c>
      <c r="P172">
        <f>MAX(P173,P174)</f>
        <v/>
      </c>
      <c r="S172">
        <f>S173+S174</f>
        <v/>
      </c>
      <c r="T172">
        <f>(E172/100000+F172/100+(P172/1000)*J172/5+S172/200)*200*I172*H172</f>
        <v/>
      </c>
      <c r="U172">
        <f>((E172*F172/25000)+((P172/1000)*J172*S172/2.5))*I172*H172</f>
        <v/>
      </c>
      <c r="V172">
        <f>(E172*F172*(P172/1000)*J172*S172*I172*H172)/12500000</f>
        <v/>
      </c>
      <c r="W172">
        <f>(T172+U172+V172)/3</f>
        <v/>
      </c>
      <c r="X172" s="6" t="n">
        <v>200</v>
      </c>
      <c r="Y172">
        <f>IFERROR(W172-X172,"")</f>
        <v/>
      </c>
      <c r="Z172">
        <f>IFERROR(ABS(Y172)/MAX(X172,1),"")</f>
        <v/>
      </c>
      <c r="AA172">
        <f>IFERROR((X172-(((E172/100000+F172/100+S172/200)*200*I172*H172)+((E172*F172/25000)*I172*H172))/3)/(((J172/5)*200*I172*H172)+((J172*S172/2.5)*I172*H172)+((E172*F172*J172*S172*I172*H172)/12500000))/3*1000,"")</f>
        <v/>
      </c>
    </row>
    <row r="173">
      <c r="B173" s="7" t="inlineStr">
        <is>
          <t xml:space="preserve">  ↳ NaxiInterceptorGun</t>
        </is>
      </c>
      <c r="C173" s="7" t="inlineStr">
        <is>
          <t>Armament@PRIMARY</t>
        </is>
      </c>
      <c r="L173" s="6" t="n">
        <v>24000</v>
      </c>
      <c r="M173" s="6" t="n">
        <v>100</v>
      </c>
      <c r="N173" s="6" t="n">
        <v>4</v>
      </c>
      <c r="O173" s="6" t="n">
        <v>3</v>
      </c>
      <c r="P173" s="6" t="n">
        <v>6090</v>
      </c>
      <c r="Q173" s="6" t="n">
        <v>1.25</v>
      </c>
      <c r="R173">
        <f>M173+IF(N173&gt;1,N(O173)*(N173-1),0)</f>
        <v/>
      </c>
      <c r="S173">
        <f>IFERROR(L173*MAX(N173,1)/R173*IF(ISBLANK(K172),1,K172),0)</f>
        <v/>
      </c>
      <c r="AB173" s="7" t="inlineStr">
        <is>
          <t>^Warhead_CannonHE_Heavy</t>
        </is>
      </c>
    </row>
    <row r="174">
      <c r="B174" s="7" t="inlineStr">
        <is>
          <t xml:space="preserve">  ↳ NaxPlaneRockets_elite</t>
        </is>
      </c>
      <c r="C174" s="7" t="inlineStr">
        <is>
          <t>Armament@Rockets</t>
        </is>
      </c>
      <c r="L174" s="6" t="n">
        <v>20000</v>
      </c>
      <c r="M174" s="6" t="n">
        <v>100</v>
      </c>
      <c r="N174" s="6" t="n">
        <v>2</v>
      </c>
      <c r="O174" s="6" t="n">
        <v>9</v>
      </c>
      <c r="P174" s="6" t="n">
        <v>6090</v>
      </c>
      <c r="Q174" s="6" t="n">
        <v>1.125</v>
      </c>
      <c r="R174">
        <f>M174+IF(N174&gt;1,N(O174)*(N174-1),0)</f>
        <v/>
      </c>
      <c r="S174">
        <f>IFERROR(L174*MAX(N174,1)/R174*IF(ISBLANK(K172),1,K172),0)</f>
        <v/>
      </c>
      <c r="AB174" s="7" t="inlineStr">
        <is>
          <t>^Warhead_MissileAP_Medium, ^Warhead_MissileAP_Heavy</t>
        </is>
      </c>
    </row>
    <row r="175">
      <c r="A175" t="inlineStr">
        <is>
          <t>redalert2mod</t>
        </is>
      </c>
      <c r="B175" t="inlineStr">
        <is>
          <t>naxis_me262</t>
        </is>
      </c>
      <c r="C175" t="inlineStr">
        <is>
          <t>Me 262</t>
        </is>
      </c>
      <c r="D175" s="6" t="inlineStr">
        <is>
          <t>Fighter</t>
        </is>
      </c>
      <c r="E175" s="6" t="n">
        <v>75000</v>
      </c>
      <c r="F175" s="6" t="n">
        <v>155</v>
      </c>
      <c r="G175" t="inlineStr">
        <is>
          <t>Fighter</t>
        </is>
      </c>
      <c r="H175" s="6" t="n">
        <v>1</v>
      </c>
      <c r="I175" s="6" t="n">
        <v>1</v>
      </c>
      <c r="J175" s="6" t="n">
        <v>1</v>
      </c>
      <c r="K175" s="6" t="n">
        <v>0.005</v>
      </c>
      <c r="P175">
        <f>MAX(P176,P177,P178,P179)</f>
        <v/>
      </c>
      <c r="S175">
        <f>S176+S177+S178+S179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1500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NaxPlaneRockets_elite</t>
        </is>
      </c>
      <c r="C176" s="7" t="inlineStr">
        <is>
          <t>Armament@Rockets</t>
        </is>
      </c>
      <c r="L176" s="6" t="n">
        <v>20000</v>
      </c>
      <c r="M176" s="6" t="n">
        <v>100</v>
      </c>
      <c r="N176" s="6" t="n">
        <v>2</v>
      </c>
      <c r="O176" s="6" t="n">
        <v>9</v>
      </c>
      <c r="P176" s="6" t="n">
        <v>6090</v>
      </c>
      <c r="Q176" s="6" t="n">
        <v>1.125</v>
      </c>
      <c r="R176">
        <f>M176+IF(N176&gt;1,N(O176)*(N176-1),0)</f>
        <v/>
      </c>
      <c r="S176">
        <f>IFERROR(L176*MAX(N176,1)/R176*IF(ISBLANK(K175),1,K175),0)</f>
        <v/>
      </c>
      <c r="AB176" s="7" t="inlineStr">
        <is>
          <t>^Warhead_MissileAP_Medium, ^Warhead_MissileAP_Heavy</t>
        </is>
      </c>
    </row>
    <row r="177">
      <c r="B177" s="7" t="inlineStr">
        <is>
          <t xml:space="preserve">  ↳ NaxPlaneRockets_elite</t>
        </is>
      </c>
      <c r="C177" s="7" t="inlineStr">
        <is>
          <t>Armament@RocketsELITE</t>
        </is>
      </c>
      <c r="L177" s="6" t="n">
        <v>20000</v>
      </c>
      <c r="M177" s="6" t="n">
        <v>100</v>
      </c>
      <c r="N177" s="6" t="n">
        <v>2</v>
      </c>
      <c r="O177" s="6" t="n">
        <v>9</v>
      </c>
      <c r="P177" s="6" t="n">
        <v>6090</v>
      </c>
      <c r="Q177" s="6" t="n">
        <v>1.125</v>
      </c>
      <c r="R177">
        <f>M177+IF(N177&gt;1,N(O177)*(N177-1),0)</f>
        <v/>
      </c>
      <c r="S177">
        <f>IFERROR(L177*MAX(N177,1)/R177*IF(ISBLANK(K175),1,K175),0)</f>
        <v/>
      </c>
      <c r="AB177" s="7" t="inlineStr">
        <is>
          <t>^Warhead_MissileAP_Medium, ^Warhead_MissileAP_Heavy</t>
        </is>
      </c>
    </row>
    <row r="178">
      <c r="B178" s="7" t="inlineStr">
        <is>
          <t xml:space="preserve">  ↳ NaxPlanegun_elite</t>
        </is>
      </c>
      <c r="C178" s="7" t="inlineStr">
        <is>
          <t>Armament@MG</t>
        </is>
      </c>
      <c r="L178" s="6" t="n">
        <v>6000</v>
      </c>
      <c r="M178" s="6" t="n">
        <v>127</v>
      </c>
      <c r="N178" s="6" t="n">
        <v>10</v>
      </c>
      <c r="O178" s="6" t="n">
        <v>2</v>
      </c>
      <c r="P178" s="6" t="n">
        <v>6090</v>
      </c>
      <c r="Q178" s="6" t="n">
        <v>1</v>
      </c>
      <c r="R178">
        <f>M178+IF(N178&gt;1,N(O178)*(N178-1),0)</f>
        <v/>
      </c>
      <c r="S178">
        <f>IFERROR(L178*MAX(N178,1)/R178*IF(ISBLANK(K175),1,K175),0)</f>
        <v/>
      </c>
      <c r="AB178" s="7" t="inlineStr">
        <is>
          <t>^Warhead_Concussion_Light, ^Warhead_CannonHE_Heavy, ^Warhead_Bullet_Medium</t>
        </is>
      </c>
    </row>
    <row r="179">
      <c r="B179" s="7" t="inlineStr">
        <is>
          <t xml:space="preserve">  ↳ NaxPlanegun_elite</t>
        </is>
      </c>
      <c r="C179" s="7" t="inlineStr">
        <is>
          <t>Armament@ELITE</t>
        </is>
      </c>
      <c r="L179" s="6" t="n">
        <v>6000</v>
      </c>
      <c r="M179" s="6" t="n">
        <v>127</v>
      </c>
      <c r="N179" s="6" t="n">
        <v>10</v>
      </c>
      <c r="O179" s="6" t="n">
        <v>2</v>
      </c>
      <c r="P179" s="6" t="n">
        <v>6090</v>
      </c>
      <c r="Q179" s="6" t="n">
        <v>1</v>
      </c>
      <c r="R179">
        <f>M179+IF(N179&gt;1,N(O179)*(N179-1),0)</f>
        <v/>
      </c>
      <c r="S179">
        <f>IFERROR(L179*MAX(N179,1)/R179*IF(ISBLANK(K175),1,K175),0)</f>
        <v/>
      </c>
      <c r="AB179" s="7" t="inlineStr">
        <is>
          <t>^Warhead_Concussion_Light, ^Warhead_CannonHE_Heavy, ^Warhead_Bullet_Medium</t>
        </is>
      </c>
    </row>
    <row r="180">
      <c r="A180" t="inlineStr">
        <is>
          <t>redalert2mod</t>
        </is>
      </c>
      <c r="B180" t="inlineStr">
        <is>
          <t>naxis_transportzeppelin</t>
        </is>
      </c>
      <c r="C180" t="inlineStr">
        <is>
          <t>Transport Zeppelin</t>
        </is>
      </c>
      <c r="D180" s="6" t="inlineStr">
        <is>
          <t>Helicopter</t>
        </is>
      </c>
      <c r="E180" s="6" t="n">
        <v>1250000</v>
      </c>
      <c r="F180" s="6" t="n">
        <v>35</v>
      </c>
      <c r="G180" t="inlineStr">
        <is>
          <t>Helicopter</t>
        </is>
      </c>
      <c r="H180" s="6" t="n">
        <v>0.6846</v>
      </c>
      <c r="I180" s="6" t="n">
        <v>1</v>
      </c>
      <c r="J180" s="6" t="n">
        <v>1</v>
      </c>
      <c r="K180" s="6" t="n">
        <v>0.005</v>
      </c>
      <c r="P180">
        <f>MAX(P181,P182,P183,P184)</f>
        <v/>
      </c>
      <c r="S180">
        <f>S181+S182+S183+S184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(T180+U180+V180)/3</f>
        <v/>
      </c>
      <c r="X180" s="6" t="n">
        <v>5000</v>
      </c>
      <c r="Y180">
        <f>IFERROR(W180-X180,"")</f>
        <v/>
      </c>
      <c r="Z180">
        <f>IFERROR(ABS(Y180)/MAX(X180,1),"")</f>
        <v/>
      </c>
      <c r="AA180">
        <f>IFERROR((X180-(((E180/100000+F180/100+S180/200)*200*I180*H180)+((E180*F180/25000)*I180*H180))/3)/(((J180/5)*200*I180*H180)+((J180*S180/2.5)*I180*H180)+((E180*F180*J180*S180*I180*H180)/12500000))/3*1000,"")</f>
        <v/>
      </c>
    </row>
    <row r="181">
      <c r="B181" s="7" t="inlineStr">
        <is>
          <t xml:space="preserve">  ↳ NaxQuadCannon</t>
        </is>
      </c>
      <c r="C181" s="7" t="inlineStr">
        <is>
          <t>Armament</t>
        </is>
      </c>
      <c r="L181" s="6" t="n">
        <v>7000</v>
      </c>
      <c r="M181" s="6" t="n">
        <v>47</v>
      </c>
      <c r="N181" s="6" t="n">
        <v>6</v>
      </c>
      <c r="O181" s="6" t="n">
        <v>4</v>
      </c>
      <c r="P181" s="6" t="n">
        <v>5368</v>
      </c>
      <c r="Q181" s="6" t="n">
        <v>1</v>
      </c>
      <c r="R181">
        <f>M181+IF(N181&gt;1,N(O181)*(N181-1),0)</f>
        <v/>
      </c>
      <c r="S181">
        <f>IFERROR(L181*MAX(N181,1)/R181*IF(ISBLANK(K180),1,K180),0)</f>
        <v/>
      </c>
      <c r="AB181" s="7" t="inlineStr">
        <is>
          <t>^Warhead_Flak_Medium</t>
        </is>
      </c>
    </row>
    <row r="182">
      <c r="B182" s="7" t="inlineStr">
        <is>
          <t xml:space="preserve">  ↳ NaxQuadCannon_elite</t>
        </is>
      </c>
      <c r="C182" s="7" t="inlineStr">
        <is>
          <t>Armament@elite</t>
        </is>
      </c>
      <c r="L182" s="6" t="n">
        <v>7000</v>
      </c>
      <c r="M182" s="6" t="n">
        <v>47</v>
      </c>
      <c r="N182" s="6" t="n">
        <v>8</v>
      </c>
      <c r="O182" s="6" t="n">
        <v>3</v>
      </c>
      <c r="P182" s="6" t="n">
        <v>6368</v>
      </c>
      <c r="Q182" s="6" t="n">
        <v>1</v>
      </c>
      <c r="R182">
        <f>M182+IF(N182&gt;1,N(O182)*(N182-1),0)</f>
        <v/>
      </c>
      <c r="S182">
        <f>IFERROR(L182*MAX(N182,1)/R182*IF(ISBLANK(K180),1,K180),0)</f>
        <v/>
      </c>
      <c r="AB182" s="7" t="inlineStr">
        <is>
          <t>^Warhead_Flak_Medium</t>
        </is>
      </c>
    </row>
    <row r="183">
      <c r="B183" s="7" t="inlineStr">
        <is>
          <t xml:space="preserve">  ↳ NaxQuadCannon_AA</t>
        </is>
      </c>
      <c r="C183" s="7" t="inlineStr">
        <is>
          <t>Armament@AA</t>
        </is>
      </c>
      <c r="L183" s="6" t="n">
        <v>7000</v>
      </c>
      <c r="M183" s="6" t="n">
        <v>47</v>
      </c>
      <c r="N183" s="6" t="n">
        <v>6</v>
      </c>
      <c r="O183" s="6" t="n">
        <v>4</v>
      </c>
      <c r="P183" s="6" t="n">
        <v>8052</v>
      </c>
      <c r="Q183" s="6" t="n">
        <v>1</v>
      </c>
      <c r="R183">
        <f>M183+IF(N183&gt;1,N(O183)*(N183-1),0)</f>
        <v/>
      </c>
      <c r="S183">
        <f>IFERROR(L183*MAX(N183,1)/R183*IF(ISBLANK(K180),1,K180),0)</f>
        <v/>
      </c>
      <c r="AB183" s="7" t="inlineStr">
        <is>
          <t>^Warhead_Flak_Medium</t>
        </is>
      </c>
    </row>
    <row r="184">
      <c r="B184" s="7" t="inlineStr">
        <is>
          <t xml:space="preserve">  ↳ NaxQuadCannon_AA_elite</t>
        </is>
      </c>
      <c r="C184" s="7" t="inlineStr">
        <is>
          <t>Armament@eliteAA</t>
        </is>
      </c>
      <c r="L184" s="6" t="n">
        <v>7000</v>
      </c>
      <c r="M184" s="6" t="n">
        <v>47</v>
      </c>
      <c r="N184" s="6" t="n">
        <v>8</v>
      </c>
      <c r="O184" s="6" t="n">
        <v>3</v>
      </c>
      <c r="P184" s="6" t="n">
        <v>9052</v>
      </c>
      <c r="Q184" s="6" t="n">
        <v>1</v>
      </c>
      <c r="R184">
        <f>M184+IF(N184&gt;1,N(O184)*(N184-1),0)</f>
        <v/>
      </c>
      <c r="S184">
        <f>IFERROR(L184*MAX(N184,1)/R184*IF(ISBLANK(K180),1,K180),0)</f>
        <v/>
      </c>
      <c r="AB184" s="7" t="inlineStr">
        <is>
          <t>^Warhead_Flak_Medium</t>
        </is>
      </c>
    </row>
    <row r="185">
      <c r="A185" s="4" t="inlineStr">
        <is>
          <t>NAVAL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t="inlineStr">
        <is>
          <t>redalert2mod</t>
        </is>
      </c>
      <c r="B186" t="inlineStr">
        <is>
          <t>muboat.nax</t>
        </is>
      </c>
      <c r="C186" t="inlineStr">
        <is>
          <t>Heavy Missile U boat</t>
        </is>
      </c>
      <c r="D186" s="6" t="inlineStr">
        <is>
          <t>ArtilleryShip</t>
        </is>
      </c>
      <c r="E186" s="6" t="n">
        <v>200000</v>
      </c>
      <c r="F186" s="6" t="n">
        <v>60</v>
      </c>
      <c r="G186" t="inlineStr">
        <is>
          <t>Medium</t>
        </is>
      </c>
      <c r="H186" s="6" t="n">
        <v>0.4331</v>
      </c>
      <c r="I186" s="6" t="n">
        <v>1</v>
      </c>
      <c r="J186" s="6" t="n">
        <v>1</v>
      </c>
      <c r="K186" s="6" t="n">
        <v>0.02</v>
      </c>
      <c r="P186">
        <f>MAX(P187)</f>
        <v/>
      </c>
      <c r="S186">
        <f>S187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(T186+U186+V186)/3</f>
        <v/>
      </c>
      <c r="X186" s="6" t="n">
        <v>2400</v>
      </c>
      <c r="Y186">
        <f>IFERROR(W186-X186,"")</f>
        <v/>
      </c>
      <c r="Z186">
        <f>IFERROR(ABS(Y186)/MAX(X186,1),"")</f>
        <v/>
      </c>
      <c r="AA186">
        <f>IFERROR((X186-(((E186/100000+F186/100+S186/200)*200*I186*H186)+((E186*F186/25000)*I186*H186))/3)/(((J186/5)*200*I186*H186)+((J186*S186/2.5)*I186*H186)+((E186*F186*J186*S186*I186*H186)/12500000))/3*1000,"")</f>
        <v/>
      </c>
    </row>
    <row r="187">
      <c r="B187" s="7" t="inlineStr">
        <is>
          <t xml:space="preserve">  ↳ NaxiMissileUboat</t>
        </is>
      </c>
      <c r="C187" s="7" t="inlineStr">
        <is>
          <t>Armament</t>
        </is>
      </c>
      <c r="L187" s="6" t="n">
        <v>48000</v>
      </c>
      <c r="M187" s="6" t="n">
        <v>125</v>
      </c>
      <c r="N187" s="6" t="n">
        <v>2</v>
      </c>
      <c r="O187" s="6" t="n">
        <v>6</v>
      </c>
      <c r="P187" s="6" t="n">
        <v>15000</v>
      </c>
      <c r="Q187" s="6" t="n">
        <v>1</v>
      </c>
      <c r="R187">
        <f>M187+IF(N187&gt;1,N(O187)*(N187-1),0)</f>
        <v/>
      </c>
      <c r="S187">
        <f>IFERROR(L187*MAX(N187,1)/R187*IF(ISBLANK(K186),1,K186),0)</f>
        <v/>
      </c>
      <c r="AB187" s="7" t="inlineStr">
        <is>
          <t>^Warhead_Demolition_Light, ^Warhead_Demolition_Heavy, ^Warhead_MissileAP_Medium</t>
        </is>
      </c>
    </row>
    <row r="188">
      <c r="A188" t="inlineStr">
        <is>
          <t>redalert2mod</t>
        </is>
      </c>
      <c r="B188" t="inlineStr">
        <is>
          <t>nax_bitsmark</t>
        </is>
      </c>
      <c r="C188" t="inlineStr">
        <is>
          <t>Bitsmark Cruiser</t>
        </is>
      </c>
      <c r="D188" s="6" t="inlineStr">
        <is>
          <t>ArtilleryShip</t>
        </is>
      </c>
      <c r="E188" s="6" t="n">
        <v>335000</v>
      </c>
      <c r="F188" s="6" t="n">
        <v>40</v>
      </c>
      <c r="G188" t="inlineStr">
        <is>
          <t>Superheavy</t>
        </is>
      </c>
      <c r="H188" s="6" t="n">
        <v>0.4331</v>
      </c>
      <c r="I188" s="6" t="n">
        <v>1</v>
      </c>
      <c r="J188" s="6" t="n">
        <v>1</v>
      </c>
      <c r="K188" s="6" t="n"/>
      <c r="P188">
        <f>MAX(P189,P190,P191,P192)</f>
        <v/>
      </c>
      <c r="S188">
        <f>S189+S190+S191+S192</f>
        <v/>
      </c>
      <c r="T188">
        <f>(E188/100000+F188/100+(P188/1000)*J188/5+S188/200)*200*I188*H188</f>
        <v/>
      </c>
      <c r="U188">
        <f>((E188*F188/25000)+((P188/1000)*J188*S188/2.5))*I188*H188</f>
        <v/>
      </c>
      <c r="V188">
        <f>(E188*F188*(P188/1000)*J188*S188*I188*H188)/12500000</f>
        <v/>
      </c>
      <c r="W188">
        <f>(T188+U188+V188)/3</f>
        <v/>
      </c>
      <c r="X188" s="6" t="n">
        <v>4000</v>
      </c>
      <c r="Y188">
        <f>IFERROR(W188-X188,"")</f>
        <v/>
      </c>
      <c r="Z188">
        <f>IFERROR(ABS(Y188)/MAX(X188,1),"")</f>
        <v/>
      </c>
      <c r="AA188">
        <f>IFERROR((X188-(((E188/100000+F188/100+S188/200)*200*I188*H188)+((E188*F188/25000)*I188*H188))/3)/(((J188/5)*200*I188*H188)+((J188*S188/2.5)*I188*H188)+((E188*F188*J188*S188*I188*H188)/12500000))/3*1000,"")</f>
        <v/>
      </c>
    </row>
    <row r="189">
      <c r="B189" s="7" t="inlineStr">
        <is>
          <t xml:space="preserve">  ↳ 8Inch</t>
        </is>
      </c>
      <c r="C189" s="7" t="inlineStr">
        <is>
          <t>Armament@PRIMARY</t>
        </is>
      </c>
      <c r="L189" s="6" t="n">
        <v>80000</v>
      </c>
      <c r="M189" s="6" t="n">
        <v>250</v>
      </c>
      <c r="N189" s="6" t="n">
        <v>2</v>
      </c>
      <c r="O189" s="6" t="n"/>
      <c r="P189" s="6" t="n">
        <v>15000</v>
      </c>
      <c r="Q189" s="6" t="n">
        <v>1</v>
      </c>
      <c r="R189">
        <f>M189+IF(N189&gt;1,N(O189)*(N189-1),0)</f>
        <v/>
      </c>
      <c r="S189">
        <f>IFERROR(L189*MAX(N189,1)/R189*IF(ISBLANK(K188),1,K188),0)</f>
        <v/>
      </c>
      <c r="AB189" s="7" t="inlineStr">
        <is>
          <t>^Warhead_Demolition_Heavy, ^Warhead_Demolition_Light</t>
        </is>
      </c>
    </row>
    <row r="190">
      <c r="B190" s="7" t="inlineStr">
        <is>
          <t xml:space="preserve">  ↳ 8Inch</t>
        </is>
      </c>
      <c r="C190" s="7" t="inlineStr">
        <is>
          <t>Armament@SECONDARY</t>
        </is>
      </c>
      <c r="L190" s="6" t="n">
        <v>80000</v>
      </c>
      <c r="M190" s="6" t="n">
        <v>250</v>
      </c>
      <c r="N190" s="6" t="n">
        <v>2</v>
      </c>
      <c r="O190" s="6" t="n"/>
      <c r="P190" s="6" t="n">
        <v>15000</v>
      </c>
      <c r="Q190" s="6" t="n">
        <v>1</v>
      </c>
      <c r="R190">
        <f>M190+IF(N190&gt;1,N(O190)*(N190-1),0)</f>
        <v/>
      </c>
      <c r="S190">
        <f>IFERROR(L190*MAX(N190,1)/R190*IF(ISBLANK(K188),1,K188),0)</f>
        <v/>
      </c>
      <c r="AB190" s="7" t="inlineStr">
        <is>
          <t>^Warhead_Demolition_Heavy, ^Warhead_Demolition_Light</t>
        </is>
      </c>
    </row>
    <row r="191">
      <c r="B191" s="7" t="inlineStr">
        <is>
          <t xml:space="preserve">  ↳ 8Inch</t>
        </is>
      </c>
      <c r="C191" s="7" t="inlineStr">
        <is>
          <t>Armament@TERCERA</t>
        </is>
      </c>
      <c r="L191" s="6" t="n">
        <v>80000</v>
      </c>
      <c r="M191" s="6" t="n">
        <v>250</v>
      </c>
      <c r="N191" s="6" t="n">
        <v>2</v>
      </c>
      <c r="O191" s="6" t="n"/>
      <c r="P191" s="6" t="n">
        <v>15000</v>
      </c>
      <c r="Q191" s="6" t="n">
        <v>1</v>
      </c>
      <c r="R191">
        <f>M191+IF(N191&gt;1,N(O191)*(N191-1),0)</f>
        <v/>
      </c>
      <c r="S191">
        <f>IFERROR(L191*MAX(N191,1)/R191*IF(ISBLANK(K188),1,K188),0)</f>
        <v/>
      </c>
      <c r="AB191" s="7" t="inlineStr">
        <is>
          <t>^Warhead_Demolition_Heavy, ^Warhead_Demolition_Light</t>
        </is>
      </c>
    </row>
    <row r="192">
      <c r="B192" s="7" t="inlineStr">
        <is>
          <t xml:space="preserve">  ↳ 8Inch</t>
        </is>
      </c>
      <c r="C192" s="7" t="inlineStr">
        <is>
          <t>Armament@CUARTA</t>
        </is>
      </c>
      <c r="L192" s="6" t="n">
        <v>80000</v>
      </c>
      <c r="M192" s="6" t="n">
        <v>250</v>
      </c>
      <c r="N192" s="6" t="n">
        <v>2</v>
      </c>
      <c r="O192" s="6" t="n"/>
      <c r="P192" s="6" t="n">
        <v>15000</v>
      </c>
      <c r="Q192" s="6" t="n">
        <v>1</v>
      </c>
      <c r="R192">
        <f>M192+IF(N192&gt;1,N(O192)*(N192-1),0)</f>
        <v/>
      </c>
      <c r="S192">
        <f>IFERROR(L192*MAX(N192,1)/R192*IF(ISBLANK(K188),1,K188),0)</f>
        <v/>
      </c>
      <c r="AB192" s="7" t="inlineStr">
        <is>
          <t>^Warhead_Demolition_Heavy, ^Warhead_Demolition_Light</t>
        </is>
      </c>
    </row>
    <row r="193">
      <c r="A193" t="inlineStr">
        <is>
          <t>redalert2mod</t>
        </is>
      </c>
      <c r="B193" t="inlineStr">
        <is>
          <t>tuboat.nax</t>
        </is>
      </c>
      <c r="C193" t="inlineStr">
        <is>
          <t>Torpedo U boat</t>
        </is>
      </c>
      <c r="D193" s="6" t="inlineStr">
        <is>
          <t>ScoutShip</t>
        </is>
      </c>
      <c r="E193" s="6" t="n">
        <v>120000</v>
      </c>
      <c r="F193" s="6" t="n">
        <v>78</v>
      </c>
      <c r="G193" t="inlineStr">
        <is>
          <t>Heavy</t>
        </is>
      </c>
      <c r="H193" s="6" t="n">
        <v>0.9649</v>
      </c>
      <c r="I193" s="6" t="n">
        <v>1</v>
      </c>
      <c r="J193" s="6" t="n">
        <v>1</v>
      </c>
      <c r="K193" s="6" t="n"/>
      <c r="P193">
        <f>MAX(P194)</f>
        <v/>
      </c>
      <c r="S193">
        <f>S194</f>
        <v/>
      </c>
      <c r="T193">
        <f>(E193/100000+F193/100+(P193/1000)*J193/5+S193/200)*200*I193*H193</f>
        <v/>
      </c>
      <c r="U193">
        <f>((E193*F193/25000)+((P193/1000)*J193*S193/2.5))*I193*H193</f>
        <v/>
      </c>
      <c r="V193">
        <f>(E193*F193*(P193/1000)*J193*S193*I193*H193)/12500000</f>
        <v/>
      </c>
      <c r="W193">
        <f>(T193+U193+V193)/3</f>
        <v/>
      </c>
      <c r="X193" s="6" t="n">
        <v>1200</v>
      </c>
      <c r="Y193">
        <f>IFERROR(W193-X193,"")</f>
        <v/>
      </c>
      <c r="Z193">
        <f>IFERROR(ABS(Y193)/MAX(X193,1),"")</f>
        <v/>
      </c>
      <c r="AA193">
        <f>IFERROR((X193-(((E193/100000+F193/100+S193/200)*200*I193*H193)+((E193*F193/25000)*I193*H193))/3)/(((J193/5)*200*I193*H193)+((J193*S193/2.5)*I193*H193)+((E193*F193*J193*S193*I193*H193)/12500000))/3*1000,"")</f>
        <v/>
      </c>
    </row>
    <row r="194">
      <c r="B194" s="7" t="inlineStr">
        <is>
          <t xml:space="preserve">  ↳ AsianSmallTorpedo</t>
        </is>
      </c>
      <c r="C194" s="7" t="inlineStr">
        <is>
          <t>Armament@Torp</t>
        </is>
      </c>
      <c r="L194" s="6" t="n">
        <v>24000</v>
      </c>
      <c r="M194" s="6" t="n">
        <v>120</v>
      </c>
      <c r="N194" s="6" t="n">
        <v>2</v>
      </c>
      <c r="O194" s="6" t="n">
        <v>8</v>
      </c>
      <c r="P194" s="6" t="n">
        <v>12000</v>
      </c>
      <c r="Q194" s="6" t="n">
        <v>1</v>
      </c>
      <c r="R194">
        <f>M194+IF(N194&gt;1,N(O194)*(N194-1),0)</f>
        <v/>
      </c>
      <c r="S194">
        <f>IFERROR(L194*MAX(N194,1)/R194*IF(ISBLANK(K193),1,K193),0)</f>
        <v/>
      </c>
      <c r="AB194" s="7" t="inlineStr">
        <is>
          <t>^Warhead_Demolition_Light, ^Warhead_MissileAP_Heavy</t>
        </is>
      </c>
    </row>
    <row r="195">
      <c r="A195" s="4" t="inlineStr">
        <is>
          <t>BUILDINGS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t="inlineStr">
        <is>
          <t>redalert2mod</t>
        </is>
      </c>
      <c r="B196" t="inlineStr">
        <is>
          <t>naval.nax</t>
        </is>
      </c>
      <c r="C196" t="inlineStr">
        <is>
          <t>Naxis Naval Yard</t>
        </is>
      </c>
      <c r="D196" s="6" t="inlineStr">
        <is>
          <t>Building</t>
        </is>
      </c>
      <c r="E196" s="6" t="n">
        <v>600000</v>
      </c>
      <c r="F196" s="6" t="n"/>
      <c r="G196" t="inlineStr">
        <is>
          <t>Concrete</t>
        </is>
      </c>
      <c r="H196" s="6" t="n">
        <v>1</v>
      </c>
      <c r="I196" s="6" t="n">
        <v>1</v>
      </c>
      <c r="J196" s="6" t="n">
        <v>1</v>
      </c>
      <c r="K196" s="6" t="n"/>
      <c r="X196" s="6" t="n">
        <v>3000</v>
      </c>
    </row>
    <row r="197">
      <c r="A197" t="inlineStr">
        <is>
          <t>redalert2mod</t>
        </is>
      </c>
      <c r="B197" t="inlineStr">
        <is>
          <t>naxis_academy</t>
        </is>
      </c>
      <c r="C197" t="inlineStr">
        <is>
          <t>Naxis Academy</t>
        </is>
      </c>
      <c r="D197" s="6" t="inlineStr">
        <is>
          <t>Building</t>
        </is>
      </c>
      <c r="E197" s="6" t="n">
        <v>500000</v>
      </c>
      <c r="F197" s="6" t="n"/>
      <c r="G197" t="inlineStr">
        <is>
          <t>Concrete</t>
        </is>
      </c>
      <c r="H197" s="6" t="n">
        <v>0.8209</v>
      </c>
      <c r="I197" s="6" t="n">
        <v>1</v>
      </c>
      <c r="J197" s="6" t="n">
        <v>1</v>
      </c>
      <c r="K197" s="6" t="n"/>
      <c r="X197" s="6" t="n">
        <v>2000</v>
      </c>
    </row>
    <row r="198">
      <c r="A198" t="inlineStr">
        <is>
          <t>redalert2mod</t>
        </is>
      </c>
      <c r="B198" t="inlineStr">
        <is>
          <t>naxis_airfield</t>
        </is>
      </c>
      <c r="C198" t="inlineStr">
        <is>
          <t>Naxis Airfield</t>
        </is>
      </c>
      <c r="D198" s="6" t="inlineStr">
        <is>
          <t>BasicDefense</t>
        </is>
      </c>
      <c r="E198" s="6" t="n">
        <v>600000</v>
      </c>
      <c r="F198" s="6" t="n"/>
      <c r="G198" t="inlineStr">
        <is>
          <t>Concrete</t>
        </is>
      </c>
      <c r="H198" s="6" t="n">
        <v>0.8209</v>
      </c>
      <c r="I198" s="6" t="n">
        <v>1</v>
      </c>
      <c r="J198" s="6" t="n">
        <v>1</v>
      </c>
      <c r="K198" s="6" t="n"/>
      <c r="X198" s="6" t="n">
        <v>3000</v>
      </c>
    </row>
    <row r="199">
      <c r="B199" s="7" t="inlineStr">
        <is>
          <t xml:space="preserve">  ↳ NaxDefensivePlaneTarget</t>
        </is>
      </c>
      <c r="C199" s="7" t="inlineStr">
        <is>
          <t>Armament@PRIMARY</t>
        </is>
      </c>
      <c r="L199" s="6" t="n"/>
      <c r="M199" s="6" t="n">
        <v>30</v>
      </c>
      <c r="N199" s="6" t="n">
        <v>1</v>
      </c>
      <c r="O199" s="6" t="n"/>
      <c r="P199" s="6" t="n">
        <v>30000</v>
      </c>
      <c r="Q199" s="6" t="n">
        <v>1</v>
      </c>
      <c r="R199">
        <f>M199+IF(N199&gt;1,N(O199)*(N199-1),0)</f>
        <v/>
      </c>
      <c r="S199">
        <f>IFERROR(L199*MAX(N199,1)/R199*IF(ISBLANK(K198),1,K198),0)</f>
        <v/>
      </c>
      <c r="AB199" s="7" t="inlineStr"/>
    </row>
    <row r="200">
      <c r="A200" t="inlineStr">
        <is>
          <t>redalert2mod</t>
        </is>
      </c>
      <c r="B200" t="inlineStr">
        <is>
          <t>naxis_barracks</t>
        </is>
      </c>
      <c r="C200" t="inlineStr">
        <is>
          <t>Naxis Barracks</t>
        </is>
      </c>
      <c r="D200" s="6" t="inlineStr">
        <is>
          <t>Building</t>
        </is>
      </c>
      <c r="E200" s="6" t="n">
        <v>200000</v>
      </c>
      <c r="F200" s="6" t="n"/>
      <c r="G200" t="inlineStr">
        <is>
          <t>Wood</t>
        </is>
      </c>
      <c r="H200" s="6" t="n">
        <v>1</v>
      </c>
      <c r="I200" s="6" t="n">
        <v>1</v>
      </c>
      <c r="J200" s="6" t="n">
        <v>1</v>
      </c>
      <c r="K200" s="6" t="n"/>
      <c r="X200" s="6" t="n">
        <v>1000</v>
      </c>
    </row>
    <row r="201">
      <c r="A201" t="inlineStr">
        <is>
          <t>redalert2mod</t>
        </is>
      </c>
      <c r="B201" t="inlineStr">
        <is>
          <t>naxis_beerfactory</t>
        </is>
      </c>
      <c r="C201" t="inlineStr">
        <is>
          <t>Beer Factory</t>
        </is>
      </c>
      <c r="D201" s="6" t="inlineStr">
        <is>
          <t>Building</t>
        </is>
      </c>
      <c r="E201" s="6" t="n">
        <v>500000</v>
      </c>
      <c r="F201" s="6" t="n"/>
      <c r="G201" t="inlineStr">
        <is>
          <t>Concrete</t>
        </is>
      </c>
      <c r="H201" s="6" t="n">
        <v>0.6846</v>
      </c>
      <c r="I201" s="6" t="n">
        <v>1</v>
      </c>
      <c r="J201" s="6" t="n">
        <v>1</v>
      </c>
      <c r="K201" s="6" t="n"/>
      <c r="X201" s="6" t="n">
        <v>5000</v>
      </c>
    </row>
    <row r="202">
      <c r="A202" t="inlineStr">
        <is>
          <t>redalert2mod</t>
        </is>
      </c>
      <c r="B202" t="inlineStr">
        <is>
          <t>naxis_constructionyard</t>
        </is>
      </c>
      <c r="C202" t="inlineStr">
        <is>
          <t>Naxis Construction Yard</t>
        </is>
      </c>
      <c r="D202" s="6" t="inlineStr">
        <is>
          <t>Building</t>
        </is>
      </c>
      <c r="E202" s="6" t="n">
        <v>1000000</v>
      </c>
      <c r="F202" s="6" t="n"/>
      <c r="G202" t="inlineStr">
        <is>
          <t>Concrete</t>
        </is>
      </c>
      <c r="H202" s="6" t="n">
        <v>1</v>
      </c>
      <c r="I202" s="6" t="n">
        <v>1</v>
      </c>
      <c r="J202" s="6" t="n">
        <v>1</v>
      </c>
      <c r="K202" s="6" t="n"/>
      <c r="X202" s="6" t="n">
        <v>5000</v>
      </c>
    </row>
    <row r="203">
      <c r="A203" t="inlineStr">
        <is>
          <t>redalert2mod</t>
        </is>
      </c>
      <c r="B203" t="inlineStr">
        <is>
          <t>naxis_flak88</t>
        </is>
      </c>
      <c r="C203" t="inlineStr">
        <is>
          <t>Flak 88</t>
        </is>
      </c>
      <c r="D203" s="6" t="inlineStr">
        <is>
          <t>BasicDefense</t>
        </is>
      </c>
      <c r="E203" s="6" t="n">
        <v>160000</v>
      </c>
      <c r="F203" s="6" t="n"/>
      <c r="G203" t="inlineStr">
        <is>
          <t>Concrete</t>
        </is>
      </c>
      <c r="H203" s="6" t="n">
        <v>1</v>
      </c>
      <c r="I203" s="6" t="n">
        <v>0.5</v>
      </c>
      <c r="J203" s="6" t="n">
        <v>1</v>
      </c>
      <c r="K203" s="6" t="n"/>
      <c r="X203" s="6" t="n">
        <v>1200</v>
      </c>
    </row>
    <row r="204">
      <c r="B204" s="7" t="inlineStr">
        <is>
          <t xml:space="preserve">  ↳ NaxFlakAA</t>
        </is>
      </c>
      <c r="C204" s="7" t="inlineStr">
        <is>
          <t>Armament@PRIMARY</t>
        </is>
      </c>
      <c r="L204" s="6" t="n">
        <v>7000</v>
      </c>
      <c r="M204" s="6" t="n">
        <v>88</v>
      </c>
      <c r="N204" s="6" t="n">
        <v>8</v>
      </c>
      <c r="O204" s="6" t="n">
        <v>0</v>
      </c>
      <c r="P204" s="6" t="n">
        <v>13200</v>
      </c>
      <c r="Q204" s="6" t="n">
        <v>1</v>
      </c>
      <c r="R204">
        <f>M204+IF(N204&gt;1,N(O204)*(N204-1),0)</f>
        <v/>
      </c>
      <c r="S204">
        <f>IFERROR(L204*MAX(N204,1)/R204*IF(ISBLANK(K203),1,K203),0)</f>
        <v/>
      </c>
      <c r="AB204" s="7" t="inlineStr">
        <is>
          <t>^Warhead_Flak_Medium</t>
        </is>
      </c>
    </row>
    <row r="205">
      <c r="B205" s="7" t="inlineStr">
        <is>
          <t xml:space="preserve">  ↳ NaxFlakAG</t>
        </is>
      </c>
      <c r="C205" s="7" t="inlineStr">
        <is>
          <t>Armament@AA</t>
        </is>
      </c>
      <c r="L205" s="6" t="n">
        <v>7000</v>
      </c>
      <c r="M205" s="6" t="n">
        <v>88</v>
      </c>
      <c r="N205" s="6" t="n">
        <v>8</v>
      </c>
      <c r="O205" s="6" t="n">
        <v>0</v>
      </c>
      <c r="P205" s="6" t="n">
        <v>8800</v>
      </c>
      <c r="Q205" s="6" t="n">
        <v>1</v>
      </c>
      <c r="R205">
        <f>M205+IF(N205&gt;1,N(O205)*(N205-1),0)</f>
        <v/>
      </c>
      <c r="S205">
        <f>IFERROR(L205*MAX(N205,1)/R205*IF(ISBLANK(K203),1,K203),0)</f>
        <v/>
      </c>
      <c r="AB205" s="7" t="inlineStr">
        <is>
          <t>^Warhead_Flak_Medium</t>
        </is>
      </c>
    </row>
    <row r="206">
      <c r="A206" t="inlineStr">
        <is>
          <t>redalert2mod</t>
        </is>
      </c>
      <c r="B206" t="inlineStr">
        <is>
          <t>naxis_machinegunbunkeraddon</t>
        </is>
      </c>
      <c r="C206" t="inlineStr">
        <is>
          <t>Machinegun Bunker Addon</t>
        </is>
      </c>
      <c r="D206" s="6" t="inlineStr">
        <is>
          <t>Building</t>
        </is>
      </c>
      <c r="E206" s="6" t="n"/>
      <c r="F206" s="6" t="n"/>
      <c r="H206" s="6" t="n">
        <v>1</v>
      </c>
      <c r="I206" s="6" t="n">
        <v>1</v>
      </c>
      <c r="J206" s="6" t="n">
        <v>1</v>
      </c>
      <c r="K206" s="6" t="n"/>
      <c r="X206" s="6" t="n">
        <v>300</v>
      </c>
    </row>
    <row r="207">
      <c r="A207" t="inlineStr">
        <is>
          <t>redalert2mod</t>
        </is>
      </c>
      <c r="B207" t="inlineStr">
        <is>
          <t>naxis_miniflakbunkeraddon</t>
        </is>
      </c>
      <c r="C207" t="inlineStr">
        <is>
          <t>Mini Flak Bunker Addon</t>
        </is>
      </c>
      <c r="D207" s="6" t="inlineStr">
        <is>
          <t>Building</t>
        </is>
      </c>
      <c r="E207" s="6" t="n"/>
      <c r="F207" s="6" t="n"/>
      <c r="H207" s="6" t="n">
        <v>0.6846</v>
      </c>
      <c r="I207" s="6" t="n">
        <v>1</v>
      </c>
      <c r="J207" s="6" t="n">
        <v>1</v>
      </c>
      <c r="K207" s="6" t="n"/>
      <c r="X207" s="6" t="n">
        <v>500</v>
      </c>
    </row>
    <row r="208">
      <c r="A208" t="inlineStr">
        <is>
          <t>redalert2mod</t>
        </is>
      </c>
      <c r="B208" t="inlineStr">
        <is>
          <t>naxis_mortarbunkeraddon</t>
        </is>
      </c>
      <c r="C208" t="inlineStr">
        <is>
          <t>Mortar Bunker Addon</t>
        </is>
      </c>
      <c r="D208" s="6" t="inlineStr">
        <is>
          <t>Building</t>
        </is>
      </c>
      <c r="E208" s="6" t="n"/>
      <c r="F208" s="6" t="n"/>
      <c r="H208" s="6" t="n">
        <v>0.6846</v>
      </c>
      <c r="I208" s="6" t="n">
        <v>1</v>
      </c>
      <c r="J208" s="6" t="n">
        <v>1</v>
      </c>
      <c r="K208" s="6" t="n"/>
      <c r="X208" s="6" t="n">
        <v>500</v>
      </c>
    </row>
    <row r="209">
      <c r="A209" t="inlineStr">
        <is>
          <t>redalert2mod</t>
        </is>
      </c>
      <c r="B209" t="inlineStr">
        <is>
          <t>naxis_naxibunker</t>
        </is>
      </c>
      <c r="C209" t="inlineStr">
        <is>
          <t>Naxi Bunker</t>
        </is>
      </c>
      <c r="D209" s="6" t="inlineStr">
        <is>
          <t>Bunker</t>
        </is>
      </c>
      <c r="E209" s="6" t="n">
        <v>90000</v>
      </c>
      <c r="F209" s="6" t="n"/>
      <c r="G209" t="inlineStr">
        <is>
          <t>Steel</t>
        </is>
      </c>
      <c r="H209" s="6" t="n">
        <v>1</v>
      </c>
      <c r="I209" s="6" t="n">
        <v>1</v>
      </c>
      <c r="J209" s="6" t="n">
        <v>1</v>
      </c>
      <c r="K209" s="6" t="n"/>
      <c r="X209" s="6" t="n">
        <v>1000</v>
      </c>
    </row>
    <row r="210">
      <c r="B210" s="7" t="inlineStr">
        <is>
          <t xml:space="preserve">  ↳ NaxGrilleArty</t>
        </is>
      </c>
      <c r="C210" s="7" t="inlineStr">
        <is>
          <t>Armament@mortar</t>
        </is>
      </c>
      <c r="L210" s="6" t="n">
        <v>48000</v>
      </c>
      <c r="M210" s="6" t="n">
        <v>111</v>
      </c>
      <c r="N210" s="6" t="n">
        <v>1</v>
      </c>
      <c r="O210" s="6" t="n"/>
      <c r="P210" s="6" t="n">
        <v>12345</v>
      </c>
      <c r="Q210" s="6" t="n">
        <v>1</v>
      </c>
      <c r="R210">
        <f>M210+IF(N210&gt;1,N(O210)*(N210-1),0)</f>
        <v/>
      </c>
      <c r="S210">
        <f>IFERROR(L210*MAX(N210,1)/R210*IF(ISBLANK(K209),1,K209),0)</f>
        <v/>
      </c>
      <c r="AB210" s="7" t="inlineStr">
        <is>
          <t>^Warhead_CannonHE_Heavy, ^Warhead_Concussion_Medium, ^Warhead_Demolition_Light</t>
        </is>
      </c>
    </row>
    <row r="211">
      <c r="B211" s="7" t="inlineStr">
        <is>
          <t xml:space="preserve">  ↳ NaxiWW2MachinegunTop</t>
        </is>
      </c>
      <c r="C211" s="7" t="inlineStr">
        <is>
          <t>Armament@mg</t>
        </is>
      </c>
      <c r="L211" s="6" t="n">
        <v>8000</v>
      </c>
      <c r="M211" s="6" t="n">
        <v>60</v>
      </c>
      <c r="N211" s="6" t="n">
        <v>6</v>
      </c>
      <c r="O211" s="6" t="n">
        <v>4</v>
      </c>
      <c r="P211" s="6" t="n">
        <v>7555</v>
      </c>
      <c r="Q211" s="6" t="n">
        <v>0.875</v>
      </c>
      <c r="R211">
        <f>M211+IF(N211&gt;1,N(O211)*(N211-1),0)</f>
        <v/>
      </c>
      <c r="S211">
        <f>IFERROR(L211*MAX(N211,1)/R211*IF(ISBLANK(K209),1,K209),0)</f>
        <v/>
      </c>
      <c r="AB211" s="7" t="inlineStr">
        <is>
          <t>^Warhead_Bullet_Light, ^Warhead_Bullet_Medium</t>
        </is>
      </c>
    </row>
    <row r="212">
      <c r="B212" s="7" t="inlineStr">
        <is>
          <t xml:space="preserve">  ↳ NaxQuadCannon_AA_elite</t>
        </is>
      </c>
      <c r="C212" s="7" t="inlineStr">
        <is>
          <t>Armament@aa</t>
        </is>
      </c>
      <c r="L212" s="6" t="n">
        <v>7000</v>
      </c>
      <c r="M212" s="6" t="n">
        <v>47</v>
      </c>
      <c r="N212" s="6" t="n">
        <v>8</v>
      </c>
      <c r="O212" s="6" t="n">
        <v>3</v>
      </c>
      <c r="P212" s="6" t="n">
        <v>9052</v>
      </c>
      <c r="Q212" s="6" t="n">
        <v>1</v>
      </c>
      <c r="R212">
        <f>M212+IF(N212&gt;1,N(O212)*(N212-1),0)</f>
        <v/>
      </c>
      <c r="S212">
        <f>IFERROR(L212*MAX(N212,1)/R212*IF(ISBLANK(K209),1,K209),0)</f>
        <v/>
      </c>
      <c r="AB212" s="7" t="inlineStr">
        <is>
          <t>^Warhead_Flak_Medium</t>
        </is>
      </c>
    </row>
    <row r="213">
      <c r="A213" t="inlineStr">
        <is>
          <t>redalert2mod</t>
        </is>
      </c>
      <c r="B213" t="inlineStr">
        <is>
          <t>naxis_naxirocketsilo</t>
        </is>
      </c>
      <c r="C213" t="inlineStr">
        <is>
          <t>Naxi Rocket Silo</t>
        </is>
      </c>
      <c r="D213" s="6" t="inlineStr">
        <is>
          <t>Building</t>
        </is>
      </c>
      <c r="E213" s="6" t="n">
        <v>1000000</v>
      </c>
      <c r="F213" s="6" t="n"/>
      <c r="G213" t="inlineStr">
        <is>
          <t>Concrete</t>
        </is>
      </c>
      <c r="H213" s="6" t="n">
        <v>0.5482</v>
      </c>
      <c r="I213" s="6" t="n">
        <v>1</v>
      </c>
      <c r="J213" s="6" t="n">
        <v>1</v>
      </c>
      <c r="K213" s="6" t="n"/>
      <c r="X213" s="6" t="n">
        <v>10000</v>
      </c>
    </row>
    <row r="214">
      <c r="A214" t="inlineStr">
        <is>
          <t>redalert2mod</t>
        </is>
      </c>
      <c r="B214" t="inlineStr">
        <is>
          <t>naxis_naxpetrolplant</t>
        </is>
      </c>
      <c r="C214" t="inlineStr">
        <is>
          <t>Nax Petrol Plant</t>
        </is>
      </c>
      <c r="D214" s="6" t="inlineStr">
        <is>
          <t>Building</t>
        </is>
      </c>
      <c r="E214" s="6" t="n">
        <v>175000</v>
      </c>
      <c r="F214" s="6" t="n"/>
      <c r="G214" t="inlineStr">
        <is>
          <t>Wood</t>
        </is>
      </c>
      <c r="H214" s="6" t="n">
        <v>1</v>
      </c>
      <c r="I214" s="6" t="n">
        <v>1</v>
      </c>
      <c r="J214" s="6" t="n">
        <v>1</v>
      </c>
      <c r="K214" s="6" t="n"/>
      <c r="X214" s="6" t="n">
        <v>800</v>
      </c>
    </row>
    <row r="215">
      <c r="A215" t="inlineStr">
        <is>
          <t>redalert2mod</t>
        </is>
      </c>
      <c r="B215" t="inlineStr">
        <is>
          <t>naxis_orerefinery</t>
        </is>
      </c>
      <c r="C215" t="inlineStr">
        <is>
          <t>Naxis Ore Refinery</t>
        </is>
      </c>
      <c r="D215" s="6" t="inlineStr">
        <is>
          <t>Building</t>
        </is>
      </c>
      <c r="E215" s="6" t="n">
        <v>300000</v>
      </c>
      <c r="F215" s="6" t="n"/>
      <c r="G215" t="inlineStr">
        <is>
          <t>Concrete</t>
        </is>
      </c>
      <c r="H215" s="6" t="n">
        <v>1</v>
      </c>
      <c r="I215" s="6" t="n">
        <v>1</v>
      </c>
      <c r="J215" s="6" t="n">
        <v>1</v>
      </c>
      <c r="K215" s="6" t="n"/>
      <c r="X215" s="6" t="n">
        <v>3000</v>
      </c>
    </row>
    <row r="216">
      <c r="A216" t="inlineStr">
        <is>
          <t>redalert2mod</t>
        </is>
      </c>
      <c r="B216" t="inlineStr">
        <is>
          <t>naxis_radar</t>
        </is>
      </c>
      <c r="C216" t="inlineStr">
        <is>
          <t>Naxis Radar</t>
        </is>
      </c>
      <c r="D216" s="6" t="inlineStr">
        <is>
          <t>Building</t>
        </is>
      </c>
      <c r="E216" s="6" t="n">
        <v>250000</v>
      </c>
      <c r="F216" s="6" t="n"/>
      <c r="G216" t="inlineStr">
        <is>
          <t>Wood</t>
        </is>
      </c>
      <c r="H216" s="6" t="n">
        <v>1</v>
      </c>
      <c r="I216" s="6" t="n">
        <v>1</v>
      </c>
      <c r="J216" s="6" t="n">
        <v>1</v>
      </c>
      <c r="K216" s="6" t="n"/>
      <c r="X216" s="6" t="n">
        <v>2500</v>
      </c>
    </row>
    <row r="217">
      <c r="A217" t="inlineStr">
        <is>
          <t>redalert2mod</t>
        </is>
      </c>
      <c r="B217" t="inlineStr">
        <is>
          <t>naxis_rifletower</t>
        </is>
      </c>
      <c r="C217" t="inlineStr">
        <is>
          <t>Rifle Tower</t>
        </is>
      </c>
      <c r="D217" s="6" t="inlineStr">
        <is>
          <t>BasicDefense</t>
        </is>
      </c>
      <c r="E217" s="6" t="n">
        <v>78000</v>
      </c>
      <c r="F217" s="6" t="n"/>
      <c r="G217" t="inlineStr">
        <is>
          <t>Concrete</t>
        </is>
      </c>
      <c r="H217" s="6" t="n">
        <v>1</v>
      </c>
      <c r="I217" s="6" t="n">
        <v>1</v>
      </c>
      <c r="J217" s="6" t="n">
        <v>1</v>
      </c>
      <c r="K217" s="6" t="n"/>
      <c r="X217" s="6" t="n">
        <v>650</v>
      </c>
    </row>
    <row r="218">
      <c r="B218" s="7" t="inlineStr">
        <is>
          <t xml:space="preserve">  ↳ NaxiRifleT</t>
        </is>
      </c>
      <c r="C218" s="7" t="inlineStr">
        <is>
          <t>Armament</t>
        </is>
      </c>
      <c r="L218" s="6" t="n">
        <v>32000</v>
      </c>
      <c r="M218" s="6" t="n">
        <v>50</v>
      </c>
      <c r="N218" s="6" t="n">
        <v>2</v>
      </c>
      <c r="O218" s="6" t="n">
        <v>5</v>
      </c>
      <c r="P218" s="6" t="n">
        <v>8100</v>
      </c>
      <c r="Q218" s="6" t="n">
        <v>0.75</v>
      </c>
      <c r="R218">
        <f>M218+IF(N218&gt;1,N(O218)*(N218-1),0)</f>
        <v/>
      </c>
      <c r="S218">
        <f>IFERROR(L218*MAX(N218,1)/R218*IF(ISBLANK(K217),1,K217),0)</f>
        <v/>
      </c>
      <c r="AB218" s="7" t="inlineStr">
        <is>
          <t>^Warhead_Bullet_Light</t>
        </is>
      </c>
    </row>
    <row r="219">
      <c r="A219" t="inlineStr">
        <is>
          <t>redalert2mod</t>
        </is>
      </c>
      <c r="B219" t="inlineStr">
        <is>
          <t>naxis_sausagefactory</t>
        </is>
      </c>
      <c r="C219" t="inlineStr">
        <is>
          <t>Sausage Factory</t>
        </is>
      </c>
      <c r="D219" s="6" t="inlineStr">
        <is>
          <t>Building</t>
        </is>
      </c>
      <c r="E219" s="6" t="n">
        <v>500000</v>
      </c>
      <c r="F219" s="6" t="n"/>
      <c r="G219" t="inlineStr">
        <is>
          <t>Concrete</t>
        </is>
      </c>
      <c r="H219" s="6" t="n">
        <v>0.6846</v>
      </c>
      <c r="I219" s="6" t="n">
        <v>1</v>
      </c>
      <c r="J219" s="6" t="n">
        <v>1</v>
      </c>
      <c r="K219" s="6" t="n"/>
      <c r="X219" s="6" t="n">
        <v>5000</v>
      </c>
    </row>
    <row r="220">
      <c r="A220" t="inlineStr">
        <is>
          <t>redalert2mod</t>
        </is>
      </c>
      <c r="B220" t="inlineStr">
        <is>
          <t>naxis_techcenter</t>
        </is>
      </c>
      <c r="C220" t="inlineStr">
        <is>
          <t>Naxis Tech Center</t>
        </is>
      </c>
      <c r="D220" s="6" t="inlineStr">
        <is>
          <t>Building</t>
        </is>
      </c>
      <c r="E220" s="6" t="n">
        <v>500000</v>
      </c>
      <c r="F220" s="6" t="n"/>
      <c r="G220" t="inlineStr">
        <is>
          <t>Concrete</t>
        </is>
      </c>
      <c r="H220" s="6" t="n">
        <v>0.8209</v>
      </c>
      <c r="I220" s="6" t="n">
        <v>1</v>
      </c>
      <c r="J220" s="6" t="n">
        <v>1</v>
      </c>
      <c r="K220" s="6" t="n"/>
      <c r="X220" s="6" t="n">
        <v>5000</v>
      </c>
    </row>
    <row r="221">
      <c r="A221" t="inlineStr">
        <is>
          <t>redalert2mod</t>
        </is>
      </c>
      <c r="B221" t="inlineStr">
        <is>
          <t>naxis_warfactory</t>
        </is>
      </c>
      <c r="C221" t="inlineStr">
        <is>
          <t>Naxis War Factory</t>
        </is>
      </c>
      <c r="D221" s="6" t="inlineStr">
        <is>
          <t>Building</t>
        </is>
      </c>
      <c r="E221" s="6" t="n">
        <v>400000</v>
      </c>
      <c r="F221" s="6" t="n"/>
      <c r="G221" t="inlineStr">
        <is>
          <t>Concrete</t>
        </is>
      </c>
      <c r="H221" s="6" t="n">
        <v>1</v>
      </c>
      <c r="I221" s="6" t="n">
        <v>1</v>
      </c>
      <c r="J221" s="6" t="n">
        <v>1</v>
      </c>
      <c r="K221" s="6" t="n"/>
      <c r="X221" s="6" t="n">
        <v>2000</v>
      </c>
    </row>
    <row r="222">
      <c r="A222" s="4" t="inlineStr">
        <is>
          <t>UPGRADES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t="inlineStr">
        <is>
          <t>redalert2mod</t>
        </is>
      </c>
      <c r="B223" t="inlineStr">
        <is>
          <t>conyard_infiltrated.nax</t>
        </is>
      </c>
      <c r="C223" t="inlineStr">
        <is>
          <t>Stolen Naxis Buildings Plans</t>
        </is>
      </c>
      <c r="D223" s="6" t="inlineStr">
        <is>
          <t>ResearchedUpgrade</t>
        </is>
      </c>
      <c r="E223" s="6" t="n"/>
      <c r="F223" s="6" t="n"/>
      <c r="H223" s="6" t="n">
        <v>1</v>
      </c>
      <c r="I223" s="6" t="n">
        <v>1</v>
      </c>
      <c r="J223" s="6" t="n">
        <v>1</v>
      </c>
      <c r="K223" s="6" t="n"/>
      <c r="X223" s="6" t="n"/>
    </row>
    <row r="224">
      <c r="A224" t="inlineStr">
        <is>
          <t>redalert2mod</t>
        </is>
      </c>
      <c r="B224" t="inlineStr">
        <is>
          <t>naxis_promotion_hortenbomberstrike</t>
        </is>
      </c>
      <c r="C224" t="inlineStr">
        <is>
          <t>Horten Bomber Strike</t>
        </is>
      </c>
      <c r="D224" s="6" t="inlineStr">
        <is>
          <t>PromotionUpgrade</t>
        </is>
      </c>
      <c r="E224" s="6" t="n"/>
      <c r="F224" s="6" t="n"/>
      <c r="H224" s="6" t="n">
        <v>1</v>
      </c>
      <c r="I224" s="6" t="n">
        <v>1</v>
      </c>
      <c r="J224" s="6" t="n">
        <v>1</v>
      </c>
      <c r="K224" s="6" t="n"/>
      <c r="X224" s="6" t="n"/>
    </row>
    <row r="225">
      <c r="A225" t="inlineStr">
        <is>
          <t>redalert2mod</t>
        </is>
      </c>
      <c r="B225" t="inlineStr">
        <is>
          <t>naxis_promotion_hortenbomberstrike_2</t>
        </is>
      </c>
      <c r="C225" t="inlineStr">
        <is>
          <t>Horten Bomber Strike</t>
        </is>
      </c>
      <c r="D225" s="6" t="inlineStr">
        <is>
          <t>PromotionUpgrade</t>
        </is>
      </c>
      <c r="E225" s="6" t="n"/>
      <c r="F225" s="6" t="n"/>
      <c r="H225" s="6" t="n">
        <v>1</v>
      </c>
      <c r="I225" s="6" t="n">
        <v>1</v>
      </c>
      <c r="J225" s="6" t="n">
        <v>1</v>
      </c>
      <c r="K225" s="6" t="n"/>
      <c r="X225" s="6" t="n"/>
    </row>
    <row r="226">
      <c r="A226" t="inlineStr">
        <is>
          <t>redalert2mod</t>
        </is>
      </c>
      <c r="B226" t="inlineStr">
        <is>
          <t>naxis_upgrade_atlantikwall</t>
        </is>
      </c>
      <c r="C226" t="inlineStr">
        <is>
          <t>Atlantikwall</t>
        </is>
      </c>
      <c r="D226" s="6" t="inlineStr">
        <is>
          <t>ResearchedUpgrade</t>
        </is>
      </c>
      <c r="E226" s="6" t="n"/>
      <c r="F226" s="6" t="n"/>
      <c r="H226" s="6" t="n">
        <v>0.8209</v>
      </c>
      <c r="I226" s="6" t="n">
        <v>1</v>
      </c>
      <c r="J226" s="6" t="n">
        <v>1</v>
      </c>
      <c r="K226" s="6" t="n"/>
      <c r="X226" s="6" t="n">
        <v>5000</v>
      </c>
    </row>
    <row r="227">
      <c r="A227" t="inlineStr">
        <is>
          <t>redalert2mod</t>
        </is>
      </c>
      <c r="B227" t="inlineStr">
        <is>
          <t>naxis_upgrade_blitzkrieg</t>
        </is>
      </c>
      <c r="C227" t="inlineStr">
        <is>
          <t>Blitzkrieg</t>
        </is>
      </c>
      <c r="D227" s="6" t="inlineStr">
        <is>
          <t>ResearchedUpgrade</t>
        </is>
      </c>
      <c r="E227" s="6" t="n"/>
      <c r="F227" s="6" t="n"/>
      <c r="H227" s="6" t="n">
        <v>0.5482</v>
      </c>
      <c r="I227" s="6" t="n">
        <v>1</v>
      </c>
      <c r="J227" s="6" t="n">
        <v>1</v>
      </c>
      <c r="K227" s="6" t="n"/>
      <c r="X227" s="6" t="n">
        <v>10000</v>
      </c>
    </row>
    <row r="228">
      <c r="A228" t="inlineStr">
        <is>
          <t>redalert2mod</t>
        </is>
      </c>
      <c r="B228" t="inlineStr">
        <is>
          <t>naxis_upgrade_massopticsintegration</t>
        </is>
      </c>
      <c r="C228" t="inlineStr">
        <is>
          <t>Mass Optics Integration</t>
        </is>
      </c>
      <c r="D228" s="6" t="inlineStr">
        <is>
          <t>ResearchedUpgrade</t>
        </is>
      </c>
      <c r="E228" s="6" t="n"/>
      <c r="F228" s="6" t="n"/>
      <c r="H228" s="6" t="n">
        <v>0.5482</v>
      </c>
      <c r="I228" s="6" t="n">
        <v>1</v>
      </c>
      <c r="J228" s="6" t="n">
        <v>1</v>
      </c>
      <c r="K228" s="6" t="n"/>
      <c r="X228" s="6" t="n">
        <v>5000</v>
      </c>
    </row>
    <row r="229">
      <c r="A229" t="inlineStr">
        <is>
          <t>redalert2mod</t>
        </is>
      </c>
      <c r="B229" t="inlineStr">
        <is>
          <t>naxis_upgrade_me262</t>
        </is>
      </c>
      <c r="C229" t="inlineStr">
        <is>
          <t>Unlock Me 262</t>
        </is>
      </c>
      <c r="D229" s="6" t="inlineStr">
        <is>
          <t>UnitUpgrade</t>
        </is>
      </c>
      <c r="E229" s="6" t="n"/>
      <c r="F229" s="6" t="n"/>
      <c r="H229" s="6" t="n">
        <v>0.8209</v>
      </c>
      <c r="I229" s="6" t="n">
        <v>1</v>
      </c>
      <c r="J229" s="6" t="n">
        <v>1</v>
      </c>
      <c r="K229" s="6" t="n"/>
      <c r="X229" s="6" t="n">
        <v>2500</v>
      </c>
    </row>
    <row r="230">
      <c r="A230" t="inlineStr">
        <is>
          <t>redalert2mod</t>
        </is>
      </c>
      <c r="B230" t="inlineStr">
        <is>
          <t>naxis_upgrade_ostfrontexperience</t>
        </is>
      </c>
      <c r="C230" t="inlineStr">
        <is>
          <t>Ostfront Experience</t>
        </is>
      </c>
      <c r="D230" s="6" t="inlineStr">
        <is>
          <t>ResearchedUpgrade</t>
        </is>
      </c>
      <c r="E230" s="6" t="n"/>
      <c r="F230" s="6" t="n"/>
      <c r="H230" s="6" t="n">
        <v>0.8209</v>
      </c>
      <c r="I230" s="6" t="n">
        <v>1</v>
      </c>
      <c r="J230" s="6" t="n">
        <v>1</v>
      </c>
      <c r="K230" s="6" t="n"/>
      <c r="X230" s="6" t="n">
        <v>5000</v>
      </c>
    </row>
    <row r="231">
      <c r="A231" t="inlineStr">
        <is>
          <t>redalert2mod</t>
        </is>
      </c>
      <c r="B231" t="inlineStr">
        <is>
          <t>naxis_upgrade_tankarsenalrenovation</t>
        </is>
      </c>
      <c r="C231" t="inlineStr">
        <is>
          <t>Tank Arsenal Renovation</t>
        </is>
      </c>
      <c r="D231" s="6" t="inlineStr">
        <is>
          <t>ResearchedUpgrade</t>
        </is>
      </c>
      <c r="E231" s="6" t="n"/>
      <c r="F231" s="6" t="n"/>
      <c r="H231" s="6" t="n">
        <v>0.5482</v>
      </c>
      <c r="I231" s="6" t="n">
        <v>1</v>
      </c>
      <c r="J231" s="6" t="n">
        <v>1</v>
      </c>
      <c r="K231" s="6" t="n"/>
      <c r="X231" s="6" t="n">
        <v>5000</v>
      </c>
    </row>
    <row r="232">
      <c r="A232" t="inlineStr">
        <is>
          <t>redalert2mod</t>
        </is>
      </c>
      <c r="B232" t="inlineStr">
        <is>
          <t>naxis_upgrade_wunderwaffe</t>
        </is>
      </c>
      <c r="C232" t="inlineStr">
        <is>
          <t>Wunderwaffe</t>
        </is>
      </c>
      <c r="D232" s="6" t="inlineStr">
        <is>
          <t>ResearchedUpgrade</t>
        </is>
      </c>
      <c r="E232" s="6" t="n"/>
      <c r="F232" s="6" t="n"/>
      <c r="H232" s="6" t="n">
        <v>0.5482</v>
      </c>
      <c r="I232" s="6" t="n">
        <v>1</v>
      </c>
      <c r="J232" s="6" t="n">
        <v>1</v>
      </c>
      <c r="K232" s="6" t="n"/>
      <c r="X232" s="6" t="n">
        <v>5000</v>
      </c>
    </row>
    <row r="233">
      <c r="A233" t="inlineStr">
        <is>
          <t>redalert2mod</t>
        </is>
      </c>
      <c r="B233" t="inlineStr">
        <is>
          <t>up_resurrection.nax</t>
        </is>
      </c>
      <c r="C233" t="inlineStr">
        <is>
          <t>Resurrection</t>
        </is>
      </c>
      <c r="D233" s="6" t="inlineStr">
        <is>
          <t>ResearchedUpgrade</t>
        </is>
      </c>
      <c r="E233" s="6" t="n"/>
      <c r="F233" s="6" t="n"/>
      <c r="H233" s="6" t="n">
        <v>1</v>
      </c>
      <c r="I233" s="6" t="n">
        <v>1</v>
      </c>
      <c r="J233" s="6" t="n">
        <v>1</v>
      </c>
      <c r="K233" s="6" t="n"/>
      <c r="X233" s="6" t="n">
        <v>7500</v>
      </c>
    </row>
    <row r="234">
      <c r="A234" t="inlineStr">
        <is>
          <t>redalert2mod</t>
        </is>
      </c>
      <c r="B234" t="inlineStr">
        <is>
          <t>up_team_blitzkrieg.nax</t>
        </is>
      </c>
      <c r="C234" t="inlineStr">
        <is>
          <t>Blitzkrieg</t>
        </is>
      </c>
      <c r="D234" s="6" t="inlineStr">
        <is>
          <t>ResearchedUpgrade</t>
        </is>
      </c>
      <c r="E234" s="6" t="n"/>
      <c r="F234" s="6" t="n"/>
      <c r="H234" s="6" t="n">
        <v>1</v>
      </c>
      <c r="I234" s="6" t="n">
        <v>1</v>
      </c>
      <c r="J234" s="6" t="n">
        <v>1</v>
      </c>
      <c r="K234" s="6" t="n"/>
      <c r="X234" s="6" t="n"/>
    </row>
    <row r="235">
      <c r="A235" s="4" t="inlineStr">
        <is>
          <t>PROMOTIONS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t="inlineStr">
        <is>
          <t>redalert2mod</t>
        </is>
      </c>
      <c r="B236" t="inlineStr">
        <is>
          <t>naxis_promotion_betterparatanks</t>
        </is>
      </c>
      <c r="C236" t="inlineStr">
        <is>
          <t>Better Paratanks</t>
        </is>
      </c>
      <c r="D236" s="6" t="inlineStr">
        <is>
          <t>PromotionUpgrade</t>
        </is>
      </c>
      <c r="E236" s="6" t="n"/>
      <c r="F236" s="6" t="n"/>
      <c r="H236" s="6" t="n">
        <v>1</v>
      </c>
      <c r="I236" s="6" t="n">
        <v>1</v>
      </c>
      <c r="J236" s="6" t="n">
        <v>1</v>
      </c>
      <c r="K236" s="6" t="n"/>
      <c r="X236" s="6" t="n"/>
    </row>
    <row r="237">
      <c r="A237" t="inlineStr">
        <is>
          <t>redalert2mod</t>
        </is>
      </c>
      <c r="B237" t="inlineStr">
        <is>
          <t>naxis_promotion_bossestanks</t>
        </is>
      </c>
      <c r="C237" t="inlineStr">
        <is>
          <t>Bosses Tanks</t>
        </is>
      </c>
      <c r="D237" s="6" t="inlineStr">
        <is>
          <t>PromotionUpgrade</t>
        </is>
      </c>
      <c r="E237" s="6" t="n"/>
      <c r="F237" s="6" t="n"/>
      <c r="H237" s="6" t="n">
        <v>1</v>
      </c>
      <c r="I237" s="6" t="n">
        <v>1</v>
      </c>
      <c r="J237" s="6" t="n">
        <v>1</v>
      </c>
      <c r="K237" s="6" t="n"/>
      <c r="X237" s="6" t="n"/>
    </row>
    <row r="238">
      <c r="A238" t="inlineStr">
        <is>
          <t>redalert2mod</t>
        </is>
      </c>
      <c r="B238" t="inlineStr">
        <is>
          <t>naxis_promotion_donnerschlagmodelandotheradvancedmissiles</t>
        </is>
      </c>
      <c r="C238" t="inlineStr">
        <is>
          <t>Donnerschlag Model and other advanced Missiles</t>
        </is>
      </c>
      <c r="D238" s="6" t="inlineStr">
        <is>
          <t>PromotionUpgrade</t>
        </is>
      </c>
      <c r="E238" s="6" t="n"/>
      <c r="F238" s="6" t="n"/>
      <c r="H238" s="6" t="n">
        <v>1</v>
      </c>
      <c r="I238" s="6" t="n">
        <v>1</v>
      </c>
      <c r="J238" s="6" t="n">
        <v>1</v>
      </c>
      <c r="K238" s="6" t="n"/>
      <c r="X238" s="6" t="n"/>
    </row>
    <row r="239">
      <c r="A239" t="inlineStr">
        <is>
          <t>redalert2mod</t>
        </is>
      </c>
      <c r="B239" t="inlineStr">
        <is>
          <t>naxis_promotion_generationiitanks</t>
        </is>
      </c>
      <c r="C239" t="inlineStr">
        <is>
          <t>Generation II tanks</t>
        </is>
      </c>
      <c r="D239" s="6" t="inlineStr">
        <is>
          <t>PromotionUpgrade</t>
        </is>
      </c>
      <c r="E239" s="6" t="n"/>
      <c r="F239" s="6" t="n"/>
      <c r="H239" s="6" t="n">
        <v>1</v>
      </c>
      <c r="I239" s="6" t="n">
        <v>1</v>
      </c>
      <c r="J239" s="6" t="n">
        <v>1</v>
      </c>
      <c r="K239" s="6" t="n"/>
      <c r="X239" s="6" t="n"/>
    </row>
    <row r="240">
      <c r="A240" t="inlineStr">
        <is>
          <t>redalert2mod</t>
        </is>
      </c>
      <c r="B240" t="inlineStr">
        <is>
          <t>naxis_promotion_heavyvehicles</t>
        </is>
      </c>
      <c r="C240" t="inlineStr">
        <is>
          <t>Heavy Vehicles</t>
        </is>
      </c>
      <c r="D240" s="6" t="inlineStr">
        <is>
          <t>PromotionUpgrade</t>
        </is>
      </c>
      <c r="E240" s="6" t="n"/>
      <c r="F240" s="6" t="n"/>
      <c r="H240" s="6" t="n">
        <v>1</v>
      </c>
      <c r="I240" s="6" t="n">
        <v>1</v>
      </c>
      <c r="J240" s="6" t="n">
        <v>1</v>
      </c>
      <c r="K240" s="6" t="n"/>
      <c r="X240" s="6" t="n"/>
    </row>
    <row r="241">
      <c r="A241" t="inlineStr">
        <is>
          <t>redalert2mod</t>
        </is>
      </c>
      <c r="B241" t="inlineStr">
        <is>
          <t>naxis_promotion_partisans</t>
        </is>
      </c>
      <c r="C241" t="inlineStr">
        <is>
          <t>Partisans</t>
        </is>
      </c>
      <c r="D241" s="6" t="inlineStr">
        <is>
          <t>PromotionUpgrade</t>
        </is>
      </c>
      <c r="E241" s="6" t="n"/>
      <c r="F241" s="6" t="n"/>
      <c r="H241" s="6" t="n">
        <v>1</v>
      </c>
      <c r="I241" s="6" t="n">
        <v>1</v>
      </c>
      <c r="J241" s="6" t="n">
        <v>1</v>
      </c>
      <c r="K241" s="6" t="n"/>
      <c r="X241" s="6" t="n"/>
    </row>
    <row r="242">
      <c r="A242" t="inlineStr">
        <is>
          <t>redalert2mod</t>
        </is>
      </c>
      <c r="B242" t="inlineStr">
        <is>
          <t>naxis_promotion_sarubiamodel</t>
        </is>
      </c>
      <c r="C242" t="inlineStr">
        <is>
          <t>Sarubia Model</t>
        </is>
      </c>
      <c r="D242" s="6" t="inlineStr">
        <is>
          <t>PromotionUpgrade</t>
        </is>
      </c>
      <c r="E242" s="6" t="n"/>
      <c r="F242" s="6" t="n"/>
      <c r="H242" s="6" t="n">
        <v>1</v>
      </c>
      <c r="I242" s="6" t="n">
        <v>1</v>
      </c>
      <c r="J242" s="6" t="n">
        <v>1</v>
      </c>
      <c r="K242" s="6" t="n"/>
      <c r="X242" s="6" t="n"/>
    </row>
    <row r="243">
      <c r="A243" t="inlineStr">
        <is>
          <t>redalert2mod</t>
        </is>
      </c>
      <c r="B243" t="inlineStr">
        <is>
          <t>naxis_promotion_shoekarnandking</t>
        </is>
      </c>
      <c r="C243" t="inlineStr">
        <is>
          <t>Shoe, Karn, and King</t>
        </is>
      </c>
      <c r="D243" s="6" t="inlineStr">
        <is>
          <t>PromotionUpgrade</t>
        </is>
      </c>
      <c r="E243" s="6" t="n"/>
      <c r="F243" s="6" t="n"/>
      <c r="H243" s="6" t="n">
        <v>1</v>
      </c>
      <c r="I243" s="6" t="n">
        <v>1</v>
      </c>
      <c r="J243" s="6" t="n">
        <v>1</v>
      </c>
      <c r="K243" s="6" t="n"/>
      <c r="X243" s="6" t="n"/>
    </row>
    <row r="244">
      <c r="A244" t="inlineStr">
        <is>
          <t>redalert2mod</t>
        </is>
      </c>
      <c r="B244" t="inlineStr">
        <is>
          <t>naxis_promotion_shrek</t>
        </is>
      </c>
      <c r="C244" t="inlineStr">
        <is>
          <t>Shrek</t>
        </is>
      </c>
      <c r="D244" s="6" t="inlineStr">
        <is>
          <t>PromotionUpgrade</t>
        </is>
      </c>
      <c r="E244" s="6" t="n"/>
      <c r="F244" s="6" t="n"/>
      <c r="H244" s="6" t="n">
        <v>1</v>
      </c>
      <c r="I244" s="6" t="n">
        <v>1</v>
      </c>
      <c r="J244" s="6" t="n">
        <v>1</v>
      </c>
      <c r="K244" s="6" t="n"/>
      <c r="X244" s="6" t="n"/>
    </row>
    <row r="245">
      <c r="A245" t="inlineStr">
        <is>
          <t>redalert2mod</t>
        </is>
      </c>
      <c r="B245" t="inlineStr">
        <is>
          <t>naxis_promotion_theratte</t>
        </is>
      </c>
      <c r="C245" t="inlineStr">
        <is>
          <t>The Ratte</t>
        </is>
      </c>
      <c r="D245" s="6" t="inlineStr">
        <is>
          <t>PromotionUpgrade</t>
        </is>
      </c>
      <c r="E245" s="6" t="n"/>
      <c r="F245" s="6" t="n"/>
      <c r="H245" s="6" t="n">
        <v>1</v>
      </c>
      <c r="I245" s="6" t="n">
        <v>1</v>
      </c>
      <c r="J245" s="6" t="n">
        <v>1</v>
      </c>
      <c r="K245" s="6" t="n"/>
      <c r="X24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24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hole.nax2</t>
        </is>
      </c>
      <c r="C3" t="inlineStr">
        <is>
          <t>Black Hole</t>
        </is>
      </c>
      <c r="D3" s="6" t="inlineStr">
        <is>
          <t>Infantry</t>
        </is>
      </c>
      <c r="E3" s="6" t="n">
        <v>2400</v>
      </c>
      <c r="F3" s="6" t="n">
        <v>5</v>
      </c>
      <c r="G3" t="inlineStr">
        <is>
          <t>Shield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NaxiBlackholeShoot</t>
        </is>
      </c>
      <c r="C4" s="7" t="inlineStr">
        <is>
          <t>Armament</t>
        </is>
      </c>
      <c r="L4" s="6" t="n">
        <v>2000</v>
      </c>
      <c r="M4" s="6" t="n">
        <v>5</v>
      </c>
      <c r="N4" s="6" t="n">
        <v>1</v>
      </c>
      <c r="O4" s="6" t="n"/>
      <c r="P4" s="6" t="n">
        <v>5000</v>
      </c>
      <c r="Q4" s="6" t="n">
        <v>1.25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^Warhead_CannonHE_Heavy</t>
        </is>
      </c>
    </row>
    <row r="5">
      <c r="A5" t="inlineStr">
        <is>
          <t>redalert2mod</t>
        </is>
      </c>
      <c r="B5" t="inlineStr">
        <is>
          <t>hole_small.nax2</t>
        </is>
      </c>
      <c r="C5" t="inlineStr">
        <is>
          <t>Black Hole</t>
        </is>
      </c>
      <c r="D5" s="6" t="inlineStr">
        <is>
          <t>Infantry</t>
        </is>
      </c>
      <c r="E5" s="6" t="n">
        <v>25000</v>
      </c>
      <c r="F5" s="6" t="n">
        <v>5</v>
      </c>
      <c r="G5" t="inlineStr">
        <is>
          <t>Shield</t>
        </is>
      </c>
      <c r="H5" s="6" t="n">
        <v>1</v>
      </c>
      <c r="I5" s="6" t="n">
        <v>1</v>
      </c>
      <c r="J5" s="6" t="n">
        <v>1</v>
      </c>
      <c r="K5" s="6" t="n"/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NaxiBlackholeShoot</t>
        </is>
      </c>
      <c r="C6" s="7" t="inlineStr">
        <is>
          <t>Armament</t>
        </is>
      </c>
      <c r="L6" s="6" t="n">
        <v>2000</v>
      </c>
      <c r="M6" s="6" t="n">
        <v>5</v>
      </c>
      <c r="N6" s="6" t="n">
        <v>1</v>
      </c>
      <c r="O6" s="6" t="n"/>
      <c r="P6" s="6" t="n">
        <v>5000</v>
      </c>
      <c r="Q6" s="6" t="n">
        <v>1.25</v>
      </c>
      <c r="R6">
        <f>M6+IF(N6&gt;1,N(O6)*(N6-1),0)</f>
        <v/>
      </c>
      <c r="S6">
        <f>IFERROR(L6*MAX(N6,1)/R6*IF(ISBLANK(K5),1,K5),0)</f>
        <v/>
      </c>
      <c r="AB6" s="7" t="inlineStr">
        <is>
          <t>^Warhead_CannonHE_Heavy</t>
        </is>
      </c>
    </row>
    <row r="7">
      <c r="A7" t="inlineStr">
        <is>
          <t>redalert2mod</t>
        </is>
      </c>
      <c r="B7" t="inlineStr">
        <is>
          <t>schwarzermond_engineeringarmor</t>
        </is>
      </c>
      <c r="C7" t="inlineStr">
        <is>
          <t>Engineering Armor</t>
        </is>
      </c>
      <c r="D7" s="6" t="inlineStr">
        <is>
          <t>SupportVehicle</t>
        </is>
      </c>
      <c r="E7" s="6" t="n">
        <v>50000</v>
      </c>
      <c r="F7" s="6" t="n">
        <v>40</v>
      </c>
      <c r="G7" t="inlineStr">
        <is>
          <t>Plate</t>
        </is>
      </c>
      <c r="H7" s="6" t="n">
        <v>1</v>
      </c>
      <c r="I7" s="6" t="n">
        <v>0.5</v>
      </c>
      <c r="J7" s="6" t="n">
        <v>2</v>
      </c>
      <c r="K7" s="6" t="n"/>
      <c r="P7">
        <f>MAX(P8)</f>
        <v/>
      </c>
      <c r="S7">
        <f>S8</f>
        <v/>
      </c>
      <c r="T7">
        <f>(E7/100000+F7/100+(P7/1000)*J7/5+S7/200)*200*I7*H7</f>
        <v/>
      </c>
      <c r="U7">
        <f>((E7*F7/25000)+((P7/1000)*J7*S7/2.5))*I7*H7</f>
        <v/>
      </c>
      <c r="V7">
        <f>(E7*F7*(P7/1000)*J7*S7*I7*H7)/12500000</f>
        <v/>
      </c>
      <c r="W7">
        <f>(T7+U7+V7)/3</f>
        <v/>
      </c>
      <c r="X7" s="6" t="n">
        <v>800</v>
      </c>
      <c r="Y7">
        <f>IFERROR(W7-X7,"")</f>
        <v/>
      </c>
      <c r="Z7">
        <f>IFERROR(ABS(Y7)/MAX(X7,1),"")</f>
        <v/>
      </c>
      <c r="AA7">
        <f>IFERROR((X7-(((E7/100000+F7/100+S7/200)*200*I7*H7)+((E7*F7/25000)*I7*H7))/3)/(((J7/5)*200*I7*H7)+((J7*S7/2.5)*I7*H7)+((E7*F7*J7*S7*I7*H7)/12500000))/3*1000,"")</f>
        <v/>
      </c>
    </row>
    <row r="8">
      <c r="B8" s="7" t="inlineStr">
        <is>
          <t xml:space="preserve">  ↳ RA2IFVRepair</t>
        </is>
      </c>
      <c r="C8" s="7" t="inlineStr">
        <is>
          <t>Armament</t>
        </is>
      </c>
      <c r="L8" s="6" t="n">
        <v>-3000</v>
      </c>
      <c r="M8" s="6" t="n">
        <v>50</v>
      </c>
      <c r="N8" s="6" t="n">
        <v>10</v>
      </c>
      <c r="O8" s="6" t="n">
        <v>1</v>
      </c>
      <c r="P8" s="6" t="n">
        <v>5000</v>
      </c>
      <c r="Q8" s="6" t="n">
        <v>1</v>
      </c>
      <c r="R8">
        <f>M8+IF(N8&gt;1,N(O8)*(N8-1),0)</f>
        <v/>
      </c>
      <c r="S8">
        <f>IFERROR(L8*MAX(N8,1)/R8*IF(ISBLANK(K7),1,K7),0)</f>
        <v/>
      </c>
      <c r="AB8" s="7" t="inlineStr">
        <is>
          <t>^RepairWeapon</t>
        </is>
      </c>
    </row>
    <row r="9">
      <c r="A9" t="inlineStr">
        <is>
          <t>redalert2mod</t>
        </is>
      </c>
      <c r="B9" t="inlineStr">
        <is>
          <t>schwarzermond_lunarrocket</t>
        </is>
      </c>
      <c r="C9" t="inlineStr">
        <is>
          <t>Lunar Rocket</t>
        </is>
      </c>
      <c r="D9" s="6" t="inlineStr">
        <is>
          <t>AntiTankAntiAirInfantry</t>
        </is>
      </c>
      <c r="E9" s="6" t="n">
        <v>18000</v>
      </c>
      <c r="F9" s="6" t="n">
        <v>60</v>
      </c>
      <c r="G9" t="inlineStr">
        <is>
          <t>Flak</t>
        </is>
      </c>
      <c r="H9" s="6" t="n">
        <v>1</v>
      </c>
      <c r="I9" s="6" t="n">
        <v>0.5</v>
      </c>
      <c r="J9" s="6" t="n">
        <v>1.75</v>
      </c>
      <c r="K9" s="6" t="n"/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(T9+U9+V9)/3</f>
        <v/>
      </c>
      <c r="X9" s="6" t="n">
        <v>350</v>
      </c>
      <c r="Y9">
        <f>IFERROR(W9-X9,"")</f>
        <v/>
      </c>
      <c r="Z9">
        <f>IFERROR(ABS(Y9)/MAX(X9,1),"")</f>
        <v/>
      </c>
      <c r="AA9">
        <f>IFERROR((X9-(((E9/100000+F9/100+S9/200)*200*I9*H9)+((E9*F9/25000)*I9*H9))/3)/(((J9/5)*200*I9*H9)+((J9*S9/2.5)*I9*H9)+((E9*F9*J9*S9*I9*H9)/12500000))/3*1000,"")</f>
        <v/>
      </c>
    </row>
    <row r="10">
      <c r="B10" s="7" t="inlineStr">
        <is>
          <t xml:space="preserve">  ↳ NaxCorrosionRocketTrooper_elite</t>
        </is>
      </c>
      <c r="C10" s="7" t="inlineStr">
        <is>
          <t>Armament@PRIMARY</t>
        </is>
      </c>
      <c r="L10" s="6" t="n">
        <v>16000</v>
      </c>
      <c r="M10" s="6" t="n">
        <v>50</v>
      </c>
      <c r="N10" s="6" t="n">
        <v>1</v>
      </c>
      <c r="O10" s="6" t="n">
        <v>2</v>
      </c>
      <c r="P10" s="6" t="n">
        <v>6055</v>
      </c>
      <c r="Q10" s="6" t="n">
        <v>1</v>
      </c>
      <c r="R10">
        <f>M10+IF(N10&gt;1,N(O10)*(N10-1),0)</f>
        <v/>
      </c>
      <c r="S10">
        <f>IFERROR(L10*MAX(N10,1)/R10*IF(ISBLANK(K9),1,K9),0)</f>
        <v/>
      </c>
      <c r="AB10" s="7" t="inlineStr">
        <is>
          <t>^Warhead_Concussion_Light, ^Warhead_MissileAP_Heavy, ^Warhead_MissileAP_Medium</t>
        </is>
      </c>
    </row>
    <row r="11">
      <c r="B11" s="7" t="inlineStr">
        <is>
          <t xml:space="preserve">  ↳ NaxCorrosionRocketTrooper_elite</t>
        </is>
      </c>
      <c r="C11" s="7" t="inlineStr">
        <is>
          <t>Armament@ELITE</t>
        </is>
      </c>
      <c r="L11" s="6" t="n">
        <v>16000</v>
      </c>
      <c r="M11" s="6" t="n">
        <v>50</v>
      </c>
      <c r="N11" s="6" t="n">
        <v>1</v>
      </c>
      <c r="O11" s="6" t="n">
        <v>2</v>
      </c>
      <c r="P11" s="6" t="n">
        <v>6055</v>
      </c>
      <c r="Q11" s="6" t="n">
        <v>1</v>
      </c>
      <c r="R11">
        <f>M11+IF(N11&gt;1,N(O11)*(N11-1),0)</f>
        <v/>
      </c>
      <c r="S11">
        <f>IFERROR(L11*MAX(N11,1)/R11*IF(ISBLANK(K9),1,K9),0)</f>
        <v/>
      </c>
      <c r="AB11" s="7" t="inlineStr">
        <is>
          <t>^Warhead_Concussion_Light, ^Warhead_MissileAP_Heavy, ^Warhead_MissileAP_Medium</t>
        </is>
      </c>
    </row>
    <row r="12">
      <c r="B12" s="7" t="inlineStr">
        <is>
          <t xml:space="preserve">  ↳ NaxCorrosionRocketTrooper_elite</t>
        </is>
      </c>
      <c r="C12" s="7" t="inlineStr">
        <is>
          <t>Armament@GARRISONED</t>
        </is>
      </c>
      <c r="L12" s="6" t="n">
        <v>16000</v>
      </c>
      <c r="M12" s="6" t="n">
        <v>50</v>
      </c>
      <c r="N12" s="6" t="n">
        <v>1</v>
      </c>
      <c r="O12" s="6" t="n">
        <v>2</v>
      </c>
      <c r="P12" s="6" t="n">
        <v>6055</v>
      </c>
      <c r="Q12" s="6" t="n">
        <v>1</v>
      </c>
      <c r="R12">
        <f>M12+IF(N12&gt;1,N(O12)*(N12-1),0)</f>
        <v/>
      </c>
      <c r="S12">
        <f>IFERROR(L12*MAX(N12,1)/R12*IF(ISBLANK(K9),1,K9),0)</f>
        <v/>
      </c>
      <c r="AB12" s="7" t="inlineStr">
        <is>
          <t>^Warhead_Concussion_Light, ^Warhead_MissileAP_Heavy, ^Warhead_MissileAP_Medium</t>
        </is>
      </c>
    </row>
    <row r="13">
      <c r="B13" s="7" t="inlineStr">
        <is>
          <t xml:space="preserve">  ↳ NaxCorrosionRocketTrooper_elite</t>
        </is>
      </c>
      <c r="C13" s="7" t="inlineStr">
        <is>
          <t>Armament@GARRISONEDELITE</t>
        </is>
      </c>
      <c r="L13" s="6" t="n">
        <v>16000</v>
      </c>
      <c r="M13" s="6" t="n">
        <v>50</v>
      </c>
      <c r="N13" s="6" t="n">
        <v>1</v>
      </c>
      <c r="O13" s="6" t="n">
        <v>2</v>
      </c>
      <c r="P13" s="6" t="n">
        <v>6055</v>
      </c>
      <c r="Q13" s="6" t="n">
        <v>1</v>
      </c>
      <c r="R13">
        <f>M13+IF(N13&gt;1,N(O13)*(N13-1),0)</f>
        <v/>
      </c>
      <c r="S13">
        <f>IFERROR(L13*MAX(N13,1)/R13*IF(ISBLANK(K9),1,K9),0)</f>
        <v/>
      </c>
      <c r="AB13" s="7" t="inlineStr">
        <is>
          <t>^Warhead_Concussion_Light, ^Warhead_MissileAP_Heavy, ^Warhead_MissileAP_Medium</t>
        </is>
      </c>
    </row>
    <row r="14">
      <c r="A14" t="inlineStr">
        <is>
          <t>redalert2mod</t>
        </is>
      </c>
      <c r="B14" t="inlineStr">
        <is>
          <t>schwarzermond_lunarsoldier</t>
        </is>
      </c>
      <c r="C14" t="inlineStr">
        <is>
          <t>Lunar Soldier</t>
        </is>
      </c>
      <c r="D14" s="6" t="inlineStr">
        <is>
          <t>SpecialForcesInfantry</t>
        </is>
      </c>
      <c r="E14" s="6" t="n">
        <v>30000</v>
      </c>
      <c r="F14" s="6" t="n">
        <v>50</v>
      </c>
      <c r="G14" t="inlineStr">
        <is>
          <t>Flak</t>
        </is>
      </c>
      <c r="H14" s="6" t="n">
        <v>1</v>
      </c>
      <c r="I14" s="6" t="n">
        <v>0.5</v>
      </c>
      <c r="J14" s="6" t="n">
        <v>1</v>
      </c>
      <c r="K14" s="6" t="n">
        <v>0.01</v>
      </c>
      <c r="P14">
        <f>MAX(P15,P16,P17,P18,P19,P20)</f>
        <v/>
      </c>
      <c r="S14">
        <f>S15+S16+S17+S18+S19+S20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(((E14/15000)+(F14/50)+(S14/240)+((P14/6000)*J14))*200/4+(((E14/15000)*(F14/50))+(((P14/6000)*J14)*(S14/240)))*200/2+((E14/15000)*(F14/50)*((P14/6000)*J14)*(S14/240))*200)*(H14/1.0)/3</f>
        <v/>
      </c>
      <c r="X14" s="6" t="n">
        <v>500</v>
      </c>
      <c r="Y14">
        <f>IFERROR(W14-X14,"")</f>
        <v/>
      </c>
      <c r="Z14">
        <f>IFERROR(ABS(Y14)/MAX(X14,1),"")</f>
        <v/>
      </c>
      <c r="AA14">
        <f>IFERROR(ROUND(((3*X14-(((E14/15000)+(F14/50)+(S14/240))*200/4+((E14/15000)*(F14/50))*200/2)*(H14/1.0))/(200/4+((S14/240))*200/2+((E14/15000)*(F14/50)*(S14/240))*200)*(H14/1.0)*6000)/J14,-1),"")</f>
        <v/>
      </c>
    </row>
    <row r="15">
      <c r="B15" s="7" t="inlineStr">
        <is>
          <t xml:space="preserve">  ↳ schwarzermond_lunarsoldier_rifle</t>
        </is>
      </c>
      <c r="C15" s="7" t="inlineStr">
        <is>
          <t>Armament@PRIMARY</t>
        </is>
      </c>
      <c r="L15" s="6" t="n">
        <v>24000</v>
      </c>
      <c r="M15" s="6" t="n">
        <v>50</v>
      </c>
      <c r="N15" s="6" t="n">
        <v>1</v>
      </c>
      <c r="O15" s="6" t="n"/>
      <c r="P15" s="6" t="n">
        <v>6000</v>
      </c>
      <c r="Q15" s="6" t="n">
        <v>1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^Warhead_Bullet_Medium, ^Warhead_Bullet_Light, ^Warhead_Laser_Heavy</t>
        </is>
      </c>
    </row>
    <row r="16">
      <c r="B16" s="7" t="inlineStr">
        <is>
          <t xml:space="preserve">  ↳ schwarzermond_lunarsoldier_rifle_elite</t>
        </is>
      </c>
      <c r="C16" s="7" t="inlineStr">
        <is>
          <t>Armament@ELITE</t>
        </is>
      </c>
      <c r="L16" s="6" t="n">
        <v>24000</v>
      </c>
      <c r="M16" s="6" t="n">
        <v>50</v>
      </c>
      <c r="N16" s="6" t="n">
        <v>2</v>
      </c>
      <c r="O16" s="6" t="n">
        <v>3</v>
      </c>
      <c r="P16" s="6" t="n">
        <v>5500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^Warhead_Bullet_Medium, ^Warhead_Bullet_Light, ^Warhead_Laser_Heavy</t>
        </is>
      </c>
    </row>
    <row r="17">
      <c r="B17" s="7" t="inlineStr">
        <is>
          <t xml:space="preserve">  ↳ schwarzermond_lunarsoldier_rifle_yellow</t>
        </is>
      </c>
      <c r="C17" s="7" t="inlineStr">
        <is>
          <t>Armament@PRIMARY_UP</t>
        </is>
      </c>
      <c r="L17" s="6" t="n">
        <v>24000</v>
      </c>
      <c r="M17" s="6" t="n">
        <v>50</v>
      </c>
      <c r="N17" s="6" t="n">
        <v>2</v>
      </c>
      <c r="O17" s="6" t="n">
        <v>3</v>
      </c>
      <c r="P17" s="6" t="n">
        <v>6000</v>
      </c>
      <c r="Q17" s="6" t="n">
        <v>1</v>
      </c>
      <c r="R17">
        <f>M17+IF(N17&gt;1,N(O17)*(N17-1),0)</f>
        <v/>
      </c>
      <c r="S17">
        <f>IFERROR(L17*MAX(N17,1)/R17*IF(ISBLANK(K14),1,K14),0)</f>
        <v/>
      </c>
      <c r="AB17" s="7" t="inlineStr">
        <is>
          <t>^Warhead_Bullet_Medium, ^Warhead_Bullet_Light, ^Warhead_Laser_Heavy</t>
        </is>
      </c>
    </row>
    <row r="18">
      <c r="B18" s="7" t="inlineStr">
        <is>
          <t xml:space="preserve">  ↳ schwarzermond_lunarsoldier_rifle_yellow_elite</t>
        </is>
      </c>
      <c r="C18" s="7" t="inlineStr">
        <is>
          <t>Armament@ELITE_UP</t>
        </is>
      </c>
      <c r="L18" s="6" t="n">
        <v>24000</v>
      </c>
      <c r="M18" s="6" t="n">
        <v>50</v>
      </c>
      <c r="N18" s="6" t="n">
        <v>4</v>
      </c>
      <c r="O18" s="6" t="n">
        <v>3</v>
      </c>
      <c r="P18" s="6" t="n">
        <v>5500</v>
      </c>
      <c r="Q18" s="6" t="n">
        <v>1</v>
      </c>
      <c r="R18">
        <f>M18+IF(N18&gt;1,N(O18)*(N18-1),0)</f>
        <v/>
      </c>
      <c r="S18">
        <f>IFERROR(L18*MAX(N18,1)/R18*IF(ISBLANK(K14),1,K14),0)</f>
        <v/>
      </c>
      <c r="AB18" s="7" t="inlineStr">
        <is>
          <t>^Warhead_Bullet_Medium, ^Warhead_Bullet_Light, ^Warhead_Laser_Heavy</t>
        </is>
      </c>
    </row>
    <row r="19">
      <c r="B19" s="7" t="inlineStr">
        <is>
          <t xml:space="preserve">  ↳ schwarzermond_lunarsoldier_rifle_amplified</t>
        </is>
      </c>
      <c r="C19" s="7" t="inlineStr">
        <is>
          <t>Armament@PRIMARY_AMP</t>
        </is>
      </c>
      <c r="L19" s="6" t="n">
        <v>24000</v>
      </c>
      <c r="M19" s="6" t="n">
        <v>50</v>
      </c>
      <c r="N19" s="6" t="n">
        <v>3</v>
      </c>
      <c r="O19" s="6" t="n">
        <v>3</v>
      </c>
      <c r="P19" s="6" t="n">
        <v>6000</v>
      </c>
      <c r="Q19" s="6" t="n">
        <v>1</v>
      </c>
      <c r="R19">
        <f>M19+IF(N19&gt;1,N(O19)*(N19-1),0)</f>
        <v/>
      </c>
      <c r="S19">
        <f>IFERROR(L19*MAX(N19,1)/R19*IF(ISBLANK(K14),1,K14),0)</f>
        <v/>
      </c>
      <c r="AB19" s="7" t="inlineStr">
        <is>
          <t>^Warhead_Bullet_Medium, ^Warhead_Bullet_Light, ^Warhead_Laser_Heavy</t>
        </is>
      </c>
    </row>
    <row r="20">
      <c r="B20" s="7" t="inlineStr">
        <is>
          <t xml:space="preserve">  ↳ schwarzermond_lunarsoldier_rifle_amplified_elite</t>
        </is>
      </c>
      <c r="C20" s="7" t="inlineStr">
        <is>
          <t>Armament@ELITE_AMP</t>
        </is>
      </c>
      <c r="L20" s="6" t="n">
        <v>24000</v>
      </c>
      <c r="M20" s="6" t="n">
        <v>50</v>
      </c>
      <c r="N20" s="6" t="n">
        <v>6</v>
      </c>
      <c r="O20" s="6" t="n">
        <v>3</v>
      </c>
      <c r="P20" s="6" t="n">
        <v>5500</v>
      </c>
      <c r="Q20" s="6" t="n">
        <v>1</v>
      </c>
      <c r="R20">
        <f>M20+IF(N20&gt;1,N(O20)*(N20-1),0)</f>
        <v/>
      </c>
      <c r="S20">
        <f>IFERROR(L20*MAX(N20,1)/R20*IF(ISBLANK(K14),1,K14),0)</f>
        <v/>
      </c>
      <c r="AB20" s="7" t="inlineStr">
        <is>
          <t>^Warhead_Bullet_Medium, ^Warhead_Bullet_Light, ^Warhead_Laser_Heavy</t>
        </is>
      </c>
    </row>
    <row r="21">
      <c r="B21" s="7" t="inlineStr">
        <is>
          <t xml:space="preserve">  ↳ schwarzermond_lunarsoldier_rifle</t>
        </is>
      </c>
      <c r="C21" s="7" t="inlineStr">
        <is>
          <t>Armament@GARRISONED</t>
        </is>
      </c>
      <c r="L21" s="6" t="n">
        <v>24000</v>
      </c>
      <c r="M21" s="6" t="n">
        <v>50</v>
      </c>
      <c r="N21" s="6" t="n">
        <v>1</v>
      </c>
      <c r="O21" s="6" t="n"/>
      <c r="P21" s="6" t="n">
        <v>6000</v>
      </c>
      <c r="Q21" s="6" t="n">
        <v>1</v>
      </c>
      <c r="R21">
        <f>M21+IF(N21&gt;1,N(O21)*(N21-1),0)</f>
        <v/>
      </c>
      <c r="S21">
        <f>IFERROR(L21*MAX(N21,1)/R21*IF(ISBLANK(K14),1,K14),0)</f>
        <v/>
      </c>
      <c r="AB21" s="7" t="inlineStr">
        <is>
          <t>^Warhead_Bullet_Medium, ^Warhead_Bullet_Light, ^Warhead_Laser_Heavy</t>
        </is>
      </c>
    </row>
    <row r="22">
      <c r="B22" s="7" t="inlineStr">
        <is>
          <t xml:space="preserve">  ↳ schwarzermond_lunarsoldier_rifle_elite</t>
        </is>
      </c>
      <c r="C22" s="7" t="inlineStr">
        <is>
          <t>Armament@GARRISONEDELITE</t>
        </is>
      </c>
      <c r="L22" s="6" t="n">
        <v>24000</v>
      </c>
      <c r="M22" s="6" t="n">
        <v>50</v>
      </c>
      <c r="N22" s="6" t="n">
        <v>2</v>
      </c>
      <c r="O22" s="6" t="n">
        <v>3</v>
      </c>
      <c r="P22" s="6" t="n">
        <v>5500</v>
      </c>
      <c r="Q22" s="6" t="n">
        <v>1</v>
      </c>
      <c r="R22">
        <f>M22+IF(N22&gt;1,N(O22)*(N22-1),0)</f>
        <v/>
      </c>
      <c r="S22">
        <f>IFERROR(L22*MAX(N22,1)/R22*IF(ISBLANK(K14),1,K14),0)</f>
        <v/>
      </c>
      <c r="AB22" s="7" t="inlineStr">
        <is>
          <t>^Warhead_Bullet_Medium, ^Warhead_Bullet_Light, ^Warhead_Laser_Heavy</t>
        </is>
      </c>
    </row>
    <row r="23">
      <c r="B23" s="7" t="inlineStr">
        <is>
          <t xml:space="preserve">  ↳ schwarzermond_lunarsoldier_rifle_yellow</t>
        </is>
      </c>
      <c r="C23" s="7" t="inlineStr">
        <is>
          <t>Armament@GARRISONED_UP</t>
        </is>
      </c>
      <c r="L23" s="6" t="n">
        <v>24000</v>
      </c>
      <c r="M23" s="6" t="n">
        <v>50</v>
      </c>
      <c r="N23" s="6" t="n">
        <v>2</v>
      </c>
      <c r="O23" s="6" t="n">
        <v>3</v>
      </c>
      <c r="P23" s="6" t="n">
        <v>6000</v>
      </c>
      <c r="Q23" s="6" t="n">
        <v>1</v>
      </c>
      <c r="R23">
        <f>M23+IF(N23&gt;1,N(O23)*(N23-1),0)</f>
        <v/>
      </c>
      <c r="S23">
        <f>IFERROR(L23*MAX(N23,1)/R23*IF(ISBLANK(K14),1,K14),0)</f>
        <v/>
      </c>
      <c r="AB23" s="7" t="inlineStr">
        <is>
          <t>^Warhead_Bullet_Medium, ^Warhead_Bullet_Light, ^Warhead_Laser_Heavy</t>
        </is>
      </c>
    </row>
    <row r="24">
      <c r="B24" s="7" t="inlineStr">
        <is>
          <t xml:space="preserve">  ↳ schwarzermond_lunarsoldier_rifle_yellow_elite</t>
        </is>
      </c>
      <c r="C24" s="7" t="inlineStr">
        <is>
          <t>Armament@GARRISONEDELITE_UP</t>
        </is>
      </c>
      <c r="L24" s="6" t="n">
        <v>24000</v>
      </c>
      <c r="M24" s="6" t="n">
        <v>50</v>
      </c>
      <c r="N24" s="6" t="n">
        <v>4</v>
      </c>
      <c r="O24" s="6" t="n">
        <v>3</v>
      </c>
      <c r="P24" s="6" t="n">
        <v>5500</v>
      </c>
      <c r="Q24" s="6" t="n">
        <v>1</v>
      </c>
      <c r="R24">
        <f>M24+IF(N24&gt;1,N(O24)*(N24-1),0)</f>
        <v/>
      </c>
      <c r="S24">
        <f>IFERROR(L24*MAX(N24,1)/R24*IF(ISBLANK(K14),1,K14),0)</f>
        <v/>
      </c>
      <c r="AB24" s="7" t="inlineStr">
        <is>
          <t>^Warhead_Bullet_Medium, ^Warhead_Bullet_Light, ^Warhead_Laser_Heavy</t>
        </is>
      </c>
    </row>
    <row r="25">
      <c r="B25" s="7" t="inlineStr">
        <is>
          <t xml:space="preserve">  ↳ schwarzermond_lunarsoldier_rifle_amplified</t>
        </is>
      </c>
      <c r="C25" s="7" t="inlineStr">
        <is>
          <t>Armament@GARRISONED_AMP</t>
        </is>
      </c>
      <c r="L25" s="6" t="n">
        <v>24000</v>
      </c>
      <c r="M25" s="6" t="n">
        <v>50</v>
      </c>
      <c r="N25" s="6" t="n">
        <v>3</v>
      </c>
      <c r="O25" s="6" t="n">
        <v>3</v>
      </c>
      <c r="P25" s="6" t="n">
        <v>6000</v>
      </c>
      <c r="Q25" s="6" t="n">
        <v>1</v>
      </c>
      <c r="R25">
        <f>M25+IF(N25&gt;1,N(O25)*(N25-1),0)</f>
        <v/>
      </c>
      <c r="S25">
        <f>IFERROR(L25*MAX(N25,1)/R25*IF(ISBLANK(K14),1,K14),0)</f>
        <v/>
      </c>
      <c r="AB25" s="7" t="inlineStr">
        <is>
          <t>^Warhead_Bullet_Medium, ^Warhead_Bullet_Light, ^Warhead_Laser_Heavy</t>
        </is>
      </c>
    </row>
    <row r="26">
      <c r="B26" s="7" t="inlineStr">
        <is>
          <t xml:space="preserve">  ↳ schwarzermond_lunarsoldier_rifle_amplified_elite</t>
        </is>
      </c>
      <c r="C26" s="7" t="inlineStr">
        <is>
          <t>Armament@GARRISONEDELITE_AMP</t>
        </is>
      </c>
      <c r="L26" s="6" t="n">
        <v>24000</v>
      </c>
      <c r="M26" s="6" t="n">
        <v>50</v>
      </c>
      <c r="N26" s="6" t="n">
        <v>6</v>
      </c>
      <c r="O26" s="6" t="n">
        <v>3</v>
      </c>
      <c r="P26" s="6" t="n">
        <v>5500</v>
      </c>
      <c r="Q26" s="6" t="n">
        <v>1</v>
      </c>
      <c r="R26">
        <f>M26+IF(N26&gt;1,N(O26)*(N26-1),0)</f>
        <v/>
      </c>
      <c r="S26">
        <f>IFERROR(L26*MAX(N26,1)/R26*IF(ISBLANK(K14),1,K14),0)</f>
        <v/>
      </c>
      <c r="AB26" s="7" t="inlineStr">
        <is>
          <t>^Warhead_Bullet_Medium, ^Warhead_Bullet_Light, ^Warhead_Laser_Heavy</t>
        </is>
      </c>
    </row>
    <row r="27">
      <c r="A27" t="inlineStr">
        <is>
          <t>redalert2mod</t>
        </is>
      </c>
      <c r="B27" t="inlineStr">
        <is>
          <t>schwarzermond_noidharvester</t>
        </is>
      </c>
      <c r="C27" t="inlineStr">
        <is>
          <t>Noid Harvester</t>
        </is>
      </c>
      <c r="D27" s="6" t="inlineStr">
        <is>
          <t>Harvester</t>
        </is>
      </c>
      <c r="E27" s="6" t="n">
        <v>75000</v>
      </c>
      <c r="F27" s="6" t="n">
        <v>50</v>
      </c>
      <c r="G27" t="inlineStr">
        <is>
          <t>Plate</t>
        </is>
      </c>
      <c r="H27" s="6" t="n">
        <v>1</v>
      </c>
      <c r="I27" s="6" t="n">
        <v>1</v>
      </c>
      <c r="J27" s="6" t="n">
        <v>1</v>
      </c>
      <c r="K27" s="6" t="n"/>
      <c r="P27">
        <f>MAX(P28,P29)</f>
        <v/>
      </c>
      <c r="S27">
        <f>S28+S29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500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NaxiMP40Laser</t>
        </is>
      </c>
      <c r="C28" s="7" t="inlineStr">
        <is>
          <t>Armament@PRIMARY</t>
        </is>
      </c>
      <c r="L28" s="6" t="n">
        <v>12000</v>
      </c>
      <c r="M28" s="6" t="n">
        <v>100</v>
      </c>
      <c r="N28" s="6" t="n">
        <v>5</v>
      </c>
      <c r="O28" s="6" t="n">
        <v>5</v>
      </c>
      <c r="P28" s="6" t="n">
        <v>4384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^Warhead_Bullet_Light, ^Warhead_Concussion_Light, ^Warhead_CannonHE_Heavy, ^Warhead_Bullet_Medium, ^Warhead_Laser_Heavy</t>
        </is>
      </c>
    </row>
    <row r="29">
      <c r="B29" s="7" t="inlineStr">
        <is>
          <t xml:space="preserve">  ↳ NaxiMP40Laser_elite</t>
        </is>
      </c>
      <c r="C29" s="7" t="inlineStr">
        <is>
          <t>Armament@ELITE</t>
        </is>
      </c>
      <c r="L29" s="6" t="n">
        <v>12000</v>
      </c>
      <c r="M29" s="6" t="n">
        <v>100</v>
      </c>
      <c r="N29" s="6" t="n">
        <v>10</v>
      </c>
      <c r="O29" s="6" t="n">
        <v>3</v>
      </c>
      <c r="P29" s="6" t="n">
        <v>5384</v>
      </c>
      <c r="Q29" s="6" t="n">
        <v>1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^Warhead_Bullet_Light, ^Warhead_Concussion_Light, ^Warhead_CannonHE_Heavy, ^Warhead_Bullet_Medium, ^Warhead_Laser_Heavy</t>
        </is>
      </c>
    </row>
    <row r="30">
      <c r="A30" t="inlineStr">
        <is>
          <t>redalert2mod</t>
        </is>
      </c>
      <c r="B30" t="inlineStr">
        <is>
          <t>schwarzermond_noidmgarmor</t>
        </is>
      </c>
      <c r="C30" t="inlineStr">
        <is>
          <t>Noid MG Armor</t>
        </is>
      </c>
      <c r="D30" s="6" t="inlineStr">
        <is>
          <t>HeavyInfantry</t>
        </is>
      </c>
      <c r="E30" s="6" t="n">
        <v>50000</v>
      </c>
      <c r="F30" s="6" t="n">
        <v>40</v>
      </c>
      <c r="G30" t="inlineStr">
        <is>
          <t>Plate</t>
        </is>
      </c>
      <c r="H30" s="6" t="n">
        <v>1</v>
      </c>
      <c r="I30" s="6" t="n">
        <v>0.8</v>
      </c>
      <c r="J30" s="6" t="n">
        <v>1</v>
      </c>
      <c r="K30" s="6" t="n"/>
      <c r="P30">
        <f>MAX(P31,P32,P33,P34,P35,P36)</f>
        <v/>
      </c>
      <c r="S30">
        <f>S31+S32+S33+S34+S35+S36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500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NaxiMP40Laser</t>
        </is>
      </c>
      <c r="C31" s="7" t="inlineStr">
        <is>
          <t>Armament@PRIMARY</t>
        </is>
      </c>
      <c r="L31" s="6" t="n">
        <v>12000</v>
      </c>
      <c r="M31" s="6" t="n">
        <v>100</v>
      </c>
      <c r="N31" s="6" t="n">
        <v>5</v>
      </c>
      <c r="O31" s="6" t="n">
        <v>5</v>
      </c>
      <c r="P31" s="6" t="n">
        <v>4384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^Warhead_Bullet_Light, ^Warhead_Concussion_Light, ^Warhead_CannonHE_Heavy, ^Warhead_Bullet_Medium, ^Warhead_Laser_Heavy</t>
        </is>
      </c>
    </row>
    <row r="32">
      <c r="B32" s="7" t="inlineStr">
        <is>
          <t xml:space="preserve">  ↳ NaxiMP40Laser_elite</t>
        </is>
      </c>
      <c r="C32" s="7" t="inlineStr">
        <is>
          <t>Armament@ELITE</t>
        </is>
      </c>
      <c r="L32" s="6" t="n">
        <v>12000</v>
      </c>
      <c r="M32" s="6" t="n">
        <v>100</v>
      </c>
      <c r="N32" s="6" t="n">
        <v>10</v>
      </c>
      <c r="O32" s="6" t="n">
        <v>3</v>
      </c>
      <c r="P32" s="6" t="n">
        <v>5384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^Warhead_Bullet_Light, ^Warhead_Concussion_Light, ^Warhead_CannonHE_Heavy, ^Warhead_Bullet_Medium, ^Warhead_Laser_Heavy</t>
        </is>
      </c>
    </row>
    <row r="33">
      <c r="B33" s="7" t="inlineStr">
        <is>
          <t xml:space="preserve">  ↳ Lunar_YellowMP40Laser</t>
        </is>
      </c>
      <c r="C33" s="7" t="inlineStr">
        <is>
          <t>Armament@PRIMARY_UP</t>
        </is>
      </c>
      <c r="L33" s="6" t="n">
        <v>12000</v>
      </c>
      <c r="M33" s="6" t="n">
        <v>100</v>
      </c>
      <c r="N33" s="6" t="n">
        <v>6</v>
      </c>
      <c r="O33" s="6" t="n">
        <v>3</v>
      </c>
      <c r="P33" s="6" t="n">
        <v>4384</v>
      </c>
      <c r="Q33" s="6" t="n">
        <v>1</v>
      </c>
      <c r="R33">
        <f>M33+IF(N33&gt;1,N(O33)*(N33-1),0)</f>
        <v/>
      </c>
      <c r="S33">
        <f>IFERROR(L33*MAX(N33,1)/R33*IF(ISBLANK(K30),1,K30),0)</f>
        <v/>
      </c>
      <c r="AB33" s="7" t="inlineStr">
        <is>
          <t>^Warhead_Bullet_Light, ^Warhead_Concussion_Light, ^Warhead_CannonHE_Heavy, ^Warhead_Bullet_Medium, ^Warhead_Laser_Heavy</t>
        </is>
      </c>
    </row>
    <row r="34">
      <c r="B34" s="7" t="inlineStr">
        <is>
          <t xml:space="preserve">  ↳ Lunar_YellowMP40Laser_elite</t>
        </is>
      </c>
      <c r="C34" s="7" t="inlineStr">
        <is>
          <t>Armament@ELITE_UP</t>
        </is>
      </c>
      <c r="L34" s="6" t="n">
        <v>12000</v>
      </c>
      <c r="M34" s="6" t="n">
        <v>100</v>
      </c>
      <c r="N34" s="6" t="n">
        <v>11</v>
      </c>
      <c r="O34" s="6" t="n">
        <v>3</v>
      </c>
      <c r="P34" s="6" t="n">
        <v>5384</v>
      </c>
      <c r="Q34" s="6" t="n">
        <v>1</v>
      </c>
      <c r="R34">
        <f>M34+IF(N34&gt;1,N(O34)*(N34-1),0)</f>
        <v/>
      </c>
      <c r="S34">
        <f>IFERROR(L34*MAX(N34,1)/R34*IF(ISBLANK(K30),1,K30),0)</f>
        <v/>
      </c>
      <c r="AB34" s="7" t="inlineStr">
        <is>
          <t>^Warhead_Bullet_Light, ^Warhead_Concussion_Light, ^Warhead_CannonHE_Heavy, ^Warhead_Bullet_Medium, ^Warhead_Laser_Heavy</t>
        </is>
      </c>
    </row>
    <row r="35">
      <c r="B35" s="7" t="inlineStr">
        <is>
          <t xml:space="preserve">  ↳ Lunar_AmplifiedMP40Laser</t>
        </is>
      </c>
      <c r="C35" s="7" t="inlineStr">
        <is>
          <t>Armament@PRIMARY_AMP</t>
        </is>
      </c>
      <c r="L35" s="6" t="n">
        <v>12000</v>
      </c>
      <c r="M35" s="6" t="n">
        <v>100</v>
      </c>
      <c r="N35" s="6" t="n">
        <v>7</v>
      </c>
      <c r="O35" s="6" t="n">
        <v>3</v>
      </c>
      <c r="P35" s="6" t="n">
        <v>4384</v>
      </c>
      <c r="Q35" s="6" t="n">
        <v>1</v>
      </c>
      <c r="R35">
        <f>M35+IF(N35&gt;1,N(O35)*(N35-1),0)</f>
        <v/>
      </c>
      <c r="S35">
        <f>IFERROR(L35*MAX(N35,1)/R35*IF(ISBLANK(K30),1,K30),0)</f>
        <v/>
      </c>
      <c r="AB35" s="7" t="inlineStr">
        <is>
          <t>^Warhead_Bullet_Light, ^Warhead_Concussion_Light, ^Warhead_CannonHE_Heavy, ^Warhead_Bullet_Medium, ^Warhead_Laser_Heavy</t>
        </is>
      </c>
    </row>
    <row r="36">
      <c r="B36" s="7" t="inlineStr">
        <is>
          <t xml:space="preserve">  ↳ Lunar_AmplifiedMP40Laser_elite</t>
        </is>
      </c>
      <c r="C36" s="7" t="inlineStr">
        <is>
          <t>Armament@ELITE_AMP</t>
        </is>
      </c>
      <c r="L36" s="6" t="n">
        <v>12000</v>
      </c>
      <c r="M36" s="6" t="n">
        <v>100</v>
      </c>
      <c r="N36" s="6" t="n">
        <v>12</v>
      </c>
      <c r="O36" s="6" t="n">
        <v>3</v>
      </c>
      <c r="P36" s="6" t="n">
        <v>5384</v>
      </c>
      <c r="Q36" s="6" t="n">
        <v>1</v>
      </c>
      <c r="R36">
        <f>M36+IF(N36&gt;1,N(O36)*(N36-1),0)</f>
        <v/>
      </c>
      <c r="S36">
        <f>IFERROR(L36*MAX(N36,1)/R36*IF(ISBLANK(K30),1,K30),0)</f>
        <v/>
      </c>
      <c r="AB36" s="7" t="inlineStr">
        <is>
          <t>^Warhead_Bullet_Light, ^Warhead_Concussion_Light, ^Warhead_CannonHE_Heavy, ^Warhead_Bullet_Medium, ^Warhead_Laser_Heavy</t>
        </is>
      </c>
    </row>
    <row r="37">
      <c r="A37" t="inlineStr">
        <is>
          <t>redalert2mod</t>
        </is>
      </c>
      <c r="B37" t="inlineStr">
        <is>
          <t>schwarzermond_parzival</t>
        </is>
      </c>
      <c r="C37" t="inlineStr">
        <is>
          <t>Parzival</t>
        </is>
      </c>
      <c r="D37" s="6" t="inlineStr">
        <is>
          <t>HeroInfantry</t>
        </is>
      </c>
      <c r="E37" s="6" t="n">
        <v>120000</v>
      </c>
      <c r="F37" s="6" t="n">
        <v>60</v>
      </c>
      <c r="G37" t="inlineStr">
        <is>
          <t>Heroic</t>
        </is>
      </c>
      <c r="H37" s="6" t="n">
        <v>0.75</v>
      </c>
      <c r="I37" s="6" t="n">
        <v>1</v>
      </c>
      <c r="J37" s="6" t="n">
        <v>1.25</v>
      </c>
      <c r="K37" s="6" t="n"/>
      <c r="P37">
        <f>MAX(P38,P39)</f>
        <v/>
      </c>
      <c r="S37">
        <f>S38+S39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3000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BlackHoleMaker</t>
        </is>
      </c>
      <c r="C38" s="7" t="inlineStr">
        <is>
          <t>Armament@PRIMARY</t>
        </is>
      </c>
      <c r="L38" s="6" t="n">
        <v>60000</v>
      </c>
      <c r="M38" s="6" t="n">
        <v>60</v>
      </c>
      <c r="N38" s="6" t="n">
        <v>1</v>
      </c>
      <c r="O38" s="6" t="n"/>
      <c r="P38" s="6" t="n">
        <v>6414</v>
      </c>
      <c r="Q38" s="6" t="n">
        <v>1.25</v>
      </c>
      <c r="R38">
        <f>M38+IF(N38&gt;1,N(O38)*(N38-1),0)</f>
        <v/>
      </c>
      <c r="S38">
        <f>IFERROR(L38*MAX(N38,1)/R38*IF(ISBLANK(K37),1,K37),0)</f>
        <v/>
      </c>
      <c r="AB38" s="7" t="inlineStr">
        <is>
          <t>^Warhead_Laser_Heavy</t>
        </is>
      </c>
    </row>
    <row r="39">
      <c r="B39" s="7" t="inlineStr">
        <is>
          <t xml:space="preserve">  ↳ BlackHoleMaker_elite</t>
        </is>
      </c>
      <c r="C39" s="7" t="inlineStr">
        <is>
          <t>Armament@ELITE</t>
        </is>
      </c>
      <c r="L39" s="6" t="n">
        <v>60000</v>
      </c>
      <c r="M39" s="6" t="n">
        <v>60</v>
      </c>
      <c r="N39" s="6" t="n">
        <v>2</v>
      </c>
      <c r="O39" s="6" t="n">
        <v>3</v>
      </c>
      <c r="P39" s="6" t="n">
        <v>7414</v>
      </c>
      <c r="Q39" s="6" t="n">
        <v>1.25</v>
      </c>
      <c r="R39">
        <f>M39+IF(N39&gt;1,N(O39)*(N39-1),0)</f>
        <v/>
      </c>
      <c r="S39">
        <f>IFERROR(L39*MAX(N39,1)/R39*IF(ISBLANK(K37),1,K37),0)</f>
        <v/>
      </c>
      <c r="AB39" s="7" t="inlineStr">
        <is>
          <t>^Warhead_Laser_Heavy</t>
        </is>
      </c>
    </row>
    <row r="40">
      <c r="B40" s="7" t="inlineStr">
        <is>
          <t xml:space="preserve">  ↳ BlackHoleMaker</t>
        </is>
      </c>
      <c r="C40" s="7" t="inlineStr">
        <is>
          <t>Armament@GARRISONED</t>
        </is>
      </c>
      <c r="L40" s="6" t="n">
        <v>60000</v>
      </c>
      <c r="M40" s="6" t="n">
        <v>60</v>
      </c>
      <c r="N40" s="6" t="n">
        <v>1</v>
      </c>
      <c r="O40" s="6" t="n"/>
      <c r="P40" s="6" t="n">
        <v>6414</v>
      </c>
      <c r="Q40" s="6" t="n">
        <v>1.25</v>
      </c>
      <c r="R40">
        <f>M40+IF(N40&gt;1,N(O40)*(N40-1),0)</f>
        <v/>
      </c>
      <c r="S40">
        <f>IFERROR(L40*MAX(N40,1)/R40*IF(ISBLANK(K37),1,K37),0)</f>
        <v/>
      </c>
      <c r="AB40" s="7" t="inlineStr">
        <is>
          <t>^Warhead_Laser_Heavy</t>
        </is>
      </c>
    </row>
    <row r="41">
      <c r="B41" s="7" t="inlineStr">
        <is>
          <t xml:space="preserve">  ↳ BlackHoleMaker_elite</t>
        </is>
      </c>
      <c r="C41" s="7" t="inlineStr">
        <is>
          <t>Armament@GARRISONEDELITE</t>
        </is>
      </c>
      <c r="L41" s="6" t="n">
        <v>60000</v>
      </c>
      <c r="M41" s="6" t="n">
        <v>60</v>
      </c>
      <c r="N41" s="6" t="n">
        <v>2</v>
      </c>
      <c r="O41" s="6" t="n">
        <v>3</v>
      </c>
      <c r="P41" s="6" t="n">
        <v>7414</v>
      </c>
      <c r="Q41" s="6" t="n">
        <v>1.25</v>
      </c>
      <c r="R41">
        <f>M41+IF(N41&gt;1,N(O41)*(N41-1),0)</f>
        <v/>
      </c>
      <c r="S41">
        <f>IFERROR(L41*MAX(N41,1)/R41*IF(ISBLANK(K37),1,K37),0)</f>
        <v/>
      </c>
      <c r="AB41" s="7" t="inlineStr">
        <is>
          <t>^Warhead_Laser_Heavy</t>
        </is>
      </c>
    </row>
    <row r="42">
      <c r="A42" t="inlineStr">
        <is>
          <t>redalert2mod</t>
        </is>
      </c>
      <c r="B42" t="inlineStr">
        <is>
          <t>schwarzermond_ubermensch</t>
        </is>
      </c>
      <c r="C42" t="inlineStr">
        <is>
          <t>Übermensch</t>
        </is>
      </c>
      <c r="D42" s="6" t="inlineStr">
        <is>
          <t>HeavyInfantry</t>
        </is>
      </c>
      <c r="E42" s="6" t="n">
        <v>64000</v>
      </c>
      <c r="F42" s="6" t="n">
        <v>64</v>
      </c>
      <c r="G42" t="inlineStr">
        <is>
          <t>Plate</t>
        </is>
      </c>
      <c r="H42" s="6" t="n">
        <v>0.75</v>
      </c>
      <c r="I42" s="6" t="n">
        <v>0.8</v>
      </c>
      <c r="J42" s="6" t="n">
        <v>1</v>
      </c>
      <c r="K42" s="6" t="n"/>
      <c r="P42">
        <f>MAX(P43,P44,P47,P48,P51,P52)</f>
        <v/>
      </c>
      <c r="S42">
        <f>S43+S44+S47+S48+S51+S52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(T42+U42+V42)/3</f>
        <v/>
      </c>
      <c r="X42" s="6" t="n">
        <v>700</v>
      </c>
      <c r="Y42">
        <f>IFERROR(W42-X42,"")</f>
        <v/>
      </c>
      <c r="Z42">
        <f>IFERROR(ABS(Y42)/MAX(X42,1),"")</f>
        <v/>
      </c>
      <c r="AA42">
        <f>IFERROR((X42-(((E42/100000+F42/100+S42/200)*200*I42*H42)+((E42*F42/25000)*I42*H42))/3)/(((J42/5)*200*I42*H42)+((J42*S42/2.5)*I42*H42)+((E42*F42*J42*S42*I42*H42)/12500000))/3*1000,"")</f>
        <v/>
      </c>
    </row>
    <row r="43">
      <c r="B43" s="7" t="inlineStr">
        <is>
          <t xml:space="preserve">  ↳ UbermenschLaser</t>
        </is>
      </c>
      <c r="C43" s="7" t="inlineStr">
        <is>
          <t>Armament@PRIMARY</t>
        </is>
      </c>
      <c r="L43" s="6" t="n">
        <v>16000</v>
      </c>
      <c r="M43" s="6" t="n">
        <v>30</v>
      </c>
      <c r="N43" s="6" t="n">
        <v>2</v>
      </c>
      <c r="O43" s="6" t="n">
        <v>3</v>
      </c>
      <c r="P43" s="6" t="n">
        <v>5801</v>
      </c>
      <c r="Q43" s="6" t="n">
        <v>1.125</v>
      </c>
      <c r="R43">
        <f>M43+IF(N43&gt;1,N(O43)*(N43-1),0)</f>
        <v/>
      </c>
      <c r="S43">
        <f>IFERROR(L43*MAX(N43,1)/R43*IF(ISBLANK(K42),1,K42),0)</f>
        <v/>
      </c>
      <c r="AB43" s="7" t="inlineStr">
        <is>
          <t>^Warhead_Tesla_Heavy, ^Warhead_CannonHE_Medium</t>
        </is>
      </c>
    </row>
    <row r="44">
      <c r="B44" s="7" t="inlineStr">
        <is>
          <t xml:space="preserve">  ↳ UbermenschLaser_elite</t>
        </is>
      </c>
      <c r="C44" s="7" t="inlineStr">
        <is>
          <t>Armament@ELITE</t>
        </is>
      </c>
      <c r="L44" s="6" t="n">
        <v>16000</v>
      </c>
      <c r="M44" s="6" t="n">
        <v>30</v>
      </c>
      <c r="N44" s="6" t="n">
        <v>4</v>
      </c>
      <c r="O44" s="6" t="n">
        <v>3</v>
      </c>
      <c r="P44" s="6" t="n">
        <v>6801</v>
      </c>
      <c r="Q44" s="6" t="n">
        <v>1.125</v>
      </c>
      <c r="R44">
        <f>M44+IF(N44&gt;1,N(O44)*(N44-1),0)</f>
        <v/>
      </c>
      <c r="S44">
        <f>IFERROR(L44*MAX(N44,1)/R44*IF(ISBLANK(K42),1,K42),0)</f>
        <v/>
      </c>
      <c r="AB44" s="7" t="inlineStr">
        <is>
          <t>^Warhead_Tesla_Heavy, ^Warhead_CannonHE_Medium</t>
        </is>
      </c>
    </row>
    <row r="45">
      <c r="B45" s="7" t="inlineStr">
        <is>
          <t xml:space="preserve">  ↳ UbermenschLaser</t>
        </is>
      </c>
      <c r="C45" s="7" t="inlineStr">
        <is>
          <t>Armament@GARRISONED</t>
        </is>
      </c>
      <c r="L45" s="6" t="n">
        <v>16000</v>
      </c>
      <c r="M45" s="6" t="n">
        <v>30</v>
      </c>
      <c r="N45" s="6" t="n">
        <v>2</v>
      </c>
      <c r="O45" s="6" t="n">
        <v>3</v>
      </c>
      <c r="P45" s="6" t="n">
        <v>5801</v>
      </c>
      <c r="Q45" s="6" t="n">
        <v>1.125</v>
      </c>
      <c r="R45">
        <f>M45+IF(N45&gt;1,N(O45)*(N45-1),0)</f>
        <v/>
      </c>
      <c r="S45">
        <f>IFERROR(L45*MAX(N45,1)/R45*IF(ISBLANK(K42),1,K42),0)</f>
        <v/>
      </c>
      <c r="AB45" s="7" t="inlineStr">
        <is>
          <t>^Warhead_Tesla_Heavy, ^Warhead_CannonHE_Medium</t>
        </is>
      </c>
    </row>
    <row r="46">
      <c r="B46" s="7" t="inlineStr">
        <is>
          <t xml:space="preserve">  ↳ UbermenschLaser_elite</t>
        </is>
      </c>
      <c r="C46" s="7" t="inlineStr">
        <is>
          <t>Armament@GARRISONEDELITE</t>
        </is>
      </c>
      <c r="L46" s="6" t="n">
        <v>16000</v>
      </c>
      <c r="M46" s="6" t="n">
        <v>30</v>
      </c>
      <c r="N46" s="6" t="n">
        <v>4</v>
      </c>
      <c r="O46" s="6" t="n">
        <v>3</v>
      </c>
      <c r="P46" s="6" t="n">
        <v>6801</v>
      </c>
      <c r="Q46" s="6" t="n">
        <v>1.125</v>
      </c>
      <c r="R46">
        <f>M46+IF(N46&gt;1,N(O46)*(N46-1),0)</f>
        <v/>
      </c>
      <c r="S46">
        <f>IFERROR(L46*MAX(N46,1)/R46*IF(ISBLANK(K42),1,K42),0)</f>
        <v/>
      </c>
      <c r="AB46" s="7" t="inlineStr">
        <is>
          <t>^Warhead_Tesla_Heavy, ^Warhead_CannonHE_Medium</t>
        </is>
      </c>
    </row>
    <row r="47">
      <c r="B47" s="7" t="inlineStr">
        <is>
          <t xml:space="preserve">  ↳ Lunar_YellowUbermenschLaser</t>
        </is>
      </c>
      <c r="C47" s="7" t="inlineStr">
        <is>
          <t>Armament@PRIMARY_UP</t>
        </is>
      </c>
      <c r="L47" s="6" t="n">
        <v>16000</v>
      </c>
      <c r="M47" s="6" t="n">
        <v>30</v>
      </c>
      <c r="N47" s="6" t="n">
        <v>3</v>
      </c>
      <c r="O47" s="6" t="n">
        <v>3</v>
      </c>
      <c r="P47" s="6" t="n">
        <v>5801</v>
      </c>
      <c r="Q47" s="6" t="n">
        <v>1.125</v>
      </c>
      <c r="R47">
        <f>M47+IF(N47&gt;1,N(O47)*(N47-1),0)</f>
        <v/>
      </c>
      <c r="S47">
        <f>IFERROR(L47*MAX(N47,1)/R47*IF(ISBLANK(K42),1,K42),0)</f>
        <v/>
      </c>
      <c r="AB47" s="7" t="inlineStr">
        <is>
          <t>^Warhead_Tesla_Heavy, ^Warhead_CannonHE_Medium</t>
        </is>
      </c>
    </row>
    <row r="48">
      <c r="B48" s="7" t="inlineStr">
        <is>
          <t xml:space="preserve">  ↳ Lunar_YellowUbermenschLaser_elite</t>
        </is>
      </c>
      <c r="C48" s="7" t="inlineStr">
        <is>
          <t>Armament@ELITE_UP</t>
        </is>
      </c>
      <c r="L48" s="6" t="n">
        <v>16000</v>
      </c>
      <c r="M48" s="6" t="n">
        <v>30</v>
      </c>
      <c r="N48" s="6" t="n">
        <v>5</v>
      </c>
      <c r="O48" s="6" t="n">
        <v>3</v>
      </c>
      <c r="P48" s="6" t="n">
        <v>6801</v>
      </c>
      <c r="Q48" s="6" t="n">
        <v>1.125</v>
      </c>
      <c r="R48">
        <f>M48+IF(N48&gt;1,N(O48)*(N48-1),0)</f>
        <v/>
      </c>
      <c r="S48">
        <f>IFERROR(L48*MAX(N48,1)/R48*IF(ISBLANK(K42),1,K42),0)</f>
        <v/>
      </c>
      <c r="AB48" s="7" t="inlineStr">
        <is>
          <t>^Warhead_Tesla_Heavy, ^Warhead_CannonHE_Medium</t>
        </is>
      </c>
    </row>
    <row r="49">
      <c r="B49" s="7" t="inlineStr">
        <is>
          <t xml:space="preserve">  ↳ Lunar_YellowUbermenschLaser</t>
        </is>
      </c>
      <c r="C49" s="7" t="inlineStr">
        <is>
          <t>Armament@GARRISONED_UP</t>
        </is>
      </c>
      <c r="L49" s="6" t="n">
        <v>16000</v>
      </c>
      <c r="M49" s="6" t="n">
        <v>30</v>
      </c>
      <c r="N49" s="6" t="n">
        <v>3</v>
      </c>
      <c r="O49" s="6" t="n">
        <v>3</v>
      </c>
      <c r="P49" s="6" t="n">
        <v>5801</v>
      </c>
      <c r="Q49" s="6" t="n">
        <v>1.125</v>
      </c>
      <c r="R49">
        <f>M49+IF(N49&gt;1,N(O49)*(N49-1),0)</f>
        <v/>
      </c>
      <c r="S49">
        <f>IFERROR(L49*MAX(N49,1)/R49*IF(ISBLANK(K42),1,K42),0)</f>
        <v/>
      </c>
      <c r="AB49" s="7" t="inlineStr">
        <is>
          <t>^Warhead_Tesla_Heavy, ^Warhead_CannonHE_Medium</t>
        </is>
      </c>
    </row>
    <row r="50">
      <c r="B50" s="7" t="inlineStr">
        <is>
          <t xml:space="preserve">  ↳ Lunar_YellowUbermenschLaser_elite</t>
        </is>
      </c>
      <c r="C50" s="7" t="inlineStr">
        <is>
          <t>Armament@GARRISONEDELITE_UP</t>
        </is>
      </c>
      <c r="L50" s="6" t="n">
        <v>16000</v>
      </c>
      <c r="M50" s="6" t="n">
        <v>30</v>
      </c>
      <c r="N50" s="6" t="n">
        <v>5</v>
      </c>
      <c r="O50" s="6" t="n">
        <v>3</v>
      </c>
      <c r="P50" s="6" t="n">
        <v>6801</v>
      </c>
      <c r="Q50" s="6" t="n">
        <v>1.125</v>
      </c>
      <c r="R50">
        <f>M50+IF(N50&gt;1,N(O50)*(N50-1),0)</f>
        <v/>
      </c>
      <c r="S50">
        <f>IFERROR(L50*MAX(N50,1)/R50*IF(ISBLANK(K42),1,K42),0)</f>
        <v/>
      </c>
      <c r="AB50" s="7" t="inlineStr">
        <is>
          <t>^Warhead_Tesla_Heavy, ^Warhead_CannonHE_Medium</t>
        </is>
      </c>
    </row>
    <row r="51">
      <c r="B51" s="7" t="inlineStr">
        <is>
          <t xml:space="preserve">  ↳ Lunar_AmplifiedUbermenschLaser</t>
        </is>
      </c>
      <c r="C51" s="7" t="inlineStr">
        <is>
          <t>Armament@PRIMARY_AMP</t>
        </is>
      </c>
      <c r="L51" s="6" t="n">
        <v>16000</v>
      </c>
      <c r="M51" s="6" t="n">
        <v>30</v>
      </c>
      <c r="N51" s="6" t="n">
        <v>4</v>
      </c>
      <c r="O51" s="6" t="n">
        <v>3</v>
      </c>
      <c r="P51" s="6" t="n">
        <v>5801</v>
      </c>
      <c r="Q51" s="6" t="n">
        <v>1.125</v>
      </c>
      <c r="R51">
        <f>M51+IF(N51&gt;1,N(O51)*(N51-1),0)</f>
        <v/>
      </c>
      <c r="S51">
        <f>IFERROR(L51*MAX(N51,1)/R51*IF(ISBLANK(K42),1,K42),0)</f>
        <v/>
      </c>
      <c r="AB51" s="7" t="inlineStr">
        <is>
          <t>^Warhead_Tesla_Heavy, ^Warhead_CannonHE_Medium</t>
        </is>
      </c>
    </row>
    <row r="52">
      <c r="B52" s="7" t="inlineStr">
        <is>
          <t xml:space="preserve">  ↳ Lunar_AmplifiedUbermenschLaser_elite</t>
        </is>
      </c>
      <c r="C52" s="7" t="inlineStr">
        <is>
          <t>Armament@ELITE_AMP</t>
        </is>
      </c>
      <c r="L52" s="6" t="n">
        <v>16000</v>
      </c>
      <c r="M52" s="6" t="n">
        <v>30</v>
      </c>
      <c r="N52" s="6" t="n">
        <v>6</v>
      </c>
      <c r="O52" s="6" t="n">
        <v>3</v>
      </c>
      <c r="P52" s="6" t="n">
        <v>6801</v>
      </c>
      <c r="Q52" s="6" t="n">
        <v>1.125</v>
      </c>
      <c r="R52">
        <f>M52+IF(N52&gt;1,N(O52)*(N52-1),0)</f>
        <v/>
      </c>
      <c r="S52">
        <f>IFERROR(L52*MAX(N52,1)/R52*IF(ISBLANK(K42),1,K42),0)</f>
        <v/>
      </c>
      <c r="AB52" s="7" t="inlineStr">
        <is>
          <t>^Warhead_Tesla_Heavy, ^Warhead_CannonHE_Medium</t>
        </is>
      </c>
    </row>
    <row r="53">
      <c r="B53" s="7" t="inlineStr">
        <is>
          <t xml:space="preserve">  ↳ Lunar_AmplifiedUbermenschLaser</t>
        </is>
      </c>
      <c r="C53" s="7" t="inlineStr">
        <is>
          <t>Armament@GARRISONED_AMP</t>
        </is>
      </c>
      <c r="L53" s="6" t="n">
        <v>16000</v>
      </c>
      <c r="M53" s="6" t="n">
        <v>30</v>
      </c>
      <c r="N53" s="6" t="n">
        <v>4</v>
      </c>
      <c r="O53" s="6" t="n">
        <v>3</v>
      </c>
      <c r="P53" s="6" t="n">
        <v>5801</v>
      </c>
      <c r="Q53" s="6" t="n">
        <v>1.125</v>
      </c>
      <c r="R53">
        <f>M53+IF(N53&gt;1,N(O53)*(N53-1),0)</f>
        <v/>
      </c>
      <c r="S53">
        <f>IFERROR(L53*MAX(N53,1)/R53*IF(ISBLANK(K42),1,K42),0)</f>
        <v/>
      </c>
      <c r="AB53" s="7" t="inlineStr">
        <is>
          <t>^Warhead_Tesla_Heavy, ^Warhead_CannonHE_Medium</t>
        </is>
      </c>
    </row>
    <row r="54">
      <c r="B54" s="7" t="inlineStr">
        <is>
          <t xml:space="preserve">  ↳ Lunar_AmplifiedUbermenschLaser_elite</t>
        </is>
      </c>
      <c r="C54" s="7" t="inlineStr">
        <is>
          <t>Armament@GARRISONEDELITE_AMP</t>
        </is>
      </c>
      <c r="L54" s="6" t="n">
        <v>16000</v>
      </c>
      <c r="M54" s="6" t="n">
        <v>30</v>
      </c>
      <c r="N54" s="6" t="n">
        <v>6</v>
      </c>
      <c r="O54" s="6" t="n">
        <v>3</v>
      </c>
      <c r="P54" s="6" t="n">
        <v>6801</v>
      </c>
      <c r="Q54" s="6" t="n">
        <v>1.125</v>
      </c>
      <c r="R54">
        <f>M54+IF(N54&gt;1,N(O54)*(N54-1),0)</f>
        <v/>
      </c>
      <c r="S54">
        <f>IFERROR(L54*MAX(N54,1)/R54*IF(ISBLANK(K42),1,K42),0)</f>
        <v/>
      </c>
      <c r="AB54" s="7" t="inlineStr">
        <is>
          <t>^Warhead_Tesla_Heavy, ^Warhead_CannonHE_Medium</t>
        </is>
      </c>
    </row>
    <row r="55">
      <c r="A55" s="4" t="inlineStr">
        <is>
          <t>VEHICLES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>
      <c r="A56" t="inlineStr">
        <is>
          <t>redalert2mod</t>
        </is>
      </c>
      <c r="B56" t="inlineStr">
        <is>
          <t>schwarzermond_crystaltank</t>
        </is>
      </c>
      <c r="C56" t="inlineStr">
        <is>
          <t>Crystal Tank</t>
        </is>
      </c>
      <c r="D56" s="6" t="inlineStr">
        <is>
          <t>FireSupport</t>
        </is>
      </c>
      <c r="E56" s="6" t="n">
        <v>400000</v>
      </c>
      <c r="F56" s="6" t="n">
        <v>60</v>
      </c>
      <c r="G56" t="inlineStr">
        <is>
          <t>Light</t>
        </is>
      </c>
      <c r="H56" s="6" t="n">
        <v>0.75</v>
      </c>
      <c r="I56" s="6" t="n">
        <v>1</v>
      </c>
      <c r="J56" s="6" t="n">
        <v>1.25</v>
      </c>
      <c r="K56" s="6" t="n"/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(((E56/120000)+(F56/90)+(S56/2100)+((P56/10000)*J56))*1400/4+(((E56/120000)*(F56/90))+(((P56/10000)*J56)*(S56/2100)))*1400/2+((E56/120000)*(F56/90)*((P56/10000)*J56)*(S56/2100))*1400)*(H56/0.6735)/3</f>
        <v/>
      </c>
      <c r="X56" s="6" t="n">
        <v>1700</v>
      </c>
      <c r="Y56">
        <f>IFERROR(W56-X56,"")</f>
        <v/>
      </c>
      <c r="Z56">
        <f>IFERROR(ABS(Y56)/MAX(X56,1),"")</f>
        <v/>
      </c>
      <c r="AA56">
        <f>IFERROR(ROUND(((3*X56-(((E56/120000)+(F56/90)+(S56/2100))*1400/4+((E56/120000)*(F56/90))*1400/2)*(H56/0.6735))/(1400/4+((S56/2100))*1400/2+((E56/120000)*(F56/90)*(S56/2100))*1400)*(H56/0.6735)*10000)/J56,-1),"")</f>
        <v/>
      </c>
    </row>
    <row r="57">
      <c r="B57" s="7" t="inlineStr">
        <is>
          <t xml:space="preserve">  ↳ NaxCrystalLeech</t>
        </is>
      </c>
      <c r="C57" s="7" t="inlineStr">
        <is>
          <t>Armament@AG</t>
        </is>
      </c>
      <c r="L57" s="6" t="n">
        <v>2000</v>
      </c>
      <c r="M57" s="6" t="n">
        <v>90</v>
      </c>
      <c r="N57" s="6" t="n">
        <v>10</v>
      </c>
      <c r="O57" s="6" t="n">
        <v>1</v>
      </c>
      <c r="P57" s="6" t="n">
        <v>7420</v>
      </c>
      <c r="Q57" s="6" t="n">
        <v>1.25</v>
      </c>
      <c r="R57">
        <f>M57+IF(N57&gt;1,N(O57)*(N57-1),0)</f>
        <v/>
      </c>
      <c r="S57">
        <f>IFERROR(L57*MAX(N57,1)/R57*IF(ISBLANK(K56),1,K56),0)</f>
        <v/>
      </c>
      <c r="AB57" s="7" t="inlineStr">
        <is>
          <t>^Warhead_Tesla_Heavy</t>
        </is>
      </c>
    </row>
    <row r="58">
      <c r="B58" s="7" t="inlineStr">
        <is>
          <t xml:space="preserve">  ↳ NaxCrystalLeech_elite</t>
        </is>
      </c>
      <c r="C58" s="7" t="inlineStr">
        <is>
          <t>Armament@ELITE</t>
        </is>
      </c>
      <c r="L58" s="6" t="n">
        <v>2000</v>
      </c>
      <c r="M58" s="6" t="n">
        <v>25</v>
      </c>
      <c r="N58" s="6" t="n">
        <v>20</v>
      </c>
      <c r="O58" s="6" t="n">
        <v>1</v>
      </c>
      <c r="P58" s="6" t="n">
        <v>8420</v>
      </c>
      <c r="Q58" s="6" t="n">
        <v>1</v>
      </c>
      <c r="R58">
        <f>M58+IF(N58&gt;1,N(O58)*(N58-1),0)</f>
        <v/>
      </c>
      <c r="S58">
        <f>IFERROR(L58*MAX(N58,1)/R58*IF(ISBLANK(K56),1,K56),0)</f>
        <v/>
      </c>
      <c r="AB58" s="7" t="inlineStr">
        <is>
          <t>^Warhead_Tesla_Super</t>
        </is>
      </c>
    </row>
    <row r="59">
      <c r="A59" t="inlineStr">
        <is>
          <t>redalert2mod</t>
        </is>
      </c>
      <c r="B59" t="inlineStr">
        <is>
          <t>schwarzermond_dalek</t>
        </is>
      </c>
      <c r="C59" t="inlineStr">
        <is>
          <t>Dalek</t>
        </is>
      </c>
      <c r="D59" s="6" t="inlineStr">
        <is>
          <t>EpicVehicle</t>
        </is>
      </c>
      <c r="E59" s="6" t="n">
        <v>325000</v>
      </c>
      <c r="F59" s="6" t="n">
        <v>65</v>
      </c>
      <c r="G59" t="inlineStr">
        <is>
          <t>Superheavy</t>
        </is>
      </c>
      <c r="H59" s="6" t="n">
        <v>0.75</v>
      </c>
      <c r="I59" s="6" t="n">
        <v>0.4</v>
      </c>
      <c r="J59" s="6" t="n">
        <v>1</v>
      </c>
      <c r="K59" s="6" t="n">
        <v>0.005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(((E59/4000000)+(F59/60)+(S59/20000)+((P59/8500)*J59))*10000/4+(((E59/4000000)*(F59/60))+(((P59/8500)*J59)*(S59/20000)))*10000/2+((E59/4000000)*(F59/60)*((P59/8500)*J59)*(S59/20000))*10000)*(H59/0.75)/3</f>
        <v/>
      </c>
      <c r="X59" s="6" t="n">
        <v>9000</v>
      </c>
      <c r="Y59">
        <f>IFERROR(W59-X59,"")</f>
        <v/>
      </c>
      <c r="Z59">
        <f>IFERROR(ABS(Y59)/MAX(X59,1),"")</f>
        <v/>
      </c>
      <c r="AA59">
        <f>IFERROR(ROUND(((3*X59-(((E59/4000000)+(F59/60)+(S59/20000))*10000/4+((E59/4000000)*(F59/60))*10000/2)*(H59/0.75))/(10000/4+((S59/20000))*10000/2+((E59/4000000)*(F59/60)*(S59/20000))*10000)*(H59/0.75)*8500)/J59,-1),"")</f>
        <v/>
      </c>
    </row>
    <row r="60">
      <c r="B60" s="7" t="inlineStr">
        <is>
          <t xml:space="preserve">  ↳ DalekCannon</t>
        </is>
      </c>
      <c r="C60" s="7" t="inlineStr">
        <is>
          <t>Armament@PRIMARY</t>
        </is>
      </c>
      <c r="L60" s="6" t="n">
        <v>300000</v>
      </c>
      <c r="M60" s="6" t="n">
        <v>76</v>
      </c>
      <c r="N60" s="6" t="n">
        <v>1</v>
      </c>
      <c r="O60" s="6" t="n"/>
      <c r="P60" s="6" t="n">
        <v>8060</v>
      </c>
      <c r="Q60" s="6" t="n">
        <v>1</v>
      </c>
      <c r="R60">
        <f>M60+IF(N60&gt;1,N(O60)*(N60-1),0)</f>
        <v/>
      </c>
      <c r="S60">
        <f>IFERROR(L60*MAX(N60,1)/R60*IF(ISBLANK(K59),1,K59),0)</f>
        <v/>
      </c>
      <c r="AB60" s="7" t="inlineStr">
        <is>
          <t>^Warhead_Tesla_Heavy, ^Warhead_Laser_Heavy, ^Warhead_Railgun_Heavy</t>
        </is>
      </c>
    </row>
    <row r="61">
      <c r="B61" s="7" t="inlineStr">
        <is>
          <t xml:space="preserve">  ↳ DalekCannon_elite</t>
        </is>
      </c>
      <c r="C61" s="7" t="inlineStr">
        <is>
          <t>Armament@ELITE</t>
        </is>
      </c>
      <c r="L61" s="6" t="n">
        <v>600000</v>
      </c>
      <c r="M61" s="6" t="n">
        <v>76</v>
      </c>
      <c r="N61" s="6" t="n">
        <v>1</v>
      </c>
      <c r="O61" s="6" t="n"/>
      <c r="P61" s="6" t="n">
        <v>9060</v>
      </c>
      <c r="Q61" s="6" t="n">
        <v>1</v>
      </c>
      <c r="R61">
        <f>M61+IF(N61&gt;1,N(O61)*(N61-1),0)</f>
        <v/>
      </c>
      <c r="S61">
        <f>IFERROR(L61*MAX(N61,1)/R61*IF(ISBLANK(K59),1,K59),0)</f>
        <v/>
      </c>
      <c r="AB61" s="7" t="inlineStr">
        <is>
          <t>^Warhead_Tesla_Heavy, ^Warhead_Laser_Heavy, ^Warhead_Railgun_Heavy</t>
        </is>
      </c>
    </row>
    <row r="62">
      <c r="A62" t="inlineStr">
        <is>
          <t>redalert2mod</t>
        </is>
      </c>
      <c r="B62" t="inlineStr">
        <is>
          <t>schwarzermond_gravitycoretank</t>
        </is>
      </c>
      <c r="C62" t="inlineStr">
        <is>
          <t>Gravity Core Tank</t>
        </is>
      </c>
      <c r="D62" s="6" t="inlineStr">
        <is>
          <t>SupportVehicle</t>
        </is>
      </c>
      <c r="E62" s="6" t="n">
        <v>300000</v>
      </c>
      <c r="F62" s="6" t="n">
        <v>40</v>
      </c>
      <c r="G62" t="inlineStr">
        <is>
          <t>Medium</t>
        </is>
      </c>
      <c r="H62" s="6" t="n">
        <v>0.4839</v>
      </c>
      <c r="I62" s="6" t="n">
        <v>1</v>
      </c>
      <c r="J62" s="6" t="n">
        <v>1</v>
      </c>
      <c r="K62" s="6" t="n"/>
      <c r="X62" s="6" t="n">
        <v>1500</v>
      </c>
    </row>
    <row r="63">
      <c r="B63" s="7" t="inlineStr">
        <is>
          <t xml:space="preserve">  ↳ GLStingerTargeting</t>
        </is>
      </c>
      <c r="C63" s="7" t="inlineStr">
        <is>
          <t>Armament@AG</t>
        </is>
      </c>
      <c r="L63" s="6" t="n"/>
      <c r="M63" s="6" t="n">
        <v>25</v>
      </c>
      <c r="N63" s="6" t="n">
        <v>1</v>
      </c>
      <c r="O63" s="6" t="n"/>
      <c r="P63" s="6" t="n">
        <v>15000</v>
      </c>
      <c r="Q63" s="6" t="n">
        <v>1</v>
      </c>
      <c r="R63">
        <f>M63+IF(N63&gt;1,N(O63)*(N63-1),0)</f>
        <v/>
      </c>
      <c r="S63">
        <f>IFERROR(L63*MAX(N63,1)/R63*IF(ISBLANK(K62),1,K62),0)</f>
        <v/>
      </c>
      <c r="AB63" s="7" t="inlineStr"/>
    </row>
    <row r="64">
      <c r="A64" t="inlineStr">
        <is>
          <t>redalert2mod</t>
        </is>
      </c>
      <c r="B64" t="inlineStr">
        <is>
          <t>schwarzermond_komet</t>
        </is>
      </c>
      <c r="C64" t="inlineStr">
        <is>
          <t>Komet</t>
        </is>
      </c>
      <c r="D64" s="6" t="inlineStr">
        <is>
          <t>SupportVehicle</t>
        </is>
      </c>
      <c r="E64" s="6" t="n">
        <v>70000</v>
      </c>
      <c r="F64" s="6" t="n">
        <v>60</v>
      </c>
      <c r="G64" t="inlineStr">
        <is>
          <t>Medium</t>
        </is>
      </c>
      <c r="H64" s="6" t="n">
        <v>0.6846</v>
      </c>
      <c r="I64" s="6" t="n">
        <v>1</v>
      </c>
      <c r="J64" s="6" t="n">
        <v>1</v>
      </c>
      <c r="K64" s="6" t="n">
        <v>0.0125</v>
      </c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2500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Naxis_Komet</t>
        </is>
      </c>
      <c r="C65" s="7" t="inlineStr">
        <is>
          <t>Armament</t>
        </is>
      </c>
      <c r="L65" s="6" t="n">
        <v>32000</v>
      </c>
      <c r="M65" s="6" t="n">
        <v>60</v>
      </c>
      <c r="N65" s="6" t="n">
        <v>2</v>
      </c>
      <c r="O65" s="6" t="n">
        <v>4</v>
      </c>
      <c r="P65" s="6" t="n">
        <v>7825</v>
      </c>
      <c r="Q65" s="6" t="n">
        <v>1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^FlakWeapon, ^Grenade, ^HeavyAAWeapon, ^MediumMissile</t>
        </is>
      </c>
    </row>
    <row r="66">
      <c r="B66" s="7" t="inlineStr">
        <is>
          <t xml:space="preserve">  ↳ Naxis_Komet_AA</t>
        </is>
      </c>
      <c r="C66" s="7" t="inlineStr">
        <is>
          <t>Armament@AA</t>
        </is>
      </c>
      <c r="L66" s="6" t="n">
        <v>32000</v>
      </c>
      <c r="M66" s="6" t="n">
        <v>60</v>
      </c>
      <c r="N66" s="6" t="n">
        <v>2</v>
      </c>
      <c r="O66" s="6" t="n">
        <v>4</v>
      </c>
      <c r="P66" s="6" t="n">
        <v>11740</v>
      </c>
      <c r="Q66" s="6" t="n">
        <v>1</v>
      </c>
      <c r="R66">
        <f>M66+IF(N66&gt;1,N(O66)*(N66-1),0)</f>
        <v/>
      </c>
      <c r="S66">
        <f>IFERROR(L66*MAX(N66,1)/R66*IF(ISBLANK(K64),1,K64),0)</f>
        <v/>
      </c>
      <c r="AB66" s="7" t="inlineStr">
        <is>
          <t>Naxis_Komet</t>
        </is>
      </c>
    </row>
    <row r="67">
      <c r="A67" t="inlineStr">
        <is>
          <t>redalert2mod</t>
        </is>
      </c>
      <c r="B67" t="inlineStr">
        <is>
          <t>schwarzermond_korruptesbiest</t>
        </is>
      </c>
      <c r="C67" t="inlineStr">
        <is>
          <t>Korruptes Biest</t>
        </is>
      </c>
      <c r="D67" s="6" t="inlineStr">
        <is>
          <t>FireSupport</t>
        </is>
      </c>
      <c r="E67" s="6" t="n">
        <v>240000</v>
      </c>
      <c r="F67" s="6" t="n">
        <v>40</v>
      </c>
      <c r="G67" t="inlineStr">
        <is>
          <t>Light</t>
        </is>
      </c>
      <c r="H67" s="6" t="n">
        <v>0.75</v>
      </c>
      <c r="I67" s="6" t="n">
        <v>1</v>
      </c>
      <c r="J67" s="6" t="n">
        <v>1.25</v>
      </c>
      <c r="K67" s="6" t="n"/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(((E67/120000)+(F67/90)+(S67/2100)+((P67/10000)*J67))*1400/4+(((E67/120000)*(F67/90))+(((P67/10000)*J67)*(S67/2100)))*1400/2+((E67/120000)*(F67/90)*((P67/10000)*J67)*(S67/2100))*1400)*(H67/0.6735)/3</f>
        <v/>
      </c>
      <c r="X67" s="6" t="n">
        <v>3500</v>
      </c>
      <c r="Y67">
        <f>IFERROR(W67-X67,"")</f>
        <v/>
      </c>
      <c r="Z67">
        <f>IFERROR(ABS(Y67)/MAX(X67,1),"")</f>
        <v/>
      </c>
      <c r="AA67">
        <f>IFERROR(ROUND(((3*X67-(((E67/120000)+(F67/90)+(S67/2100))*1400/4+((E67/120000)*(F67/90))*1400/2)*(H67/0.6735))/(1400/4+((S67/2100))*1400/2+((E67/120000)*(F67/90)*(S67/2100))*1400)*(H67/0.6735)*10000)/J67,-1),"")</f>
        <v/>
      </c>
    </row>
    <row r="68">
      <c r="B68" s="7" t="inlineStr">
        <is>
          <t xml:space="preserve">  ↳ NaxCorrosionBeast</t>
        </is>
      </c>
      <c r="C68" s="7" t="inlineStr">
        <is>
          <t>Armament@PRIMARY</t>
        </is>
      </c>
      <c r="L68" s="6" t="n">
        <v>6000</v>
      </c>
      <c r="M68" s="6" t="n">
        <v>34</v>
      </c>
      <c r="N68" s="6" t="n">
        <v>8</v>
      </c>
      <c r="O68" s="6" t="n">
        <v>2</v>
      </c>
      <c r="P68" s="6" t="n">
        <v>7984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^Warhead_Concussion_Light, ^Warhead_MissileAP_Heavy, ^Warhead_MissileAP_Medium</t>
        </is>
      </c>
    </row>
    <row r="69">
      <c r="B69" s="7" t="inlineStr">
        <is>
          <t xml:space="preserve">  ↳ NaxCorrosionBeast_elite</t>
        </is>
      </c>
      <c r="C69" s="7" t="inlineStr">
        <is>
          <t>Armament@ELITE</t>
        </is>
      </c>
      <c r="L69" s="6" t="n">
        <v>6000</v>
      </c>
      <c r="M69" s="6" t="n">
        <v>34</v>
      </c>
      <c r="N69" s="6" t="n">
        <v>16</v>
      </c>
      <c r="O69" s="6" t="n">
        <v>2</v>
      </c>
      <c r="P69" s="6" t="n">
        <v>8984</v>
      </c>
      <c r="Q69" s="6" t="n">
        <v>1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^Warhead_Concussion_Light, ^Warhead_MissileAP_Heavy, ^Warhead_MissileAP_Medium</t>
        </is>
      </c>
    </row>
    <row r="70">
      <c r="A70" t="inlineStr">
        <is>
          <t>redalert2mod</t>
        </is>
      </c>
      <c r="B70" t="inlineStr">
        <is>
          <t>schwarzermond_laserbeetle</t>
        </is>
      </c>
      <c r="C70" t="inlineStr">
        <is>
          <t>Laser Beetle</t>
        </is>
      </c>
      <c r="D70" s="6" t="inlineStr">
        <is>
          <t>SupportVehicle</t>
        </is>
      </c>
      <c r="E70" s="6" t="n">
        <v>47500</v>
      </c>
      <c r="F70" s="6" t="n">
        <v>85</v>
      </c>
      <c r="G70" t="inlineStr">
        <is>
          <t>Medium</t>
        </is>
      </c>
      <c r="H70" s="6" t="n">
        <v>1</v>
      </c>
      <c r="I70" s="6" t="n">
        <v>1</v>
      </c>
      <c r="J70" s="6" t="n">
        <v>1</v>
      </c>
      <c r="K70" s="6" t="n"/>
      <c r="P70">
        <f>MAX(P71,P72,P73,P74,P75,P76)</f>
        <v/>
      </c>
      <c r="S70">
        <f>S71+S72+S73+S74+S75+S76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700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NaxiBeetleLaser_elite</t>
        </is>
      </c>
      <c r="C71" s="7" t="inlineStr">
        <is>
          <t>Armament</t>
        </is>
      </c>
      <c r="L71" s="6" t="n">
        <v>8000</v>
      </c>
      <c r="M71" s="6" t="n">
        <v>60</v>
      </c>
      <c r="N71" s="6" t="n">
        <v>2</v>
      </c>
      <c r="O71" s="6" t="n">
        <v>4</v>
      </c>
      <c r="P71" s="6" t="n">
        <v>6448</v>
      </c>
      <c r="Q71" s="6" t="n">
        <v>1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^SmallArms, ^Chaingun, ^MediumMissile, ^LaserWeapon</t>
        </is>
      </c>
    </row>
    <row r="72">
      <c r="B72" s="7" t="inlineStr">
        <is>
          <t xml:space="preserve">  ↳ NaxiBeetleLaser_AA_elite</t>
        </is>
      </c>
      <c r="C72" s="7" t="inlineStr">
        <is>
          <t>Armament@AA</t>
        </is>
      </c>
      <c r="L72" s="6" t="n">
        <v>8000</v>
      </c>
      <c r="M72" s="6" t="n">
        <v>60</v>
      </c>
      <c r="N72" s="6" t="n">
        <v>2</v>
      </c>
      <c r="O72" s="6" t="n">
        <v>4</v>
      </c>
      <c r="P72" s="6" t="n">
        <v>9672</v>
      </c>
      <c r="Q72" s="6" t="n">
        <v>1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NaxiBeetleLaser_elite</t>
        </is>
      </c>
    </row>
    <row r="73">
      <c r="B73" s="7" t="inlineStr">
        <is>
          <t xml:space="preserve">  ↳ Lunar_YellowBeetleLaser</t>
        </is>
      </c>
      <c r="C73" s="7" t="inlineStr">
        <is>
          <t>Armament@UP</t>
        </is>
      </c>
      <c r="L73" s="6" t="n">
        <v>8000</v>
      </c>
      <c r="M73" s="6" t="n">
        <v>60</v>
      </c>
      <c r="N73" s="6" t="n">
        <v>3</v>
      </c>
      <c r="O73" s="6" t="n">
        <v>4</v>
      </c>
      <c r="P73" s="6" t="n">
        <v>6448</v>
      </c>
      <c r="Q73" s="6" t="n">
        <v>1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NaxiBeetleLaser_elite</t>
        </is>
      </c>
    </row>
    <row r="74">
      <c r="B74" s="7" t="inlineStr">
        <is>
          <t xml:space="preserve">  ↳ Lunar_YellowBeetleLaser_AA</t>
        </is>
      </c>
      <c r="C74" s="7" t="inlineStr">
        <is>
          <t>Armament@AA_UP</t>
        </is>
      </c>
      <c r="L74" s="6" t="n">
        <v>8000</v>
      </c>
      <c r="M74" s="6" t="n">
        <v>60</v>
      </c>
      <c r="N74" s="6" t="n">
        <v>3</v>
      </c>
      <c r="O74" s="6" t="n">
        <v>4</v>
      </c>
      <c r="P74" s="6" t="n">
        <v>9672</v>
      </c>
      <c r="Q74" s="6" t="n">
        <v>1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NaxiBeetleLaser_AA_elite</t>
        </is>
      </c>
    </row>
    <row r="75">
      <c r="B75" s="7" t="inlineStr">
        <is>
          <t xml:space="preserve">  ↳ Lunar_AmplifiedBeetleLaser</t>
        </is>
      </c>
      <c r="C75" s="7" t="inlineStr">
        <is>
          <t>Armament@AMP</t>
        </is>
      </c>
      <c r="L75" s="6" t="n">
        <v>8000</v>
      </c>
      <c r="M75" s="6" t="n">
        <v>60</v>
      </c>
      <c r="N75" s="6" t="n">
        <v>4</v>
      </c>
      <c r="O75" s="6" t="n">
        <v>4</v>
      </c>
      <c r="P75" s="6" t="n">
        <v>6448</v>
      </c>
      <c r="Q75" s="6" t="n">
        <v>1</v>
      </c>
      <c r="R75">
        <f>M75+IF(N75&gt;1,N(O75)*(N75-1),0)</f>
        <v/>
      </c>
      <c r="S75">
        <f>IFERROR(L75*MAX(N75,1)/R75*IF(ISBLANK(K70),1,K70),0)</f>
        <v/>
      </c>
      <c r="AB75" s="7" t="inlineStr">
        <is>
          <t>NaxiBeetleLaser_elite</t>
        </is>
      </c>
    </row>
    <row r="76">
      <c r="B76" s="7" t="inlineStr">
        <is>
          <t xml:space="preserve">  ↳ Lunar_AmplifiedBeetleLaser_AA</t>
        </is>
      </c>
      <c r="C76" s="7" t="inlineStr">
        <is>
          <t>Armament@AA_AMP</t>
        </is>
      </c>
      <c r="L76" s="6" t="n">
        <v>8000</v>
      </c>
      <c r="M76" s="6" t="n">
        <v>60</v>
      </c>
      <c r="N76" s="6" t="n">
        <v>4</v>
      </c>
      <c r="O76" s="6" t="n">
        <v>4</v>
      </c>
      <c r="P76" s="6" t="n">
        <v>9672</v>
      </c>
      <c r="Q76" s="6" t="n">
        <v>1</v>
      </c>
      <c r="R76">
        <f>M76+IF(N76&gt;1,N(O76)*(N76-1),0)</f>
        <v/>
      </c>
      <c r="S76">
        <f>IFERROR(L76*MAX(N76,1)/R76*IF(ISBLANK(K70),1,K70),0)</f>
        <v/>
      </c>
      <c r="AB76" s="7" t="inlineStr">
        <is>
          <t>NaxiBeetleLaser_AA_elite</t>
        </is>
      </c>
    </row>
    <row r="77">
      <c r="A77" t="inlineStr">
        <is>
          <t>redalert2mod</t>
        </is>
      </c>
      <c r="B77" t="inlineStr">
        <is>
          <t>schwarzermond_lasertank</t>
        </is>
      </c>
      <c r="C77" t="inlineStr">
        <is>
          <t>Laser Tank</t>
        </is>
      </c>
      <c r="D77" s="6" t="inlineStr">
        <is>
          <t>SupportVehicle</t>
        </is>
      </c>
      <c r="E77" s="6" t="n">
        <v>100000</v>
      </c>
      <c r="F77" s="6" t="n">
        <v>70</v>
      </c>
      <c r="G77" t="inlineStr">
        <is>
          <t>Medium</t>
        </is>
      </c>
      <c r="H77" s="6" t="n">
        <v>0.8639</v>
      </c>
      <c r="I77" s="6" t="n">
        <v>1</v>
      </c>
      <c r="J77" s="6" t="n">
        <v>1</v>
      </c>
      <c r="K77" s="6" t="n"/>
      <c r="P77">
        <f>MAX(P78,P79,P80,P81,P82,P83)</f>
        <v/>
      </c>
      <c r="S77">
        <f>S78+S79+S80+S81+S82+S83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1500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NaxiTank2Laser</t>
        </is>
      </c>
      <c r="C78" s="7" t="inlineStr">
        <is>
          <t>Armament</t>
        </is>
      </c>
      <c r="L78" s="6" t="n">
        <v>8000</v>
      </c>
      <c r="M78" s="6" t="n">
        <v>52</v>
      </c>
      <c r="N78" s="6" t="n">
        <v>4</v>
      </c>
      <c r="O78" s="6" t="n">
        <v>4</v>
      </c>
      <c r="P78" s="6" t="n">
        <v>6500</v>
      </c>
      <c r="Q78" s="6" t="n">
        <v>1</v>
      </c>
      <c r="R78">
        <f>M78+IF(N78&gt;1,N(O78)*(N78-1),0)</f>
        <v/>
      </c>
      <c r="S78">
        <f>IFERROR(L78*MAX(N78,1)/R78*IF(ISBLANK(K77),1,K77),0)</f>
        <v/>
      </c>
      <c r="AB78" s="7" t="inlineStr">
        <is>
          <t>^SmallArms, ^Chaingun, ^MediumMissile, ^LaserWeapon</t>
        </is>
      </c>
    </row>
    <row r="79">
      <c r="B79" s="7" t="inlineStr">
        <is>
          <t xml:space="preserve">  ↳ NaxiTank2Laser_AA</t>
        </is>
      </c>
      <c r="C79" s="7" t="inlineStr">
        <is>
          <t>Armament@AA</t>
        </is>
      </c>
      <c r="L79" s="6" t="n">
        <v>8000</v>
      </c>
      <c r="M79" s="6" t="n">
        <v>52</v>
      </c>
      <c r="N79" s="6" t="n">
        <v>4</v>
      </c>
      <c r="O79" s="6" t="n">
        <v>4</v>
      </c>
      <c r="P79" s="6" t="n">
        <v>9750</v>
      </c>
      <c r="Q79" s="6" t="n">
        <v>1</v>
      </c>
      <c r="R79">
        <f>M79+IF(N79&gt;1,N(O79)*(N79-1),0)</f>
        <v/>
      </c>
      <c r="S79">
        <f>IFERROR(L79*MAX(N79,1)/R79*IF(ISBLANK(K77),1,K77),0)</f>
        <v/>
      </c>
      <c r="AB79" s="7" t="inlineStr">
        <is>
          <t>NaxiTank2Laser</t>
        </is>
      </c>
    </row>
    <row r="80">
      <c r="B80" s="7" t="inlineStr">
        <is>
          <t xml:space="preserve">  ↳ Lunar_YellowTank2Laser</t>
        </is>
      </c>
      <c r="C80" s="7" t="inlineStr">
        <is>
          <t>Armament@UP</t>
        </is>
      </c>
      <c r="L80" s="6" t="n">
        <v>8000</v>
      </c>
      <c r="M80" s="6" t="n">
        <v>52</v>
      </c>
      <c r="N80" s="6" t="n">
        <v>5</v>
      </c>
      <c r="O80" s="6" t="n">
        <v>4</v>
      </c>
      <c r="P80" s="6" t="n">
        <v>6500</v>
      </c>
      <c r="Q80" s="6" t="n">
        <v>1</v>
      </c>
      <c r="R80">
        <f>M80+IF(N80&gt;1,N(O80)*(N80-1),0)</f>
        <v/>
      </c>
      <c r="S80">
        <f>IFERROR(L80*MAX(N80,1)/R80*IF(ISBLANK(K77),1,K77),0)</f>
        <v/>
      </c>
      <c r="AB80" s="7" t="inlineStr">
        <is>
          <t>NaxiTank2Laser</t>
        </is>
      </c>
    </row>
    <row r="81">
      <c r="B81" s="7" t="inlineStr">
        <is>
          <t xml:space="preserve">  ↳ Lunar_YellowTank2Laser_AA</t>
        </is>
      </c>
      <c r="C81" s="7" t="inlineStr">
        <is>
          <t>Armament@AA_UP</t>
        </is>
      </c>
      <c r="L81" s="6" t="n">
        <v>8000</v>
      </c>
      <c r="M81" s="6" t="n">
        <v>52</v>
      </c>
      <c r="N81" s="6" t="n">
        <v>5</v>
      </c>
      <c r="O81" s="6" t="n">
        <v>4</v>
      </c>
      <c r="P81" s="6" t="n">
        <v>9750</v>
      </c>
      <c r="Q81" s="6" t="n">
        <v>1</v>
      </c>
      <c r="R81">
        <f>M81+IF(N81&gt;1,N(O81)*(N81-1),0)</f>
        <v/>
      </c>
      <c r="S81">
        <f>IFERROR(L81*MAX(N81,1)/R81*IF(ISBLANK(K77),1,K77),0)</f>
        <v/>
      </c>
      <c r="AB81" s="7" t="inlineStr">
        <is>
          <t>NaxiTank2Laser_AA</t>
        </is>
      </c>
    </row>
    <row r="82">
      <c r="B82" s="7" t="inlineStr">
        <is>
          <t xml:space="preserve">  ↳ Lunar_AmplifiedTank2Laser</t>
        </is>
      </c>
      <c r="C82" s="7" t="inlineStr">
        <is>
          <t>Armament@AMP</t>
        </is>
      </c>
      <c r="L82" s="6" t="n">
        <v>8000</v>
      </c>
      <c r="M82" s="6" t="n">
        <v>52</v>
      </c>
      <c r="N82" s="6" t="n">
        <v>6</v>
      </c>
      <c r="O82" s="6" t="n">
        <v>4</v>
      </c>
      <c r="P82" s="6" t="n">
        <v>6500</v>
      </c>
      <c r="Q82" s="6" t="n">
        <v>1</v>
      </c>
      <c r="R82">
        <f>M82+IF(N82&gt;1,N(O82)*(N82-1),0)</f>
        <v/>
      </c>
      <c r="S82">
        <f>IFERROR(L82*MAX(N82,1)/R82*IF(ISBLANK(K77),1,K77),0)</f>
        <v/>
      </c>
      <c r="AB82" s="7" t="inlineStr">
        <is>
          <t>NaxiTank2Laser</t>
        </is>
      </c>
    </row>
    <row r="83">
      <c r="B83" s="7" t="inlineStr">
        <is>
          <t xml:space="preserve">  ↳ Lunar_AmplifiedTank2Laser_AA</t>
        </is>
      </c>
      <c r="C83" s="7" t="inlineStr">
        <is>
          <t>Armament@AA_AMP</t>
        </is>
      </c>
      <c r="L83" s="6" t="n">
        <v>8000</v>
      </c>
      <c r="M83" s="6" t="n">
        <v>52</v>
      </c>
      <c r="N83" s="6" t="n">
        <v>6</v>
      </c>
      <c r="O83" s="6" t="n">
        <v>4</v>
      </c>
      <c r="P83" s="6" t="n">
        <v>9750</v>
      </c>
      <c r="Q83" s="6" t="n">
        <v>1</v>
      </c>
      <c r="R83">
        <f>M83+IF(N83&gt;1,N(O83)*(N83-1),0)</f>
        <v/>
      </c>
      <c r="S83">
        <f>IFERROR(L83*MAX(N83,1)/R83*IF(ISBLANK(K77),1,K77),0)</f>
        <v/>
      </c>
      <c r="AB83" s="7" t="inlineStr">
        <is>
          <t>NaxiTank2Laser_AA</t>
        </is>
      </c>
    </row>
    <row r="84">
      <c r="A84" t="inlineStr">
        <is>
          <t>redalert2mod</t>
        </is>
      </c>
      <c r="B84" t="inlineStr">
        <is>
          <t>schwarzermond_lunargrille</t>
        </is>
      </c>
      <c r="C84" t="inlineStr">
        <is>
          <t>Lunar Grille</t>
        </is>
      </c>
      <c r="D84" s="6" t="inlineStr">
        <is>
          <t>ArtilleryTank</t>
        </is>
      </c>
      <c r="E84" s="6" t="n">
        <v>62500</v>
      </c>
      <c r="F84" s="6" t="n">
        <v>90</v>
      </c>
      <c r="G84" t="inlineStr">
        <is>
          <t>Medium</t>
        </is>
      </c>
      <c r="H84" s="6" t="n">
        <v>1</v>
      </c>
      <c r="I84" s="6" t="n">
        <v>0.5</v>
      </c>
      <c r="J84" s="6" t="n">
        <v>1</v>
      </c>
      <c r="K84" s="6" t="n"/>
      <c r="P84">
        <f>MAX(P85,P86,P87,P88)</f>
        <v/>
      </c>
      <c r="S84">
        <f>S85+S86+S87+S88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(((E84/140000)+(F84/85)+(S84/525)+((P84/12000)*J84))*700/4+(((E84/140000)*(F84/85))+(((P84/12000)*J84)*(S84/525)))*700/2+((E84/140000)*(F84/85)*((P84/12000)*J84)*(S84/525))*700)*(H84/1.0)/3</f>
        <v/>
      </c>
      <c r="X84" s="6" t="n">
        <v>600</v>
      </c>
      <c r="Y84">
        <f>IFERROR(W84-X84,"")</f>
        <v/>
      </c>
      <c r="Z84">
        <f>IFERROR(ABS(Y84)/MAX(X84,1),"")</f>
        <v/>
      </c>
      <c r="AA84">
        <f>IFERROR(ROUND(((3*X84-(((E84/140000)+(F84/85)+(S84/525))*700/4+((E84/140000)*(F84/85))*700/2)*(H84/1.0))/(700/4+((S84/525))*700/2+((E84/140000)*(F84/85)*(S84/525))*700)*(H84/1.0)*12000)/J84,-1),"")</f>
        <v/>
      </c>
    </row>
    <row r="85">
      <c r="B85" s="7" t="inlineStr">
        <is>
          <t xml:space="preserve">  ↳ NaxGrilleArty</t>
        </is>
      </c>
      <c r="C85" s="7" t="inlineStr">
        <is>
          <t>Armament@AG</t>
        </is>
      </c>
      <c r="L85" s="6" t="n">
        <v>48000</v>
      </c>
      <c r="M85" s="6" t="n">
        <v>111</v>
      </c>
      <c r="N85" s="6" t="n">
        <v>1</v>
      </c>
      <c r="O85" s="6" t="n"/>
      <c r="P85" s="6" t="n">
        <v>12345</v>
      </c>
      <c r="Q85" s="6" t="n">
        <v>1</v>
      </c>
      <c r="R85">
        <f>M85+IF(N85&gt;1,N(O85)*(N85-1),0)</f>
        <v/>
      </c>
      <c r="S85">
        <f>IFERROR(L85*MAX(N85,1)/R85*IF(ISBLANK(K84),1,K84),0)</f>
        <v/>
      </c>
      <c r="AB85" s="7" t="inlineStr">
        <is>
          <t>^Warhead_CannonHE_Heavy, ^Warhead_Concussion_Medium, ^Warhead_Demolition_Light</t>
        </is>
      </c>
    </row>
    <row r="86">
      <c r="B86" s="7" t="inlineStr">
        <is>
          <t xml:space="preserve">  ↳ NaxGrilleArty_elite</t>
        </is>
      </c>
      <c r="C86" s="7" t="inlineStr">
        <is>
          <t>Armament@elite</t>
        </is>
      </c>
      <c r="L86" s="6" t="n">
        <v>48000</v>
      </c>
      <c r="M86" s="6" t="n">
        <v>111</v>
      </c>
      <c r="N86" s="6" t="n">
        <v>2</v>
      </c>
      <c r="O86" s="6" t="n">
        <v>3</v>
      </c>
      <c r="P86" s="6" t="n">
        <v>13333</v>
      </c>
      <c r="Q86" s="6" t="n">
        <v>1</v>
      </c>
      <c r="R86">
        <f>M86+IF(N86&gt;1,N(O86)*(N86-1),0)</f>
        <v/>
      </c>
      <c r="S86">
        <f>IFERROR(L86*MAX(N86,1)/R86*IF(ISBLANK(K84),1,K84),0)</f>
        <v/>
      </c>
      <c r="AB86" s="7" t="inlineStr">
        <is>
          <t>^Warhead_CannonHE_Heavy, ^Warhead_Concussion_Medium, ^Warhead_Demolition_Light</t>
        </is>
      </c>
    </row>
    <row r="87">
      <c r="B87" s="7" t="inlineStr">
        <is>
          <t xml:space="preserve">  ↳ Lunar_GreenGrilleArty</t>
        </is>
      </c>
      <c r="C87" s="7" t="inlineStr">
        <is>
          <t>Armament@upgraded</t>
        </is>
      </c>
      <c r="L87" s="6" t="n">
        <v>64000</v>
      </c>
      <c r="M87" s="6" t="n">
        <v>111</v>
      </c>
      <c r="N87" s="6" t="n">
        <v>1</v>
      </c>
      <c r="O87" s="6" t="n"/>
      <c r="P87" s="6" t="n">
        <v>12345</v>
      </c>
      <c r="Q87" s="6" t="n">
        <v>1</v>
      </c>
      <c r="R87">
        <f>M87+IF(N87&gt;1,N(O87)*(N87-1),0)</f>
        <v/>
      </c>
      <c r="S87">
        <f>IFERROR(L87*MAX(N87,1)/R87*IF(ISBLANK(K84),1,K84),0)</f>
        <v/>
      </c>
      <c r="AB87" s="7" t="inlineStr">
        <is>
          <t>^Warhead_Tesla_Heavy, ^Warhead_CannonHE_Heavy, ^Warhead_Concussion_Medium, ^Warhead_Demolition_Light</t>
        </is>
      </c>
    </row>
    <row r="88">
      <c r="B88" s="7" t="inlineStr">
        <is>
          <t xml:space="preserve">  ↳ Lunar_GreenGrilleArty_elite</t>
        </is>
      </c>
      <c r="C88" s="7" t="inlineStr">
        <is>
          <t>Armament@elite-upgrade</t>
        </is>
      </c>
      <c r="L88" s="6" t="n">
        <v>64000</v>
      </c>
      <c r="M88" s="6" t="n">
        <v>111</v>
      </c>
      <c r="N88" s="6" t="n">
        <v>2</v>
      </c>
      <c r="O88" s="6" t="n">
        <v>3</v>
      </c>
      <c r="P88" s="6" t="n">
        <v>13333</v>
      </c>
      <c r="Q88" s="6" t="n">
        <v>1</v>
      </c>
      <c r="R88">
        <f>M88+IF(N88&gt;1,N(O88)*(N88-1),0)</f>
        <v/>
      </c>
      <c r="S88">
        <f>IFERROR(L88*MAX(N88,1)/R88*IF(ISBLANK(K84),1,K84),0)</f>
        <v/>
      </c>
      <c r="AB88" s="7" t="inlineStr">
        <is>
          <t>^Warhead_Tesla_Heavy, ^Warhead_CannonHE_Heavy, ^Warhead_Concussion_Medium, ^Warhead_Demolition_Light</t>
        </is>
      </c>
    </row>
    <row r="89">
      <c r="A89" t="inlineStr">
        <is>
          <t>redalert2mod</t>
        </is>
      </c>
      <c r="B89" t="inlineStr">
        <is>
          <t>schwarzermond_lunarpanzer</t>
        </is>
      </c>
      <c r="C89" t="inlineStr">
        <is>
          <t>Lunar Panzer</t>
        </is>
      </c>
      <c r="D89" s="6" t="inlineStr">
        <is>
          <t>LightTank</t>
        </is>
      </c>
      <c r="E89" s="6" t="n">
        <v>90000</v>
      </c>
      <c r="F89" s="6" t="n">
        <v>90</v>
      </c>
      <c r="G89" t="inlineStr">
        <is>
          <t>Medium</t>
        </is>
      </c>
      <c r="H89" s="6" t="n">
        <v>1</v>
      </c>
      <c r="I89" s="6" t="n">
        <v>1</v>
      </c>
      <c r="J89" s="6" t="n">
        <v>1</v>
      </c>
      <c r="K89" s="6" t="n"/>
      <c r="P89">
        <f>MAX(P90,P91,P92,P93)</f>
        <v/>
      </c>
      <c r="S89">
        <f>S90+S91+S92+S93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(((E89/100000)+(F89/125)+(S89/200)+((P89/5000)*J89))*400/4+(((E89/100000)*(F89/125))+(((P89/5000)*J89)*(S89/200)))*400/2+((E89/100000)*(F89/125)*((P89/5000)*J89)*(S89/200))*400)*(H89/1.0)/3</f>
        <v/>
      </c>
      <c r="X89" s="6" t="n">
        <v>650</v>
      </c>
      <c r="Y89">
        <f>IFERROR(W89-X89,"")</f>
        <v/>
      </c>
      <c r="Z89">
        <f>IFERROR(ABS(Y89)/MAX(X89,1),"")</f>
        <v/>
      </c>
      <c r="AA89">
        <f>IFERROR(ROUND(((3*X89-(((E89/100000)+(F89/125)+(S89/200))*400/4+((E89/100000)*(F89/125))*400/2)*(H89/1.0))/(400/4+((S89/200))*400/2+((E89/100000)*(F89/125)*(S89/200))*400)*(H89/1.0)*5000)/J89,-1),"")</f>
        <v/>
      </c>
    </row>
    <row r="90">
      <c r="B90" s="7" t="inlineStr">
        <is>
          <t xml:space="preserve">  ↳ LunarPanzerCannon</t>
        </is>
      </c>
      <c r="C90" s="7" t="inlineStr">
        <is>
          <t>Armament</t>
        </is>
      </c>
      <c r="L90" s="6" t="n">
        <v>10000</v>
      </c>
      <c r="M90" s="6" t="n">
        <v>60</v>
      </c>
      <c r="N90" s="6" t="n">
        <v>1</v>
      </c>
      <c r="O90" s="6" t="n"/>
      <c r="P90" s="6" t="n">
        <v>5121</v>
      </c>
      <c r="Q90" s="6" t="n">
        <v>1</v>
      </c>
      <c r="R90">
        <f>M90+IF(N90&gt;1,N(O90)*(N90-1),0)</f>
        <v/>
      </c>
      <c r="S90">
        <f>IFERROR(L90*MAX(N90,1)/R90*IF(ISBLANK(K89),1,K89),0)</f>
        <v/>
      </c>
      <c r="AB90" s="7" t="inlineStr">
        <is>
          <t>^Warhead_CannonHE_Medium</t>
        </is>
      </c>
    </row>
    <row r="91">
      <c r="B91" s="7" t="inlineStr">
        <is>
          <t xml:space="preserve">  ↳ LunarPanzerCannon_elite</t>
        </is>
      </c>
      <c r="C91" s="7" t="inlineStr">
        <is>
          <t>Armament@elite</t>
        </is>
      </c>
      <c r="L91" s="6" t="n">
        <v>10000</v>
      </c>
      <c r="M91" s="6" t="n">
        <v>60</v>
      </c>
      <c r="N91" s="6" t="n">
        <v>2</v>
      </c>
      <c r="O91" s="6" t="n">
        <v>3</v>
      </c>
      <c r="P91" s="6" t="n">
        <v>6121</v>
      </c>
      <c r="Q91" s="6" t="n">
        <v>1</v>
      </c>
      <c r="R91">
        <f>M91+IF(N91&gt;1,N(O91)*(N91-1),0)</f>
        <v/>
      </c>
      <c r="S91">
        <f>IFERROR(L91*MAX(N91,1)/R91*IF(ISBLANK(K89),1,K89),0)</f>
        <v/>
      </c>
      <c r="AB91" s="7" t="inlineStr">
        <is>
          <t>^Warhead_CannonHE_Medium</t>
        </is>
      </c>
    </row>
    <row r="92">
      <c r="B92" s="7" t="inlineStr">
        <is>
          <t xml:space="preserve">  ↳ Lunar_Green105mm</t>
        </is>
      </c>
      <c r="C92" s="7" t="inlineStr">
        <is>
          <t>Armament@upgraded</t>
        </is>
      </c>
      <c r="L92" s="6" t="n">
        <v>16000</v>
      </c>
      <c r="M92" s="6" t="n">
        <v>50</v>
      </c>
      <c r="N92" s="6" t="n">
        <v>1</v>
      </c>
      <c r="O92" s="6" t="n"/>
      <c r="P92" s="6" t="n">
        <v>5000</v>
      </c>
      <c r="Q92" s="6" t="n">
        <v>1.125</v>
      </c>
      <c r="R92">
        <f>M92+IF(N92&gt;1,N(O92)*(N92-1),0)</f>
        <v/>
      </c>
      <c r="S92">
        <f>IFERROR(L92*MAX(N92,1)/R92*IF(ISBLANK(K89),1,K89),0)</f>
        <v/>
      </c>
      <c r="AB92" s="7" t="inlineStr">
        <is>
          <t>^Warhead_Tesla_Heavy, ^Warhead_CannonHE_Medium</t>
        </is>
      </c>
    </row>
    <row r="93">
      <c r="B93" s="7" t="inlineStr">
        <is>
          <t xml:space="preserve">  ↳ Lunar_Green105mm_elite</t>
        </is>
      </c>
      <c r="C93" s="7" t="inlineStr">
        <is>
          <t>Armament@upgraded-elite</t>
        </is>
      </c>
      <c r="L93" s="6" t="n">
        <v>16000</v>
      </c>
      <c r="M93" s="6" t="n">
        <v>50</v>
      </c>
      <c r="N93" s="6" t="n">
        <v>2</v>
      </c>
      <c r="O93" s="6" t="n">
        <v>5</v>
      </c>
      <c r="P93" s="6" t="n">
        <v>6000</v>
      </c>
      <c r="Q93" s="6" t="n">
        <v>1.125</v>
      </c>
      <c r="R93">
        <f>M93+IF(N93&gt;1,N(O93)*(N93-1),0)</f>
        <v/>
      </c>
      <c r="S93">
        <f>IFERROR(L93*MAX(N93,1)/R93*IF(ISBLANK(K89),1,K89),0)</f>
        <v/>
      </c>
      <c r="AB93" s="7" t="inlineStr">
        <is>
          <t>^Warhead_Tesla_Heavy, ^Warhead_CannonHE_Medium</t>
        </is>
      </c>
    </row>
    <row r="94">
      <c r="A94" t="inlineStr">
        <is>
          <t>redalert2mod</t>
        </is>
      </c>
      <c r="B94" t="inlineStr">
        <is>
          <t>schwarzermond_lunartiger</t>
        </is>
      </c>
      <c r="C94" t="inlineStr">
        <is>
          <t>Lunar Tiger</t>
        </is>
      </c>
      <c r="D94" s="6" t="inlineStr">
        <is>
          <t>MainBattleTank</t>
        </is>
      </c>
      <c r="E94" s="6" t="n">
        <v>160000</v>
      </c>
      <c r="F94" s="6" t="n">
        <v>80</v>
      </c>
      <c r="G94" t="inlineStr">
        <is>
          <t>Heavy</t>
        </is>
      </c>
      <c r="H94" s="6" t="n">
        <v>0.6846</v>
      </c>
      <c r="I94" s="6" t="n">
        <v>1</v>
      </c>
      <c r="J94" s="6" t="n">
        <v>1</v>
      </c>
      <c r="K94" s="6" t="n"/>
      <c r="P94">
        <f>MAX(P95,P96,P97,P98)</f>
        <v/>
      </c>
      <c r="S94">
        <f>S95+S96+S97+S98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(((E94/240000)+(F94/95)+(S94/600)+((P94/5500)*J94))*800/4+(((E94/240000)*(F94/95))+(((P94/5500)*J94)*(S94/600)))*800/2+((E94/240000)*(F94/95)*((P94/5500)*J94)*(S94/600))*800)*(H94/1.0)/3</f>
        <v/>
      </c>
      <c r="X94" s="6" t="n">
        <v>950</v>
      </c>
      <c r="Y94">
        <f>IFERROR(W94-X94,"")</f>
        <v/>
      </c>
      <c r="Z94">
        <f>IFERROR(ABS(Y94)/MAX(X94,1),"")</f>
        <v/>
      </c>
      <c r="AA94">
        <f>IFERROR(ROUND(((3*X94-(((E94/240000)+(F94/95)+(S94/600))*800/4+((E94/240000)*(F94/95))*800/2)*(H94/1.0))/(800/4+((S94/600))*800/2+((E94/240000)*(F94/95)*(S94/600))*800)*(H94/1.0)*5500)/J94,-1),"")</f>
        <v/>
      </c>
    </row>
    <row r="95">
      <c r="B95" s="7" t="inlineStr">
        <is>
          <t xml:space="preserve">  ↳ LunarTigerCannon</t>
        </is>
      </c>
      <c r="C95" s="7" t="inlineStr">
        <is>
          <t>Armament</t>
        </is>
      </c>
      <c r="L95" s="6" t="n">
        <v>16000</v>
      </c>
      <c r="M95" s="6" t="n">
        <v>80</v>
      </c>
      <c r="N95" s="6" t="n">
        <v>1</v>
      </c>
      <c r="O95" s="6" t="n"/>
      <c r="P95" s="6" t="n">
        <v>5105</v>
      </c>
      <c r="Q95" s="6" t="n">
        <v>1</v>
      </c>
      <c r="R95">
        <f>M95+IF(N95&gt;1,N(O95)*(N95-1),0)</f>
        <v/>
      </c>
      <c r="S95">
        <f>IFERROR(L95*MAX(N95,1)/R95*IF(ISBLANK(K94),1,K94),0)</f>
        <v/>
      </c>
      <c r="AB95" s="7" t="inlineStr">
        <is>
          <t>^Warhead_CannonHE_Medium</t>
        </is>
      </c>
    </row>
    <row r="96">
      <c r="B96" s="7" t="inlineStr">
        <is>
          <t xml:space="preserve">  ↳ LunarTigerCannon_elite</t>
        </is>
      </c>
      <c r="C96" s="7" t="inlineStr">
        <is>
          <t>Armament@elite</t>
        </is>
      </c>
      <c r="L96" s="6" t="n">
        <v>16000</v>
      </c>
      <c r="M96" s="6" t="n">
        <v>80</v>
      </c>
      <c r="N96" s="6" t="n">
        <v>2</v>
      </c>
      <c r="O96" s="6" t="n">
        <v>3</v>
      </c>
      <c r="P96" s="6" t="n">
        <v>6105</v>
      </c>
      <c r="Q96" s="6" t="n">
        <v>1</v>
      </c>
      <c r="R96">
        <f>M96+IF(N96&gt;1,N(O96)*(N96-1),0)</f>
        <v/>
      </c>
      <c r="S96">
        <f>IFERROR(L96*MAX(N96,1)/R96*IF(ISBLANK(K94),1,K94),0)</f>
        <v/>
      </c>
      <c r="AB96" s="7" t="inlineStr">
        <is>
          <t>^Warhead_CannonHE_Medium</t>
        </is>
      </c>
    </row>
    <row r="97">
      <c r="B97" s="7" t="inlineStr">
        <is>
          <t xml:space="preserve">  ↳ Lunar_GreenTigerCannon</t>
        </is>
      </c>
      <c r="C97" s="7" t="inlineStr">
        <is>
          <t>Armament@-upgrade</t>
        </is>
      </c>
      <c r="L97" s="6" t="n">
        <v>20000</v>
      </c>
      <c r="M97" s="6" t="n">
        <v>80</v>
      </c>
      <c r="N97" s="6" t="n">
        <v>1</v>
      </c>
      <c r="O97" s="6" t="n"/>
      <c r="P97" s="6" t="n">
        <v>5105</v>
      </c>
      <c r="Q97" s="6" t="n">
        <v>1.125</v>
      </c>
      <c r="R97">
        <f>M97+IF(N97&gt;1,N(O97)*(N97-1),0)</f>
        <v/>
      </c>
      <c r="S97">
        <f>IFERROR(L97*MAX(N97,1)/R97*IF(ISBLANK(K94),1,K94),0)</f>
        <v/>
      </c>
      <c r="AB97" s="7" t="inlineStr">
        <is>
          <t>^Warhead_Tesla_Heavy, ^Warhead_CannonHE_Medium</t>
        </is>
      </c>
    </row>
    <row r="98">
      <c r="B98" s="7" t="inlineStr">
        <is>
          <t xml:space="preserve">  ↳ Lunar_GreenTigerCannon_elite</t>
        </is>
      </c>
      <c r="C98" s="7" t="inlineStr">
        <is>
          <t>Armament@elite-upgrade</t>
        </is>
      </c>
      <c r="L98" s="6" t="n">
        <v>20000</v>
      </c>
      <c r="M98" s="6" t="n">
        <v>80</v>
      </c>
      <c r="N98" s="6" t="n">
        <v>2</v>
      </c>
      <c r="O98" s="6" t="n">
        <v>3</v>
      </c>
      <c r="P98" s="6" t="n">
        <v>6105</v>
      </c>
      <c r="Q98" s="6" t="n">
        <v>1.125</v>
      </c>
      <c r="R98">
        <f>M98+IF(N98&gt;1,N(O98)*(N98-1),0)</f>
        <v/>
      </c>
      <c r="S98">
        <f>IFERROR(L98*MAX(N98,1)/R98*IF(ISBLANK(K94),1,K94),0)</f>
        <v/>
      </c>
      <c r="AB98" s="7" t="inlineStr">
        <is>
          <t>^Warhead_Tesla_Heavy, ^Warhead_CannonHE_Medium</t>
        </is>
      </c>
    </row>
    <row r="99">
      <c r="A99" t="inlineStr">
        <is>
          <t>redalert2mod</t>
        </is>
      </c>
      <c r="B99" t="inlineStr">
        <is>
          <t>schwarzermond_mars</t>
        </is>
      </c>
      <c r="C99" t="inlineStr">
        <is>
          <t>MARS</t>
        </is>
      </c>
      <c r="D99" s="6" t="inlineStr">
        <is>
          <t>ArtilleryTank</t>
        </is>
      </c>
      <c r="E99" s="6" t="n">
        <v>35000</v>
      </c>
      <c r="F99" s="6" t="n">
        <v>70</v>
      </c>
      <c r="G99" t="inlineStr">
        <is>
          <t>Medium</t>
        </is>
      </c>
      <c r="H99" s="6" t="n">
        <v>0.6846</v>
      </c>
      <c r="I99" s="6" t="n">
        <v>1</v>
      </c>
      <c r="J99" s="6" t="n">
        <v>1</v>
      </c>
      <c r="K99" s="6" t="n">
        <v>0.0125</v>
      </c>
      <c r="X99" s="6" t="n">
        <v>2000</v>
      </c>
    </row>
    <row r="100">
      <c r="B100" s="7" t="inlineStr">
        <is>
          <t xml:space="preserve">  ↳ NaxisBradleyTarget</t>
        </is>
      </c>
      <c r="C100" s="7" t="inlineStr">
        <is>
          <t>Armament</t>
        </is>
      </c>
      <c r="L100" s="6" t="n"/>
      <c r="M100" s="6" t="n">
        <v>135</v>
      </c>
      <c r="N100" s="6" t="n">
        <v>4</v>
      </c>
      <c r="O100" s="6" t="n">
        <v>10</v>
      </c>
      <c r="P100" s="6" t="n">
        <v>17350</v>
      </c>
      <c r="Q100" s="6" t="n">
        <v>1</v>
      </c>
      <c r="R100">
        <f>M100+IF(N100&gt;1,N(O100)*(N100-1),0)</f>
        <v/>
      </c>
      <c r="S100">
        <f>IFERROR(L100*MAX(N100,1)/R100*IF(ISBLANK(K99),1,K99),0)</f>
        <v/>
      </c>
      <c r="AB100" s="7" t="inlineStr"/>
    </row>
    <row r="101">
      <c r="A101" t="inlineStr">
        <is>
          <t>redalert2mod</t>
        </is>
      </c>
      <c r="B101" t="inlineStr">
        <is>
          <t>schwarzermond_naxismobileconstructionvehicle</t>
        </is>
      </c>
      <c r="C101" t="inlineStr">
        <is>
          <t>Naxis Mobile Construction Vehicle</t>
        </is>
      </c>
      <c r="D101" s="6" t="inlineStr">
        <is>
          <t>SupportVehicle</t>
        </is>
      </c>
      <c r="E101" s="6" t="n">
        <v>300000</v>
      </c>
      <c r="F101" s="6" t="n">
        <v>75</v>
      </c>
      <c r="G101" t="inlineStr">
        <is>
          <t>Medium</t>
        </is>
      </c>
      <c r="H101" s="6" t="n">
        <v>0.6846</v>
      </c>
      <c r="I101" s="6" t="n">
        <v>1</v>
      </c>
      <c r="J101" s="6" t="n">
        <v>1</v>
      </c>
      <c r="K101" s="6" t="n"/>
      <c r="X101" s="6" t="n">
        <v>5000</v>
      </c>
    </row>
    <row r="102">
      <c r="A102" t="inlineStr">
        <is>
          <t>redalert2mod</t>
        </is>
      </c>
      <c r="B102" t="inlineStr">
        <is>
          <t>schwarzermond_neojagdpanzer</t>
        </is>
      </c>
      <c r="C102" t="inlineStr">
        <is>
          <t>Neo Jagdpanzer</t>
        </is>
      </c>
      <c r="D102" s="6" t="inlineStr">
        <is>
          <t>Dreadnought</t>
        </is>
      </c>
      <c r="E102" s="6" t="n">
        <v>450000</v>
      </c>
      <c r="F102" s="6" t="n">
        <v>45</v>
      </c>
      <c r="G102" t="inlineStr">
        <is>
          <t>Superheavy</t>
        </is>
      </c>
      <c r="H102" s="6" t="n">
        <v>0.75</v>
      </c>
      <c r="I102" s="6" t="n">
        <v>1</v>
      </c>
      <c r="J102" s="6" t="n">
        <v>1</v>
      </c>
      <c r="K102" s="6" t="n"/>
      <c r="P102">
        <f>MAX(P103,P104,P105,P106)</f>
        <v/>
      </c>
      <c r="S102">
        <f>S103+S104+S105+S106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(((E102/1150000)+(F102/50)+(S102/3750)+((P102/7000)*J102))*3000/4+(((E102/1150000)*(F102/50))+(((P102/7000)*J102)*(S102/3750)))*3000/2+((E102/1150000)*(F102/50)*((P102/7000)*J102)*(S102/3750))*3000)*(H102/0.75)/3</f>
        <v/>
      </c>
      <c r="X102" s="6" t="n">
        <v>4500</v>
      </c>
      <c r="Y102">
        <f>IFERROR(W102-X102,"")</f>
        <v/>
      </c>
      <c r="Z102">
        <f>IFERROR(ABS(Y102)/MAX(X102,1),"")</f>
        <v/>
      </c>
      <c r="AA102">
        <f>IFERROR(ROUND(((3*X102-(((E102/1150000)+(F102/50)+(S102/3750))*3000/4+((E102/1150000)*(F102/50))*3000/2)*(H102/0.75))/(3000/4+((S102/3750))*3000/2+((E102/1150000)*(F102/50)*(S102/3750))*3000)*(H102/0.75)*7000)/J102,-1),"")</f>
        <v/>
      </c>
    </row>
    <row r="103">
      <c r="B103" s="7" t="inlineStr">
        <is>
          <t xml:space="preserve">  ↳ LunarNaxiJadgDestroyer</t>
        </is>
      </c>
      <c r="C103" s="7" t="inlineStr">
        <is>
          <t>Armament@AG</t>
        </is>
      </c>
      <c r="L103" s="6" t="n">
        <v>90000</v>
      </c>
      <c r="M103" s="6" t="n">
        <v>90</v>
      </c>
      <c r="N103" s="6" t="n">
        <v>1</v>
      </c>
      <c r="O103" s="6" t="n"/>
      <c r="P103" s="6" t="n">
        <v>7379</v>
      </c>
      <c r="Q103" s="6" t="n">
        <v>1</v>
      </c>
      <c r="R103">
        <f>M103+IF(N103&gt;1,N(O103)*(N103-1),0)</f>
        <v/>
      </c>
      <c r="S103">
        <f>IFERROR(L103*MAX(N103,1)/R103*IF(ISBLANK(K102),1,K102),0)</f>
        <v/>
      </c>
      <c r="AB103" s="7" t="inlineStr">
        <is>
          <t>^Warhead_CannonHE_Heavy, ^Warhead_Concussion_Medium, ^Warhead_CannonAP_Light</t>
        </is>
      </c>
    </row>
    <row r="104">
      <c r="B104" s="7" t="inlineStr">
        <is>
          <t xml:space="preserve">  ↳ LunarNaxiJadgDestroyer_elite</t>
        </is>
      </c>
      <c r="C104" s="7" t="inlineStr">
        <is>
          <t>Armament@elite</t>
        </is>
      </c>
      <c r="L104" s="6" t="n">
        <v>90000</v>
      </c>
      <c r="M104" s="6" t="n">
        <v>90</v>
      </c>
      <c r="N104" s="6" t="n">
        <v>2</v>
      </c>
      <c r="O104" s="6" t="n">
        <v>3</v>
      </c>
      <c r="P104" s="6" t="n">
        <v>8379</v>
      </c>
      <c r="Q104" s="6" t="n">
        <v>1</v>
      </c>
      <c r="R104">
        <f>M104+IF(N104&gt;1,N(O104)*(N104-1),0)</f>
        <v/>
      </c>
      <c r="S104">
        <f>IFERROR(L104*MAX(N104,1)/R104*IF(ISBLANK(K102),1,K102),0)</f>
        <v/>
      </c>
      <c r="AB104" s="7" t="inlineStr">
        <is>
          <t>^Warhead_CannonHE_Heavy, ^Warhead_Concussion_Medium, ^Warhead_CannonAP_Light</t>
        </is>
      </c>
    </row>
    <row r="105">
      <c r="B105" s="7" t="inlineStr">
        <is>
          <t xml:space="preserve">  ↳ Lunar_GreenJadgDestroyer</t>
        </is>
      </c>
      <c r="C105" s="7" t="inlineStr">
        <is>
          <t>Armament@AG-upgraded</t>
        </is>
      </c>
      <c r="L105" s="6" t="n">
        <v>120000</v>
      </c>
      <c r="M105" s="6" t="n">
        <v>90</v>
      </c>
      <c r="N105" s="6" t="n">
        <v>1</v>
      </c>
      <c r="O105" s="6" t="n"/>
      <c r="P105" s="6" t="n">
        <v>7379</v>
      </c>
      <c r="Q105" s="6" t="n">
        <v>1</v>
      </c>
      <c r="R105">
        <f>M105+IF(N105&gt;1,N(O105)*(N105-1),0)</f>
        <v/>
      </c>
      <c r="S105">
        <f>IFERROR(L105*MAX(N105,1)/R105*IF(ISBLANK(K102),1,K102),0)</f>
        <v/>
      </c>
      <c r="AB105" s="7" t="inlineStr">
        <is>
          <t>^Warhead_Tesla_Heavy, ^Warhead_CannonHE_Heavy, ^Warhead_Concussion_Medium, ^Warhead_CannonAP_Light</t>
        </is>
      </c>
    </row>
    <row r="106">
      <c r="B106" s="7" t="inlineStr">
        <is>
          <t xml:space="preserve">  ↳ Lunar_GreenJadgDestroyer_elite</t>
        </is>
      </c>
      <c r="C106" s="7" t="inlineStr">
        <is>
          <t>Armament@elite-upgrade</t>
        </is>
      </c>
      <c r="L106" s="6" t="n">
        <v>120000</v>
      </c>
      <c r="M106" s="6" t="n">
        <v>90</v>
      </c>
      <c r="N106" s="6" t="n">
        <v>2</v>
      </c>
      <c r="O106" s="6" t="n">
        <v>3</v>
      </c>
      <c r="P106" s="6" t="n">
        <v>8379</v>
      </c>
      <c r="Q106" s="6" t="n">
        <v>1</v>
      </c>
      <c r="R106">
        <f>M106+IF(N106&gt;1,N(O106)*(N106-1),0)</f>
        <v/>
      </c>
      <c r="S106">
        <f>IFERROR(L106*MAX(N106,1)/R106*IF(ISBLANK(K102),1,K102),0)</f>
        <v/>
      </c>
      <c r="AB106" s="7" t="inlineStr">
        <is>
          <t>^Warhead_Tesla_Heavy, ^Warhead_CannonHE_Heavy, ^Warhead_Concussion_Medium, ^Warhead_CannonAP_Light</t>
        </is>
      </c>
    </row>
    <row r="107">
      <c r="A107" s="4" t="inlineStr">
        <is>
          <t>AIRCRAFT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t="inlineStr">
        <is>
          <t>redalert2mod</t>
        </is>
      </c>
      <c r="B108" t="inlineStr">
        <is>
          <t>schwarzermond_blackbomb</t>
        </is>
      </c>
      <c r="C108" t="inlineStr">
        <is>
          <t>Black Bomb</t>
        </is>
      </c>
      <c r="D108" s="6" t="inlineStr">
        <is>
          <t>Fighter</t>
        </is>
      </c>
      <c r="E108" s="6" t="n">
        <v>37500</v>
      </c>
      <c r="F108" s="6" t="n">
        <v>75</v>
      </c>
      <c r="G108" t="inlineStr">
        <is>
          <t>Fighter</t>
        </is>
      </c>
      <c r="H108" s="6" t="n">
        <v>0.4571</v>
      </c>
      <c r="I108" s="6" t="n">
        <v>1</v>
      </c>
      <c r="J108" s="6" t="n">
        <v>1</v>
      </c>
      <c r="K108" s="6" t="n"/>
      <c r="X108" s="6" t="n">
        <v>3500</v>
      </c>
    </row>
    <row r="109">
      <c r="B109" s="7" t="inlineStr">
        <is>
          <t xml:space="preserve">  ↳ DemoTruckTargeting</t>
        </is>
      </c>
      <c r="C109" s="7" t="inlineStr">
        <is>
          <t>Armament@PRIMARY</t>
        </is>
      </c>
      <c r="L109" s="6" t="n"/>
      <c r="M109" s="6" t="n"/>
      <c r="N109" s="6" t="n">
        <v>1</v>
      </c>
      <c r="O109" s="6" t="n"/>
      <c r="P109" s="6" t="n">
        <v>2000</v>
      </c>
      <c r="Q109" s="6" t="n">
        <v>1</v>
      </c>
      <c r="R109">
        <f>M109+IF(N109&gt;1,N(O109)*(N109-1),0)</f>
        <v/>
      </c>
      <c r="S109">
        <f>IFERROR(L109*MAX(N109,1)/R109*IF(ISBLANK(K108),1,K108),0)</f>
        <v/>
      </c>
      <c r="AB109" s="7" t="inlineStr"/>
    </row>
    <row r="110">
      <c r="A110" t="inlineStr">
        <is>
          <t>redalert2mod</t>
        </is>
      </c>
      <c r="B110" t="inlineStr">
        <is>
          <t>schwarzermond_corruptorpiercer</t>
        </is>
      </c>
      <c r="C110" t="inlineStr">
        <is>
          <t>Corruptor Piercer</t>
        </is>
      </c>
      <c r="D110" s="6" t="inlineStr">
        <is>
          <t>Fighter</t>
        </is>
      </c>
      <c r="E110" s="6" t="n">
        <v>37500</v>
      </c>
      <c r="F110" s="6" t="n">
        <v>150</v>
      </c>
      <c r="G110" t="inlineStr">
        <is>
          <t>Fighter</t>
        </is>
      </c>
      <c r="H110" s="6" t="n">
        <v>0.4571</v>
      </c>
      <c r="I110" s="6" t="n">
        <v>1</v>
      </c>
      <c r="J110" s="6" t="n">
        <v>1</v>
      </c>
      <c r="K110" s="6" t="n"/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2500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NaxCorrosionRocket</t>
        </is>
      </c>
      <c r="C111" s="7" t="inlineStr">
        <is>
          <t>Armament</t>
        </is>
      </c>
      <c r="L111" s="6" t="n">
        <v>6000</v>
      </c>
      <c r="M111" s="6" t="n">
        <v>50</v>
      </c>
      <c r="N111" s="6" t="n">
        <v>2</v>
      </c>
      <c r="O111" s="6" t="n">
        <v>2</v>
      </c>
      <c r="P111" s="6" t="n">
        <v>8000</v>
      </c>
      <c r="Q111" s="6" t="n">
        <v>1</v>
      </c>
      <c r="R111">
        <f>M111+IF(N111&gt;1,N(O111)*(N111-1),0)</f>
        <v/>
      </c>
      <c r="S111">
        <f>IFERROR(L111*MAX(N111,1)/R111*IF(ISBLANK(K110),1,K110),0)</f>
        <v/>
      </c>
      <c r="AB111" s="7" t="inlineStr">
        <is>
          <t>^Warhead_Concussion_Light, ^Warhead_MissileAP_Heavy, ^Warhead_MissileAP_Medium</t>
        </is>
      </c>
    </row>
    <row r="112">
      <c r="A112" t="inlineStr">
        <is>
          <t>redalert2mod</t>
        </is>
      </c>
      <c r="B112" t="inlineStr">
        <is>
          <t>schwarzermond_dieglocke</t>
        </is>
      </c>
      <c r="C112" t="inlineStr">
        <is>
          <t>Die Glocke</t>
        </is>
      </c>
      <c r="D112" s="6" t="inlineStr">
        <is>
          <t>Spaceship</t>
        </is>
      </c>
      <c r="E112" s="6" t="n">
        <v>3750000</v>
      </c>
      <c r="F112" s="6" t="n">
        <v>40</v>
      </c>
      <c r="G112" t="inlineStr">
        <is>
          <t>Spaceship</t>
        </is>
      </c>
      <c r="H112" s="6" t="n">
        <v>0.4571</v>
      </c>
      <c r="I112" s="6" t="n">
        <v>1</v>
      </c>
      <c r="J112" s="6" t="n">
        <v>1</v>
      </c>
      <c r="K112" s="6" t="n"/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15000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NaxDieGlocke</t>
        </is>
      </c>
      <c r="C113" s="7" t="inlineStr">
        <is>
          <t>Armament@PRIMARY</t>
        </is>
      </c>
      <c r="L113" s="6" t="n">
        <v>10000</v>
      </c>
      <c r="M113" s="6" t="n">
        <v>60</v>
      </c>
      <c r="N113" s="6" t="n">
        <v>1</v>
      </c>
      <c r="O113" s="6" t="n"/>
      <c r="P113" s="6" t="n">
        <v>2500</v>
      </c>
      <c r="Q113" s="6" t="n">
        <v>1.25</v>
      </c>
      <c r="R113">
        <f>M113+IF(N113&gt;1,N(O113)*(N113-1),0)</f>
        <v/>
      </c>
      <c r="S113">
        <f>IFERROR(L113*MAX(N113,1)/R113*IF(ISBLANK(K112),1,K112),0)</f>
        <v/>
      </c>
      <c r="AB113" s="7" t="inlineStr">
        <is>
          <t>^Warhead_Chemical_Heavy</t>
        </is>
      </c>
    </row>
    <row r="114">
      <c r="A114" t="inlineStr">
        <is>
          <t>redalert2mod</t>
        </is>
      </c>
      <c r="B114" t="inlineStr">
        <is>
          <t>schwarzermond_drone</t>
        </is>
      </c>
      <c r="C114" t="inlineStr">
        <is>
          <t>Drone</t>
        </is>
      </c>
      <c r="D114" s="6" t="inlineStr">
        <is>
          <t>Fighter</t>
        </is>
      </c>
      <c r="E114" s="6" t="n">
        <v>7500</v>
      </c>
      <c r="F114" s="6" t="n">
        <v>150</v>
      </c>
      <c r="G114" t="inlineStr">
        <is>
          <t>Fighter</t>
        </is>
      </c>
      <c r="H114" s="6" t="n">
        <v>1</v>
      </c>
      <c r="I114" s="6" t="n">
        <v>1</v>
      </c>
      <c r="J114" s="6" t="n">
        <v>1</v>
      </c>
      <c r="K114" s="6" t="n"/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120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LunarNaxiDroneLaser</t>
        </is>
      </c>
      <c r="C115" s="7" t="inlineStr">
        <is>
          <t>Armament@PRIMARY</t>
        </is>
      </c>
      <c r="L115" s="6" t="n">
        <v>8000</v>
      </c>
      <c r="M115" s="6" t="n">
        <v>100</v>
      </c>
      <c r="N115" s="6" t="n">
        <v>4</v>
      </c>
      <c r="O115" s="6" t="n">
        <v>3</v>
      </c>
      <c r="P115" s="6" t="n">
        <v>5760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>
        <is>
          <t>^SmallArms, ^Chaingun, ^MediumMissile, ^LaserWeapon</t>
        </is>
      </c>
    </row>
    <row r="116">
      <c r="B116" s="7" t="inlineStr">
        <is>
          <t xml:space="preserve">  ↳ LunarNaxiDroneMissile</t>
        </is>
      </c>
      <c r="C116" s="7" t="inlineStr">
        <is>
          <t>Armament@Rockets</t>
        </is>
      </c>
      <c r="L116" s="6" t="n">
        <v>12000</v>
      </c>
      <c r="M116" s="6" t="n">
        <v>100</v>
      </c>
      <c r="N116" s="6" t="n">
        <v>2</v>
      </c>
      <c r="O116" s="6" t="n">
        <v>9</v>
      </c>
      <c r="P116" s="6" t="n">
        <v>5760</v>
      </c>
      <c r="Q116" s="6" t="n">
        <v>0.75</v>
      </c>
      <c r="R116">
        <f>M116+IF(N116&gt;1,N(O116)*(N116-1),0)</f>
        <v/>
      </c>
      <c r="S116">
        <f>IFERROR(L116*MAX(N116,1)/R116*IF(ISBLANK(K114),1,K114),0)</f>
        <v/>
      </c>
      <c r="AB116" s="7" t="inlineStr">
        <is>
          <t>^Warhead_MissileAP_Light</t>
        </is>
      </c>
    </row>
    <row r="117">
      <c r="A117" t="inlineStr">
        <is>
          <t>redalert2mod</t>
        </is>
      </c>
      <c r="B117" t="inlineStr">
        <is>
          <t>schwarzermond_haunebuii</t>
        </is>
      </c>
      <c r="C117" t="inlineStr">
        <is>
          <t>Haunebu II</t>
        </is>
      </c>
      <c r="D117" s="6" t="inlineStr">
        <is>
          <t>Spaceship</t>
        </is>
      </c>
      <c r="E117" s="6" t="n">
        <v>250000</v>
      </c>
      <c r="F117" s="6" t="n">
        <v>66</v>
      </c>
      <c r="G117" t="inlineStr">
        <is>
          <t>Spaceship</t>
        </is>
      </c>
      <c r="H117" s="6" t="n">
        <v>1</v>
      </c>
      <c r="I117" s="6" t="n">
        <v>0.75</v>
      </c>
      <c r="J117" s="6" t="n">
        <v>1</v>
      </c>
      <c r="K117" s="6" t="n"/>
      <c r="P117">
        <f>MAX(P118,P119)</f>
        <v/>
      </c>
      <c r="S117">
        <f>S118+S119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(T117+U117+V117)/3</f>
        <v/>
      </c>
      <c r="X117" s="6" t="n">
        <v>3200</v>
      </c>
      <c r="Y117">
        <f>IFERROR(W117-X117,"")</f>
        <v/>
      </c>
      <c r="Z117">
        <f>IFERROR(ABS(Y117)/MAX(X117,1),"")</f>
        <v/>
      </c>
      <c r="AA117">
        <f>IFERROR((X117-(((E117/100000+F117/100+S117/200)*200*I117*H117)+((E117*F117/25000)*I117*H117))/3)/(((J117/5)*200*I117*H117)+((J117*S117/2.5)*I117*H117)+((E117*F117*J117*S117*I117*H117)/12500000))/3*1000,"")</f>
        <v/>
      </c>
    </row>
    <row r="118">
      <c r="B118" s="7" t="inlineStr">
        <is>
          <t xml:space="preserve">  ↳ NaxHaenebuQuadCannon</t>
        </is>
      </c>
      <c r="C118" s="7" t="inlineStr">
        <is>
          <t>Armament@PRIMARY</t>
        </is>
      </c>
      <c r="L118" s="6" t="n">
        <v>6000</v>
      </c>
      <c r="M118" s="6" t="n">
        <v>66</v>
      </c>
      <c r="N118" s="6" t="n">
        <v>6</v>
      </c>
      <c r="O118" s="6" t="n">
        <v>0</v>
      </c>
      <c r="P118" s="6" t="n">
        <v>6666</v>
      </c>
      <c r="Q118" s="6" t="n">
        <v>1</v>
      </c>
      <c r="R118">
        <f>M118+IF(N118&gt;1,N(O118)*(N118-1),0)</f>
        <v/>
      </c>
      <c r="S118">
        <f>IFERROR(L118*MAX(N118,1)/R118*IF(ISBLANK(K117),1,K117),0)</f>
        <v/>
      </c>
      <c r="AB118" s="7" t="inlineStr">
        <is>
          <t>^Warhead_Concussion_Light, ^Warhead_MissileAP_Heavy, ^Warhead_Flak_Medium</t>
        </is>
      </c>
    </row>
    <row r="119">
      <c r="B119" s="7" t="inlineStr">
        <is>
          <t xml:space="preserve">  ↳ NaxHaenebuQuadCannon_elite</t>
        </is>
      </c>
      <c r="C119" s="7" t="inlineStr">
        <is>
          <t>Armament@ELITE</t>
        </is>
      </c>
      <c r="L119" s="6" t="n">
        <v>6000</v>
      </c>
      <c r="M119" s="6" t="n">
        <v>66</v>
      </c>
      <c r="N119" s="6" t="n">
        <v>7</v>
      </c>
      <c r="O119" s="6" t="n">
        <v>0</v>
      </c>
      <c r="P119" s="6" t="n">
        <v>7777</v>
      </c>
      <c r="Q119" s="6" t="n">
        <v>1</v>
      </c>
      <c r="R119">
        <f>M119+IF(N119&gt;1,N(O119)*(N119-1),0)</f>
        <v/>
      </c>
      <c r="S119">
        <f>IFERROR(L119*MAX(N119,1)/R119*IF(ISBLANK(K117),1,K117),0)</f>
        <v/>
      </c>
      <c r="AB119" s="7" t="inlineStr">
        <is>
          <t>^Warhead_Concussion_Light, ^Warhead_MissileAP_Heavy, ^Warhead_Flak_Medium</t>
        </is>
      </c>
    </row>
    <row r="120">
      <c r="A120" t="inlineStr">
        <is>
          <t>redalert2mod</t>
        </is>
      </c>
      <c r="B120" t="inlineStr">
        <is>
          <t>schwarzermond_haunebuiii</t>
        </is>
      </c>
      <c r="C120" t="inlineStr">
        <is>
          <t>Haunebu III</t>
        </is>
      </c>
      <c r="D120" s="6" t="inlineStr">
        <is>
          <t>Spaceship</t>
        </is>
      </c>
      <c r="E120" s="6" t="n">
        <v>375000</v>
      </c>
      <c r="F120" s="6" t="n">
        <v>55</v>
      </c>
      <c r="G120" t="inlineStr">
        <is>
          <t>Spaceship</t>
        </is>
      </c>
      <c r="H120" s="6" t="n">
        <v>0.4571</v>
      </c>
      <c r="I120" s="6" t="n">
        <v>1</v>
      </c>
      <c r="J120" s="6" t="n">
        <v>1</v>
      </c>
      <c r="K120" s="6" t="n"/>
      <c r="P120">
        <f>MAX(P121,P122,P123)</f>
        <v/>
      </c>
      <c r="S120">
        <f>S121+S122+S123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(T120+U120+V120)/3</f>
        <v/>
      </c>
      <c r="X120" s="6" t="n">
        <v>4000</v>
      </c>
      <c r="Y120">
        <f>IFERROR(W120-X120,"")</f>
        <v/>
      </c>
      <c r="Z120">
        <f>IFERROR(ABS(Y120)/MAX(X120,1),"")</f>
        <v/>
      </c>
      <c r="AA120">
        <f>IFERROR((X120-(((E120/100000+F120/100+S120/200)*200*I120*H120)+((E120*F120/25000)*I120*H120))/3)/(((J120/5)*200*I120*H120)+((J120*S120/2.5)*I120*H120)+((E120*F120*J120*S120*I120*H120)/12500000))/3*1000,"")</f>
        <v/>
      </c>
    </row>
    <row r="121">
      <c r="B121" s="7" t="inlineStr">
        <is>
          <t xml:space="preserve">  ↳ NaxHaenebuQuadCannon</t>
        </is>
      </c>
      <c r="C121" s="7" t="inlineStr">
        <is>
          <t>Armament@PRIMARY</t>
        </is>
      </c>
      <c r="L121" s="6" t="n">
        <v>6000</v>
      </c>
      <c r="M121" s="6" t="n">
        <v>66</v>
      </c>
      <c r="N121" s="6" t="n">
        <v>6</v>
      </c>
      <c r="O121" s="6" t="n">
        <v>0</v>
      </c>
      <c r="P121" s="6" t="n">
        <v>6666</v>
      </c>
      <c r="Q121" s="6" t="n">
        <v>1</v>
      </c>
      <c r="R121">
        <f>M121+IF(N121&gt;1,N(O121)*(N121-1),0)</f>
        <v/>
      </c>
      <c r="S121">
        <f>IFERROR(L121*MAX(N121,1)/R121*IF(ISBLANK(K120),1,K120),0)</f>
        <v/>
      </c>
      <c r="AB121" s="7" t="inlineStr">
        <is>
          <t>^Warhead_Concussion_Light, ^Warhead_MissileAP_Heavy, ^Warhead_Flak_Medium</t>
        </is>
      </c>
    </row>
    <row r="122">
      <c r="B122" s="7" t="inlineStr">
        <is>
          <t xml:space="preserve">  ↳ NaxHaenebuQuadCannon_elite</t>
        </is>
      </c>
      <c r="C122" s="7" t="inlineStr">
        <is>
          <t>Armament@ELITE</t>
        </is>
      </c>
      <c r="L122" s="6" t="n">
        <v>6000</v>
      </c>
      <c r="M122" s="6" t="n">
        <v>66</v>
      </c>
      <c r="N122" s="6" t="n">
        <v>7</v>
      </c>
      <c r="O122" s="6" t="n">
        <v>0</v>
      </c>
      <c r="P122" s="6" t="n">
        <v>7777</v>
      </c>
      <c r="Q122" s="6" t="n">
        <v>1</v>
      </c>
      <c r="R122">
        <f>M122+IF(N122&gt;1,N(O122)*(N122-1),0)</f>
        <v/>
      </c>
      <c r="S122">
        <f>IFERROR(L122*MAX(N122,1)/R122*IF(ISBLANK(K120),1,K120),0)</f>
        <v/>
      </c>
      <c r="AB122" s="7" t="inlineStr">
        <is>
          <t>^Warhead_Concussion_Light, ^Warhead_MissileAP_Heavy, ^Warhead_Flak_Medium</t>
        </is>
      </c>
    </row>
    <row r="123">
      <c r="B123" s="7" t="inlineStr">
        <is>
          <t xml:space="preserve">  ↳ NaxiCowDrop</t>
        </is>
      </c>
      <c r="C123" s="7" t="inlineStr">
        <is>
          <t>Armament@SECOND</t>
        </is>
      </c>
      <c r="L123" s="6" t="n">
        <v>10000</v>
      </c>
      <c r="M123" s="6" t="n">
        <v>50</v>
      </c>
      <c r="N123" s="6" t="n">
        <v>1</v>
      </c>
      <c r="O123" s="6" t="n"/>
      <c r="P123" s="6" t="n">
        <v>2000</v>
      </c>
      <c r="Q123" s="6" t="n">
        <v>1.25</v>
      </c>
      <c r="R123">
        <f>M123+IF(N123&gt;1,N(O123)*(N123-1),0)</f>
        <v/>
      </c>
      <c r="S123">
        <f>IFERROR(L123*MAX(N123,1)/R123*IF(ISBLANK(K120),1,K120),0)</f>
        <v/>
      </c>
      <c r="AB123" s="7" t="inlineStr">
        <is>
          <t>^Warhead_Demolition_Heavy</t>
        </is>
      </c>
    </row>
    <row r="124">
      <c r="A124" t="inlineStr">
        <is>
          <t>redalert2mod</t>
        </is>
      </c>
      <c r="B124" t="inlineStr">
        <is>
          <t>schwarzermond_spacezeppelin</t>
        </is>
      </c>
      <c r="C124" t="inlineStr">
        <is>
          <t>Space Zeppelin</t>
        </is>
      </c>
      <c r="D124" s="6" t="inlineStr">
        <is>
          <t>Helicopter</t>
        </is>
      </c>
      <c r="E124" s="6" t="n">
        <v>1350000</v>
      </c>
      <c r="F124" s="6" t="n">
        <v>35</v>
      </c>
      <c r="G124" t="inlineStr">
        <is>
          <t>Helicopter</t>
        </is>
      </c>
      <c r="H124" s="6" t="n">
        <v>0.5482</v>
      </c>
      <c r="I124" s="6" t="n">
        <v>1</v>
      </c>
      <c r="J124" s="6" t="n">
        <v>1</v>
      </c>
      <c r="K124" s="6" t="n">
        <v>0.005</v>
      </c>
      <c r="P124">
        <f>MAX(P125,P126,P127,P128,P129,P130,P131,P132,P133,P134,P135,P136)</f>
        <v/>
      </c>
      <c r="S124">
        <f>S125+S126+S127+S128+S129+S130+S131+S132+S133+S134+S135+S136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6000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NaxiBeetleLaser_elite</t>
        </is>
      </c>
      <c r="C125" s="7" t="inlineStr">
        <is>
          <t>Armament</t>
        </is>
      </c>
      <c r="L125" s="6" t="n">
        <v>8000</v>
      </c>
      <c r="M125" s="6" t="n">
        <v>60</v>
      </c>
      <c r="N125" s="6" t="n">
        <v>2</v>
      </c>
      <c r="O125" s="6" t="n">
        <v>4</v>
      </c>
      <c r="P125" s="6" t="n">
        <v>6448</v>
      </c>
      <c r="Q125" s="6" t="n">
        <v>1</v>
      </c>
      <c r="R125">
        <f>M125+IF(N125&gt;1,N(O125)*(N125-1),0)</f>
        <v/>
      </c>
      <c r="S125">
        <f>IFERROR(L125*MAX(N125,1)/R125*IF(ISBLANK(K124),1,K124),0)</f>
        <v/>
      </c>
      <c r="AB125" s="7" t="inlineStr">
        <is>
          <t>^SmallArms, ^Chaingun, ^MediumMissile, ^LaserWeapon</t>
        </is>
      </c>
    </row>
    <row r="126">
      <c r="B126" s="7" t="inlineStr">
        <is>
          <t xml:space="preserve">  ↳ NaxiBeetleLaser_elite</t>
        </is>
      </c>
      <c r="C126" s="7" t="inlineStr">
        <is>
          <t>Armament@elite</t>
        </is>
      </c>
      <c r="L126" s="6" t="n">
        <v>8000</v>
      </c>
      <c r="M126" s="6" t="n">
        <v>60</v>
      </c>
      <c r="N126" s="6" t="n">
        <v>2</v>
      </c>
      <c r="O126" s="6" t="n">
        <v>4</v>
      </c>
      <c r="P126" s="6" t="n">
        <v>6448</v>
      </c>
      <c r="Q126" s="6" t="n">
        <v>1</v>
      </c>
      <c r="R126">
        <f>M126+IF(N126&gt;1,N(O126)*(N126-1),0)</f>
        <v/>
      </c>
      <c r="S126">
        <f>IFERROR(L126*MAX(N126,1)/R126*IF(ISBLANK(K124),1,K124),0)</f>
        <v/>
      </c>
      <c r="AB126" s="7" t="inlineStr">
        <is>
          <t>^SmallArms, ^Chaingun, ^MediumMissile, ^LaserWeapon</t>
        </is>
      </c>
    </row>
    <row r="127">
      <c r="B127" s="7" t="inlineStr">
        <is>
          <t xml:space="preserve">  ↳ NaxiBeetleLaser_AA_elite</t>
        </is>
      </c>
      <c r="C127" s="7" t="inlineStr">
        <is>
          <t>Armament@AA</t>
        </is>
      </c>
      <c r="L127" s="6" t="n">
        <v>8000</v>
      </c>
      <c r="M127" s="6" t="n">
        <v>60</v>
      </c>
      <c r="N127" s="6" t="n">
        <v>2</v>
      </c>
      <c r="O127" s="6" t="n">
        <v>4</v>
      </c>
      <c r="P127" s="6" t="n">
        <v>9672</v>
      </c>
      <c r="Q127" s="6" t="n">
        <v>1</v>
      </c>
      <c r="R127">
        <f>M127+IF(N127&gt;1,N(O127)*(N127-1),0)</f>
        <v/>
      </c>
      <c r="S127">
        <f>IFERROR(L127*MAX(N127,1)/R127*IF(ISBLANK(K124),1,K124),0)</f>
        <v/>
      </c>
      <c r="AB127" s="7" t="inlineStr">
        <is>
          <t>NaxiBeetleLaser_elite</t>
        </is>
      </c>
    </row>
    <row r="128">
      <c r="B128" s="7" t="inlineStr">
        <is>
          <t xml:space="preserve">  ↳ NaxiBeetleLaser_AA_elite</t>
        </is>
      </c>
      <c r="C128" s="7" t="inlineStr">
        <is>
          <t>Armament@eliteAA</t>
        </is>
      </c>
      <c r="L128" s="6" t="n">
        <v>8000</v>
      </c>
      <c r="M128" s="6" t="n">
        <v>60</v>
      </c>
      <c r="N128" s="6" t="n">
        <v>2</v>
      </c>
      <c r="O128" s="6" t="n">
        <v>4</v>
      </c>
      <c r="P128" s="6" t="n">
        <v>9672</v>
      </c>
      <c r="Q128" s="6" t="n">
        <v>1</v>
      </c>
      <c r="R128">
        <f>M128+IF(N128&gt;1,N(O128)*(N128-1),0)</f>
        <v/>
      </c>
      <c r="S128">
        <f>IFERROR(L128*MAX(N128,1)/R128*IF(ISBLANK(K124),1,K124),0)</f>
        <v/>
      </c>
      <c r="AB128" s="7" t="inlineStr">
        <is>
          <t>NaxiBeetleLaser_elite</t>
        </is>
      </c>
    </row>
    <row r="129">
      <c r="B129" s="7" t="inlineStr">
        <is>
          <t xml:space="preserve">  ↳ Lunar_YellowBeetleLaser</t>
        </is>
      </c>
      <c r="C129" s="7" t="inlineStr">
        <is>
          <t>Armament@UP</t>
        </is>
      </c>
      <c r="L129" s="6" t="n">
        <v>8000</v>
      </c>
      <c r="M129" s="6" t="n">
        <v>60</v>
      </c>
      <c r="N129" s="6" t="n">
        <v>3</v>
      </c>
      <c r="O129" s="6" t="n">
        <v>4</v>
      </c>
      <c r="P129" s="6" t="n">
        <v>6448</v>
      </c>
      <c r="Q129" s="6" t="n">
        <v>1</v>
      </c>
      <c r="R129">
        <f>M129+IF(N129&gt;1,N(O129)*(N129-1),0)</f>
        <v/>
      </c>
      <c r="S129">
        <f>IFERROR(L129*MAX(N129,1)/R129*IF(ISBLANK(K124),1,K124),0)</f>
        <v/>
      </c>
      <c r="AB129" s="7" t="inlineStr">
        <is>
          <t>NaxiBeetleLaser_elite</t>
        </is>
      </c>
    </row>
    <row r="130">
      <c r="B130" s="7" t="inlineStr">
        <is>
          <t xml:space="preserve">  ↳ Lunar_YellowBeetleLaser</t>
        </is>
      </c>
      <c r="C130" s="7" t="inlineStr">
        <is>
          <t>Armament@eliteUP</t>
        </is>
      </c>
      <c r="L130" s="6" t="n">
        <v>8000</v>
      </c>
      <c r="M130" s="6" t="n">
        <v>60</v>
      </c>
      <c r="N130" s="6" t="n">
        <v>3</v>
      </c>
      <c r="O130" s="6" t="n">
        <v>4</v>
      </c>
      <c r="P130" s="6" t="n">
        <v>6448</v>
      </c>
      <c r="Q130" s="6" t="n">
        <v>1</v>
      </c>
      <c r="R130">
        <f>M130+IF(N130&gt;1,N(O130)*(N130-1),0)</f>
        <v/>
      </c>
      <c r="S130">
        <f>IFERROR(L130*MAX(N130,1)/R130*IF(ISBLANK(K124),1,K124),0)</f>
        <v/>
      </c>
      <c r="AB130" s="7" t="inlineStr">
        <is>
          <t>NaxiBeetleLaser_elite</t>
        </is>
      </c>
    </row>
    <row r="131">
      <c r="B131" s="7" t="inlineStr">
        <is>
          <t xml:space="preserve">  ↳ Lunar_YellowBeetleLaser_AA</t>
        </is>
      </c>
      <c r="C131" s="7" t="inlineStr">
        <is>
          <t>Armament@AA_UP</t>
        </is>
      </c>
      <c r="L131" s="6" t="n">
        <v>8000</v>
      </c>
      <c r="M131" s="6" t="n">
        <v>60</v>
      </c>
      <c r="N131" s="6" t="n">
        <v>3</v>
      </c>
      <c r="O131" s="6" t="n">
        <v>4</v>
      </c>
      <c r="P131" s="6" t="n">
        <v>9672</v>
      </c>
      <c r="Q131" s="6" t="n">
        <v>1</v>
      </c>
      <c r="R131">
        <f>M131+IF(N131&gt;1,N(O131)*(N131-1),0)</f>
        <v/>
      </c>
      <c r="S131">
        <f>IFERROR(L131*MAX(N131,1)/R131*IF(ISBLANK(K124),1,K124),0)</f>
        <v/>
      </c>
      <c r="AB131" s="7" t="inlineStr">
        <is>
          <t>NaxiBeetleLaser_AA_elite</t>
        </is>
      </c>
    </row>
    <row r="132">
      <c r="B132" s="7" t="inlineStr">
        <is>
          <t xml:space="preserve">  ↳ Lunar_YellowBeetleLaser_AA</t>
        </is>
      </c>
      <c r="C132" s="7" t="inlineStr">
        <is>
          <t>Armament@eliteAA_UP</t>
        </is>
      </c>
      <c r="L132" s="6" t="n">
        <v>8000</v>
      </c>
      <c r="M132" s="6" t="n">
        <v>60</v>
      </c>
      <c r="N132" s="6" t="n">
        <v>3</v>
      </c>
      <c r="O132" s="6" t="n">
        <v>4</v>
      </c>
      <c r="P132" s="6" t="n">
        <v>9672</v>
      </c>
      <c r="Q132" s="6" t="n">
        <v>1</v>
      </c>
      <c r="R132">
        <f>M132+IF(N132&gt;1,N(O132)*(N132-1),0)</f>
        <v/>
      </c>
      <c r="S132">
        <f>IFERROR(L132*MAX(N132,1)/R132*IF(ISBLANK(K124),1,K124),0)</f>
        <v/>
      </c>
      <c r="AB132" s="7" t="inlineStr">
        <is>
          <t>NaxiBeetleLaser_AA_elite</t>
        </is>
      </c>
    </row>
    <row r="133">
      <c r="B133" s="7" t="inlineStr">
        <is>
          <t xml:space="preserve">  ↳ Lunar_AmplifiedBeetleLaser</t>
        </is>
      </c>
      <c r="C133" s="7" t="inlineStr">
        <is>
          <t>Armament@AMP</t>
        </is>
      </c>
      <c r="L133" s="6" t="n">
        <v>8000</v>
      </c>
      <c r="M133" s="6" t="n">
        <v>60</v>
      </c>
      <c r="N133" s="6" t="n">
        <v>4</v>
      </c>
      <c r="O133" s="6" t="n">
        <v>4</v>
      </c>
      <c r="P133" s="6" t="n">
        <v>6448</v>
      </c>
      <c r="Q133" s="6" t="n">
        <v>1</v>
      </c>
      <c r="R133">
        <f>M133+IF(N133&gt;1,N(O133)*(N133-1),0)</f>
        <v/>
      </c>
      <c r="S133">
        <f>IFERROR(L133*MAX(N133,1)/R133*IF(ISBLANK(K124),1,K124),0)</f>
        <v/>
      </c>
      <c r="AB133" s="7" t="inlineStr">
        <is>
          <t>NaxiBeetleLaser_elite</t>
        </is>
      </c>
    </row>
    <row r="134">
      <c r="B134" s="7" t="inlineStr">
        <is>
          <t xml:space="preserve">  ↳ Lunar_AmplifiedBeetleLaser</t>
        </is>
      </c>
      <c r="C134" s="7" t="inlineStr">
        <is>
          <t>Armament@eliteAMP</t>
        </is>
      </c>
      <c r="L134" s="6" t="n">
        <v>8000</v>
      </c>
      <c r="M134" s="6" t="n">
        <v>60</v>
      </c>
      <c r="N134" s="6" t="n">
        <v>4</v>
      </c>
      <c r="O134" s="6" t="n">
        <v>4</v>
      </c>
      <c r="P134" s="6" t="n">
        <v>6448</v>
      </c>
      <c r="Q134" s="6" t="n">
        <v>1</v>
      </c>
      <c r="R134">
        <f>M134+IF(N134&gt;1,N(O134)*(N134-1),0)</f>
        <v/>
      </c>
      <c r="S134">
        <f>IFERROR(L134*MAX(N134,1)/R134*IF(ISBLANK(K124),1,K124),0)</f>
        <v/>
      </c>
      <c r="AB134" s="7" t="inlineStr">
        <is>
          <t>NaxiBeetleLaser_elite</t>
        </is>
      </c>
    </row>
    <row r="135">
      <c r="B135" s="7" t="inlineStr">
        <is>
          <t xml:space="preserve">  ↳ Lunar_AmplifiedBeetleLaser_AA</t>
        </is>
      </c>
      <c r="C135" s="7" t="inlineStr">
        <is>
          <t>Armament@AA_AMP</t>
        </is>
      </c>
      <c r="L135" s="6" t="n">
        <v>8000</v>
      </c>
      <c r="M135" s="6" t="n">
        <v>60</v>
      </c>
      <c r="N135" s="6" t="n">
        <v>4</v>
      </c>
      <c r="O135" s="6" t="n">
        <v>4</v>
      </c>
      <c r="P135" s="6" t="n">
        <v>9672</v>
      </c>
      <c r="Q135" s="6" t="n">
        <v>1</v>
      </c>
      <c r="R135">
        <f>M135+IF(N135&gt;1,N(O135)*(N135-1),0)</f>
        <v/>
      </c>
      <c r="S135">
        <f>IFERROR(L135*MAX(N135,1)/R135*IF(ISBLANK(K124),1,K124),0)</f>
        <v/>
      </c>
      <c r="AB135" s="7" t="inlineStr">
        <is>
          <t>NaxiBeetleLaser_AA_elite</t>
        </is>
      </c>
    </row>
    <row r="136">
      <c r="B136" s="7" t="inlineStr">
        <is>
          <t xml:space="preserve">  ↳ Lunar_AmplifiedBeetleLaser_AA</t>
        </is>
      </c>
      <c r="C136" s="7" t="inlineStr">
        <is>
          <t>Armament@eliteAA_AMP</t>
        </is>
      </c>
      <c r="L136" s="6" t="n">
        <v>8000</v>
      </c>
      <c r="M136" s="6" t="n">
        <v>60</v>
      </c>
      <c r="N136" s="6" t="n">
        <v>4</v>
      </c>
      <c r="O136" s="6" t="n">
        <v>4</v>
      </c>
      <c r="P136" s="6" t="n">
        <v>9672</v>
      </c>
      <c r="Q136" s="6" t="n">
        <v>1</v>
      </c>
      <c r="R136">
        <f>M136+IF(N136&gt;1,N(O136)*(N136-1),0)</f>
        <v/>
      </c>
      <c r="S136">
        <f>IFERROR(L136*MAX(N136,1)/R136*IF(ISBLANK(K124),1,K124),0)</f>
        <v/>
      </c>
      <c r="AB136" s="7" t="inlineStr">
        <is>
          <t>NaxiBeetleLaser_AA_elite</t>
        </is>
      </c>
    </row>
    <row r="137">
      <c r="A137" s="4" t="inlineStr">
        <is>
          <t>BUILDINGS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t="inlineStr">
        <is>
          <t>redalert2mod</t>
        </is>
      </c>
      <c r="B138" t="inlineStr">
        <is>
          <t>schwarzermond_airfield</t>
        </is>
      </c>
      <c r="C138" t="inlineStr">
        <is>
          <t>Schwarzer Mond Airfield</t>
        </is>
      </c>
      <c r="D138" s="6" t="inlineStr">
        <is>
          <t>BasicDefense</t>
        </is>
      </c>
      <c r="E138" s="6" t="n">
        <v>600000</v>
      </c>
      <c r="F138" s="6" t="n"/>
      <c r="G138" t="inlineStr">
        <is>
          <t>Concrete</t>
        </is>
      </c>
      <c r="H138" s="6" t="n">
        <v>0.8209</v>
      </c>
      <c r="I138" s="6" t="n">
        <v>1</v>
      </c>
      <c r="J138" s="6" t="n">
        <v>1</v>
      </c>
      <c r="K138" s="6" t="n"/>
      <c r="X138" s="6" t="n">
        <v>3000</v>
      </c>
    </row>
    <row r="139">
      <c r="B139" s="7" t="inlineStr">
        <is>
          <t xml:space="preserve">  ↳ NaxDefensivePlaneTarget</t>
        </is>
      </c>
      <c r="C139" s="7" t="inlineStr">
        <is>
          <t>Armament@PRIMARY</t>
        </is>
      </c>
      <c r="L139" s="6" t="n"/>
      <c r="M139" s="6" t="n">
        <v>30</v>
      </c>
      <c r="N139" s="6" t="n">
        <v>1</v>
      </c>
      <c r="O139" s="6" t="n"/>
      <c r="P139" s="6" t="n">
        <v>30000</v>
      </c>
      <c r="Q139" s="6" t="n">
        <v>1</v>
      </c>
      <c r="R139">
        <f>M139+IF(N139&gt;1,N(O139)*(N139-1),0)</f>
        <v/>
      </c>
      <c r="S139">
        <f>IFERROR(L139*MAX(N139,1)/R139*IF(ISBLANK(K138),1,K138),0)</f>
        <v/>
      </c>
      <c r="AB139" s="7" t="inlineStr"/>
    </row>
    <row r="140">
      <c r="A140" t="inlineStr">
        <is>
          <t>redalert2mod</t>
        </is>
      </c>
      <c r="B140" t="inlineStr">
        <is>
          <t>schwarzermond_barracks</t>
        </is>
      </c>
      <c r="C140" t="inlineStr">
        <is>
          <t>Schwarzer Mond Barracks</t>
        </is>
      </c>
      <c r="D140" s="6" t="inlineStr">
        <is>
          <t>Building</t>
        </is>
      </c>
      <c r="E140" s="6" t="n">
        <v>200000</v>
      </c>
      <c r="F140" s="6" t="n"/>
      <c r="G140" t="inlineStr">
        <is>
          <t>Wood</t>
        </is>
      </c>
      <c r="H140" s="6" t="n">
        <v>1</v>
      </c>
      <c r="I140" s="6" t="n">
        <v>1</v>
      </c>
      <c r="J140" s="6" t="n">
        <v>1</v>
      </c>
      <c r="K140" s="6" t="n"/>
      <c r="X140" s="6" t="n">
        <v>1000</v>
      </c>
    </row>
    <row r="141">
      <c r="A141" t="inlineStr">
        <is>
          <t>redalert2mod</t>
        </is>
      </c>
      <c r="B141" t="inlineStr">
        <is>
          <t>schwarzermond_constructionyard</t>
        </is>
      </c>
      <c r="C141" t="inlineStr">
        <is>
          <t>Schwarzer Mond Construction Yard</t>
        </is>
      </c>
      <c r="D141" s="6" t="inlineStr">
        <is>
          <t>Building</t>
        </is>
      </c>
      <c r="E141" s="6" t="n">
        <v>1000000</v>
      </c>
      <c r="F141" s="6" t="n"/>
      <c r="G141" t="inlineStr">
        <is>
          <t>Concrete</t>
        </is>
      </c>
      <c r="H141" s="6" t="n">
        <v>1</v>
      </c>
      <c r="I141" s="6" t="n">
        <v>1</v>
      </c>
      <c r="J141" s="6" t="n">
        <v>1</v>
      </c>
      <c r="K141" s="6" t="n"/>
      <c r="X141" s="6" t="n">
        <v>5000</v>
      </c>
    </row>
    <row r="142">
      <c r="A142" t="inlineStr">
        <is>
          <t>redalert2mod</t>
        </is>
      </c>
      <c r="B142" t="inlineStr">
        <is>
          <t>schwarzermond_gravitycore</t>
        </is>
      </c>
      <c r="C142" t="inlineStr">
        <is>
          <t>Gravity Core</t>
        </is>
      </c>
      <c r="D142" s="6" t="inlineStr">
        <is>
          <t>Building</t>
        </is>
      </c>
      <c r="E142" s="6" t="n">
        <v>1000000</v>
      </c>
      <c r="F142" s="6" t="n"/>
      <c r="G142" t="inlineStr">
        <is>
          <t>Concrete</t>
        </is>
      </c>
      <c r="H142" s="6" t="n">
        <v>0.5482</v>
      </c>
      <c r="I142" s="6" t="n">
        <v>1</v>
      </c>
      <c r="J142" s="6" t="n">
        <v>1</v>
      </c>
      <c r="K142" s="6" t="n"/>
      <c r="X142" s="6" t="n">
        <v>2500</v>
      </c>
    </row>
    <row r="143">
      <c r="A143" t="inlineStr">
        <is>
          <t>redalert2mod</t>
        </is>
      </c>
      <c r="B143" t="inlineStr">
        <is>
          <t>schwarzermond_hydrogenplant</t>
        </is>
      </c>
      <c r="C143" t="inlineStr">
        <is>
          <t>Schwarzer Mond Hydrogen Plant</t>
        </is>
      </c>
      <c r="D143" s="6" t="inlineStr">
        <is>
          <t>Building</t>
        </is>
      </c>
      <c r="E143" s="6" t="n">
        <v>175000</v>
      </c>
      <c r="F143" s="6" t="n"/>
      <c r="G143" t="inlineStr">
        <is>
          <t>Wood</t>
        </is>
      </c>
      <c r="H143" s="6" t="n">
        <v>1</v>
      </c>
      <c r="I143" s="6" t="n">
        <v>1</v>
      </c>
      <c r="J143" s="6" t="n">
        <v>1</v>
      </c>
      <c r="K143" s="6" t="n"/>
      <c r="X143" s="6" t="n">
        <v>800</v>
      </c>
    </row>
    <row r="144">
      <c r="A144" t="inlineStr">
        <is>
          <t>redalert2mod</t>
        </is>
      </c>
      <c r="B144" t="inlineStr">
        <is>
          <t>schwarzermond_lasertower</t>
        </is>
      </c>
      <c r="C144" t="inlineStr">
        <is>
          <t>Laser Tower</t>
        </is>
      </c>
      <c r="D144" s="6" t="inlineStr">
        <is>
          <t>AdvancedDefense</t>
        </is>
      </c>
      <c r="E144" s="6" t="n">
        <v>160000</v>
      </c>
      <c r="F144" s="6" t="n"/>
      <c r="G144" t="inlineStr">
        <is>
          <t>Steel</t>
        </is>
      </c>
      <c r="H144" s="6" t="n">
        <v>1</v>
      </c>
      <c r="I144" s="6" t="n">
        <v>1</v>
      </c>
      <c r="J144" s="6" t="n">
        <v>1</v>
      </c>
      <c r="K144" s="6" t="n"/>
      <c r="X144" s="6" t="n">
        <v>800</v>
      </c>
    </row>
    <row r="145">
      <c r="B145" s="7" t="inlineStr">
        <is>
          <t xml:space="preserve">  ↳ NaxLaserT</t>
        </is>
      </c>
      <c r="C145" s="7" t="inlineStr">
        <is>
          <t>Armament</t>
        </is>
      </c>
      <c r="L145" s="6" t="n">
        <v>8000</v>
      </c>
      <c r="M145" s="6" t="n">
        <v>20</v>
      </c>
      <c r="N145" s="6" t="n">
        <v>1</v>
      </c>
      <c r="O145" s="6" t="n"/>
      <c r="P145" s="6" t="n">
        <v>8181</v>
      </c>
      <c r="Q145" s="6" t="n">
        <v>1</v>
      </c>
      <c r="R145">
        <f>M145+IF(N145&gt;1,N(O145)*(N145-1),0)</f>
        <v/>
      </c>
      <c r="S145">
        <f>IFERROR(L145*MAX(N145,1)/R145*IF(ISBLANK(K144),1,K144),0)</f>
        <v/>
      </c>
      <c r="AB145" s="7" t="inlineStr">
        <is>
          <t>^SmallArms, ^Chaingun, ^MediumMissile, ^LaserWeapon</t>
        </is>
      </c>
    </row>
    <row r="146">
      <c r="B146" s="7" t="inlineStr">
        <is>
          <t xml:space="preserve">  ↳ Lunar_YellowLaserT</t>
        </is>
      </c>
      <c r="C146" s="7" t="inlineStr">
        <is>
          <t>Armament@UP</t>
        </is>
      </c>
      <c r="L146" s="6" t="n">
        <v>8000</v>
      </c>
      <c r="M146" s="6" t="n">
        <v>20</v>
      </c>
      <c r="N146" s="6" t="n">
        <v>2</v>
      </c>
      <c r="O146" s="6" t="n"/>
      <c r="P146" s="6" t="n">
        <v>8181</v>
      </c>
      <c r="Q146" s="6" t="n">
        <v>1</v>
      </c>
      <c r="R146">
        <f>M146+IF(N146&gt;1,N(O146)*(N146-1),0)</f>
        <v/>
      </c>
      <c r="S146">
        <f>IFERROR(L146*MAX(N146,1)/R146*IF(ISBLANK(K144),1,K144),0)</f>
        <v/>
      </c>
      <c r="AB146" s="7" t="inlineStr">
        <is>
          <t>NaxLaserT</t>
        </is>
      </c>
    </row>
    <row r="147">
      <c r="B147" s="7" t="inlineStr">
        <is>
          <t xml:space="preserve">  ↳ Lunar_AmplifiedLaserT</t>
        </is>
      </c>
      <c r="C147" s="7" t="inlineStr">
        <is>
          <t>Armament@AMP</t>
        </is>
      </c>
      <c r="L147" s="6" t="n">
        <v>8000</v>
      </c>
      <c r="M147" s="6" t="n">
        <v>20</v>
      </c>
      <c r="N147" s="6" t="n">
        <v>3</v>
      </c>
      <c r="O147" s="6" t="n"/>
      <c r="P147" s="6" t="n">
        <v>8181</v>
      </c>
      <c r="Q147" s="6" t="n">
        <v>1</v>
      </c>
      <c r="R147">
        <f>M147+IF(N147&gt;1,N(O147)*(N147-1),0)</f>
        <v/>
      </c>
      <c r="S147">
        <f>IFERROR(L147*MAX(N147,1)/R147*IF(ISBLANK(K144),1,K144),0)</f>
        <v/>
      </c>
      <c r="AB147" s="7" t="inlineStr">
        <is>
          <t>NaxLaserT</t>
        </is>
      </c>
    </row>
    <row r="148">
      <c r="A148" t="inlineStr">
        <is>
          <t>redalert2mod</t>
        </is>
      </c>
      <c r="B148" t="inlineStr">
        <is>
          <t>schwarzermond_meteortractionray</t>
        </is>
      </c>
      <c r="C148" t="inlineStr">
        <is>
          <t>Meteor Traction Ray</t>
        </is>
      </c>
      <c r="D148" s="6" t="inlineStr">
        <is>
          <t>Building</t>
        </is>
      </c>
      <c r="E148" s="6" t="n">
        <v>1000000</v>
      </c>
      <c r="F148" s="6" t="n"/>
      <c r="G148" t="inlineStr">
        <is>
          <t>Concrete</t>
        </is>
      </c>
      <c r="H148" s="6" t="n">
        <v>0.5482</v>
      </c>
      <c r="I148" s="6" t="n">
        <v>1</v>
      </c>
      <c r="J148" s="6" t="n">
        <v>1</v>
      </c>
      <c r="K148" s="6" t="n"/>
      <c r="X148" s="6" t="n">
        <v>10000</v>
      </c>
    </row>
    <row r="149">
      <c r="A149" t="inlineStr">
        <is>
          <t>redalert2mod</t>
        </is>
      </c>
      <c r="B149" t="inlineStr">
        <is>
          <t>schwarzermond_moondairyfarm</t>
        </is>
      </c>
      <c r="C149" t="inlineStr">
        <is>
          <t>Moon Dairy Farm</t>
        </is>
      </c>
      <c r="D149" s="6" t="inlineStr">
        <is>
          <t>Building</t>
        </is>
      </c>
      <c r="E149" s="6" t="n">
        <v>250000</v>
      </c>
      <c r="F149" s="6" t="n"/>
      <c r="G149" t="inlineStr">
        <is>
          <t>Wood</t>
        </is>
      </c>
      <c r="H149" s="6" t="n">
        <v>0.5482</v>
      </c>
      <c r="I149" s="6" t="n">
        <v>1</v>
      </c>
      <c r="J149" s="6" t="n">
        <v>1</v>
      </c>
      <c r="K149" s="6" t="n"/>
      <c r="X149" s="6" t="n">
        <v>2500</v>
      </c>
    </row>
    <row r="150">
      <c r="A150" t="inlineStr">
        <is>
          <t>redalert2mod</t>
        </is>
      </c>
      <c r="B150" t="inlineStr">
        <is>
          <t>schwarzermond_orerefinery</t>
        </is>
      </c>
      <c r="C150" t="inlineStr">
        <is>
          <t>Schwarzer Mond Ore Refinery</t>
        </is>
      </c>
      <c r="D150" s="6" t="inlineStr">
        <is>
          <t>Building</t>
        </is>
      </c>
      <c r="E150" s="6" t="n">
        <v>300000</v>
      </c>
      <c r="F150" s="6" t="n"/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K150" s="6" t="n"/>
      <c r="X150" s="6" t="n">
        <v>3000</v>
      </c>
    </row>
    <row r="151">
      <c r="A151" t="inlineStr">
        <is>
          <t>redalert2mod</t>
        </is>
      </c>
      <c r="B151" t="inlineStr">
        <is>
          <t>schwarzermond_radar</t>
        </is>
      </c>
      <c r="C151" t="inlineStr">
        <is>
          <t>Schwarzer Mond Radar</t>
        </is>
      </c>
      <c r="D151" s="6" t="inlineStr">
        <is>
          <t>Building</t>
        </is>
      </c>
      <c r="E151" s="6" t="n">
        <v>250000</v>
      </c>
      <c r="F151" s="6" t="n"/>
      <c r="G151" t="inlineStr">
        <is>
          <t>Wood</t>
        </is>
      </c>
      <c r="H151" s="6" t="n">
        <v>1</v>
      </c>
      <c r="I151" s="6" t="n">
        <v>1</v>
      </c>
      <c r="J151" s="6" t="n">
        <v>1</v>
      </c>
      <c r="K151" s="6" t="n"/>
      <c r="X151" s="6" t="n">
        <v>2500</v>
      </c>
    </row>
    <row r="152">
      <c r="A152" t="inlineStr">
        <is>
          <t>redalert2mod</t>
        </is>
      </c>
      <c r="B152" t="inlineStr">
        <is>
          <t>schwarzermond_sturmcannon</t>
        </is>
      </c>
      <c r="C152" t="inlineStr">
        <is>
          <t>Sturm Cannon</t>
        </is>
      </c>
      <c r="D152" s="6" t="inlineStr">
        <is>
          <t>BasicDefense</t>
        </is>
      </c>
      <c r="E152" s="6" t="n">
        <v>160000</v>
      </c>
      <c r="F152" s="6" t="n"/>
      <c r="G152" t="inlineStr">
        <is>
          <t>Concrete</t>
        </is>
      </c>
      <c r="H152" s="6" t="n">
        <v>0.8639</v>
      </c>
      <c r="I152" s="6" t="n">
        <v>1</v>
      </c>
      <c r="J152" s="6" t="n">
        <v>1</v>
      </c>
      <c r="K152" s="6" t="n"/>
      <c r="X152" s="6" t="n">
        <v>1200</v>
      </c>
    </row>
    <row r="153">
      <c r="B153" s="7" t="inlineStr">
        <is>
          <t xml:space="preserve">  ↳ NaxSturmArty</t>
        </is>
      </c>
      <c r="C153" s="7" t="inlineStr">
        <is>
          <t>Armament@PRIMARY</t>
        </is>
      </c>
      <c r="L153" s="6" t="n">
        <v>80000</v>
      </c>
      <c r="M153" s="6" t="n">
        <v>140</v>
      </c>
      <c r="N153" s="6" t="n">
        <v>1</v>
      </c>
      <c r="O153" s="6" t="n"/>
      <c r="P153" s="6" t="n">
        <v>14000</v>
      </c>
      <c r="Q153" s="6" t="n">
        <v>1</v>
      </c>
      <c r="R153">
        <f>M153+IF(N153&gt;1,N(O153)*(N153-1),0)</f>
        <v/>
      </c>
      <c r="S153">
        <f>IFERROR(L153*MAX(N153,1)/R153*IF(ISBLANK(K152),1,K152),0)</f>
        <v/>
      </c>
      <c r="AB153" s="7" t="inlineStr">
        <is>
          <t>^Warhead_Demolition_Heavy, ^Warhead_CannonHE_Medium, ^Warhead_Demolition_Light</t>
        </is>
      </c>
    </row>
    <row r="154">
      <c r="B154" s="7" t="inlineStr">
        <is>
          <t xml:space="preserve">  ↳ Lunar_GreenSturmArty</t>
        </is>
      </c>
      <c r="C154" s="7" t="inlineStr">
        <is>
          <t>Armament@PRIMARY_UP</t>
        </is>
      </c>
      <c r="L154" s="6" t="n">
        <v>82000</v>
      </c>
      <c r="M154" s="6" t="n">
        <v>140</v>
      </c>
      <c r="N154" s="6" t="n">
        <v>1</v>
      </c>
      <c r="O154" s="6" t="n"/>
      <c r="P154" s="6" t="n">
        <v>14000</v>
      </c>
      <c r="Q154" s="6" t="n">
        <v>1</v>
      </c>
      <c r="R154">
        <f>M154+IF(N154&gt;1,N(O154)*(N154-1),0)</f>
        <v/>
      </c>
      <c r="S154">
        <f>IFERROR(L154*MAX(N154,1)/R154*IF(ISBLANK(K152),1,K152),0)</f>
        <v/>
      </c>
      <c r="AB154" s="7" t="inlineStr">
        <is>
          <t>^Warhead_Tesla_Heavy, ^Warhead_Demolition_Heavy, ^Warhead_CannonHE_Medium, ^Warhead_Demolition_Light</t>
        </is>
      </c>
    </row>
    <row r="155">
      <c r="A155" t="inlineStr">
        <is>
          <t>redalert2mod</t>
        </is>
      </c>
      <c r="B155" t="inlineStr">
        <is>
          <t>schwarzermond_techcenter</t>
        </is>
      </c>
      <c r="C155" t="inlineStr">
        <is>
          <t>Schwarzer Mond Tech Center</t>
        </is>
      </c>
      <c r="D155" s="6" t="inlineStr">
        <is>
          <t>Building</t>
        </is>
      </c>
      <c r="E155" s="6" t="n">
        <v>500000</v>
      </c>
      <c r="F155" s="6" t="n"/>
      <c r="G155" t="inlineStr">
        <is>
          <t>Concrete</t>
        </is>
      </c>
      <c r="H155" s="6" t="n">
        <v>0.8209</v>
      </c>
      <c r="I155" s="6" t="n">
        <v>1</v>
      </c>
      <c r="J155" s="6" t="n">
        <v>1</v>
      </c>
      <c r="K155" s="6" t="n"/>
      <c r="X155" s="6" t="n">
        <v>5000</v>
      </c>
    </row>
    <row r="156">
      <c r="A156" t="inlineStr">
        <is>
          <t>redalert2mod</t>
        </is>
      </c>
      <c r="B156" t="inlineStr">
        <is>
          <t>schwarzermond_warfactory</t>
        </is>
      </c>
      <c r="C156" t="inlineStr">
        <is>
          <t>Schwarzer Mond War Factory</t>
        </is>
      </c>
      <c r="D156" s="6" t="inlineStr">
        <is>
          <t>Building</t>
        </is>
      </c>
      <c r="E156" s="6" t="n">
        <v>400000</v>
      </c>
      <c r="F156" s="6" t="n"/>
      <c r="G156" t="inlineStr">
        <is>
          <t>Concrete</t>
        </is>
      </c>
      <c r="H156" s="6" t="n">
        <v>1</v>
      </c>
      <c r="I156" s="6" t="n">
        <v>1</v>
      </c>
      <c r="J156" s="6" t="n">
        <v>1</v>
      </c>
      <c r="K156" s="6" t="n"/>
      <c r="X156" s="6" t="n">
        <v>2000</v>
      </c>
    </row>
    <row r="157">
      <c r="A157" s="4" t="inlineStr">
        <is>
          <t>UPGRADES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t="inlineStr">
        <is>
          <t>redalert2mod</t>
        </is>
      </c>
      <c r="B158" t="inlineStr">
        <is>
          <t>conyard_infiltrated.nax2</t>
        </is>
      </c>
      <c r="C158" t="inlineStr">
        <is>
          <t>Stolen Schwarzer Mond Buildings Plans</t>
        </is>
      </c>
      <c r="D158" s="6" t="inlineStr">
        <is>
          <t>ResearchedUpgrade</t>
        </is>
      </c>
      <c r="E158" s="6" t="n"/>
      <c r="F158" s="6" t="n"/>
      <c r="H158" s="6" t="n">
        <v>1</v>
      </c>
      <c r="I158" s="6" t="n">
        <v>1</v>
      </c>
      <c r="J158" s="6" t="n">
        <v>1</v>
      </c>
      <c r="K158" s="6" t="n"/>
      <c r="X158" s="6" t="n"/>
    </row>
    <row r="159">
      <c r="A159" t="inlineStr">
        <is>
          <t>redalert2mod</t>
        </is>
      </c>
      <c r="B159" t="inlineStr">
        <is>
          <t>schwarzermond_upgrade_amplifiedlens</t>
        </is>
      </c>
      <c r="C159" t="inlineStr">
        <is>
          <t>Amplified Lens</t>
        </is>
      </c>
      <c r="D159" s="6" t="inlineStr">
        <is>
          <t>ResearchedUpgrade</t>
        </is>
      </c>
      <c r="E159" s="6" t="n"/>
      <c r="F159" s="6" t="n"/>
      <c r="H159" s="6" t="n">
        <v>0.5482</v>
      </c>
      <c r="I159" s="6" t="n">
        <v>1</v>
      </c>
      <c r="J159" s="6" t="n">
        <v>1</v>
      </c>
      <c r="K159" s="6" t="n"/>
      <c r="X159" s="6" t="n">
        <v>5000</v>
      </c>
    </row>
    <row r="160">
      <c r="A160" t="inlineStr">
        <is>
          <t>redalert2mod</t>
        </is>
      </c>
      <c r="B160" t="inlineStr">
        <is>
          <t>schwarzermond_upgrade_cryptofascism</t>
        </is>
      </c>
      <c r="C160" t="inlineStr">
        <is>
          <t>Cryptofascism</t>
        </is>
      </c>
      <c r="D160" s="6" t="inlineStr">
        <is>
          <t>ResearchedUpgrade</t>
        </is>
      </c>
      <c r="E160" s="6" t="n"/>
      <c r="F160" s="6" t="n"/>
      <c r="H160" s="6" t="n">
        <v>0.5482</v>
      </c>
      <c r="I160" s="6" t="n">
        <v>1</v>
      </c>
      <c r="J160" s="6" t="n">
        <v>1</v>
      </c>
      <c r="K160" s="6" t="n"/>
      <c r="X160" s="6" t="n">
        <v>5000</v>
      </c>
    </row>
    <row r="161">
      <c r="A161" t="inlineStr">
        <is>
          <t>redalert2mod</t>
        </is>
      </c>
      <c r="B161" t="inlineStr">
        <is>
          <t>schwarzermond_upgrade_crystallens</t>
        </is>
      </c>
      <c r="C161" t="inlineStr">
        <is>
          <t>Crystal Lens</t>
        </is>
      </c>
      <c r="D161" s="6" t="inlineStr">
        <is>
          <t>ResearchedUpgrade</t>
        </is>
      </c>
      <c r="E161" s="6" t="n"/>
      <c r="F161" s="6" t="n"/>
      <c r="H161" s="6" t="n">
        <v>0.8209</v>
      </c>
      <c r="I161" s="6" t="n">
        <v>1</v>
      </c>
      <c r="J161" s="6" t="n">
        <v>1</v>
      </c>
      <c r="K161" s="6" t="n"/>
      <c r="X161" s="6" t="n">
        <v>5000</v>
      </c>
    </row>
    <row r="162">
      <c r="A162" t="inlineStr">
        <is>
          <t>redalert2mod</t>
        </is>
      </c>
      <c r="B162" t="inlineStr">
        <is>
          <t>schwarzermond_upgrade_helium3</t>
        </is>
      </c>
      <c r="C162" t="inlineStr">
        <is>
          <t>Helium-3 Enrichment</t>
        </is>
      </c>
      <c r="D162" s="6" t="inlineStr">
        <is>
          <t>TeamUpgrade</t>
        </is>
      </c>
      <c r="E162" s="6" t="n"/>
      <c r="F162" s="6" t="n"/>
      <c r="H162" s="6" t="n">
        <v>0.8209</v>
      </c>
      <c r="I162" s="6" t="n">
        <v>1</v>
      </c>
      <c r="J162" s="6" t="n">
        <v>1</v>
      </c>
      <c r="K162" s="6" t="n"/>
      <c r="X162" s="6" t="n">
        <v>10000</v>
      </c>
    </row>
    <row r="163">
      <c r="A163" t="inlineStr">
        <is>
          <t>redalert2mod</t>
        </is>
      </c>
      <c r="B163" t="inlineStr">
        <is>
          <t>schwarzermond_upgrade_helium3_proxy_actor</t>
        </is>
      </c>
      <c r="C163" t="inlineStr">
        <is>
          <t>Helium-3 Enrichment</t>
        </is>
      </c>
      <c r="D163" s="6" t="inlineStr">
        <is>
          <t>ResearchedUpgrade</t>
        </is>
      </c>
      <c r="E163" s="6" t="n"/>
      <c r="F163" s="6" t="n"/>
      <c r="H163" s="6" t="n">
        <v>1</v>
      </c>
      <c r="I163" s="6" t="n">
        <v>1</v>
      </c>
      <c r="J163" s="6" t="n">
        <v>1</v>
      </c>
      <c r="K163" s="6" t="n"/>
      <c r="X163" s="6" t="n"/>
    </row>
    <row r="164">
      <c r="A164" t="inlineStr">
        <is>
          <t>redalert2mod</t>
        </is>
      </c>
      <c r="B164" t="inlineStr">
        <is>
          <t>schwarzermond_upgrade_lunaralloys</t>
        </is>
      </c>
      <c r="C164" t="inlineStr">
        <is>
          <t>Lunar Alloys</t>
        </is>
      </c>
      <c r="D164" s="6" t="inlineStr">
        <is>
          <t>ResearchedUpgrade</t>
        </is>
      </c>
      <c r="E164" s="6" t="n"/>
      <c r="F164" s="6" t="n"/>
      <c r="H164" s="6" t="n">
        <v>0.8209</v>
      </c>
      <c r="I164" s="6" t="n">
        <v>1</v>
      </c>
      <c r="J164" s="6" t="n">
        <v>1</v>
      </c>
      <c r="K164" s="6" t="n"/>
      <c r="X164" s="6" t="n">
        <v>5000</v>
      </c>
    </row>
    <row r="165">
      <c r="A165" t="inlineStr">
        <is>
          <t>redalert2mod</t>
        </is>
      </c>
      <c r="B165" t="inlineStr">
        <is>
          <t>schwarzermond_upgrade_moonpropaganda</t>
        </is>
      </c>
      <c r="C165" t="inlineStr">
        <is>
          <t>Moon Propaganda</t>
        </is>
      </c>
      <c r="D165" s="6" t="inlineStr">
        <is>
          <t>ResearchedUpgrade</t>
        </is>
      </c>
      <c r="E165" s="6" t="n"/>
      <c r="F165" s="6" t="n"/>
      <c r="H165" s="6" t="n">
        <v>0.5482</v>
      </c>
      <c r="I165" s="6" t="n">
        <v>1</v>
      </c>
      <c r="J165" s="6" t="n">
        <v>1</v>
      </c>
      <c r="K165" s="6" t="n"/>
      <c r="X165" s="6" t="n">
        <v>5000</v>
      </c>
    </row>
    <row r="166">
      <c r="A166" t="inlineStr">
        <is>
          <t>redalert2mod</t>
        </is>
      </c>
      <c r="B166" t="inlineStr">
        <is>
          <t>schwarzermond_upgrade_vrilinfusion</t>
        </is>
      </c>
      <c r="C166" t="inlineStr">
        <is>
          <t>Vril Infusion</t>
        </is>
      </c>
      <c r="D166" s="6" t="inlineStr">
        <is>
          <t>ResearchedUpgrade</t>
        </is>
      </c>
      <c r="E166" s="6" t="n"/>
      <c r="F166" s="6" t="n"/>
      <c r="H166" s="6" t="n">
        <v>0.5482</v>
      </c>
      <c r="I166" s="6" t="n">
        <v>1</v>
      </c>
      <c r="J166" s="6" t="n">
        <v>1</v>
      </c>
      <c r="K166" s="6" t="n"/>
      <c r="X166" s="6" t="n">
        <v>5000</v>
      </c>
    </row>
    <row r="167">
      <c r="A167" t="inlineStr">
        <is>
          <t>redalert2mod</t>
        </is>
      </c>
      <c r="B167" t="inlineStr">
        <is>
          <t>schwarzermond_upgrade_vrilpoweredweapons</t>
        </is>
      </c>
      <c r="C167" t="inlineStr">
        <is>
          <t>Vril Powered Weapons</t>
        </is>
      </c>
      <c r="D167" s="6" t="inlineStr">
        <is>
          <t>ResearchedUpgrade</t>
        </is>
      </c>
      <c r="E167" s="6" t="n"/>
      <c r="F167" s="6" t="n"/>
      <c r="H167" s="6" t="n">
        <v>0.5482</v>
      </c>
      <c r="I167" s="6" t="n">
        <v>1</v>
      </c>
      <c r="J167" s="6" t="n">
        <v>1</v>
      </c>
      <c r="K167" s="6" t="n"/>
      <c r="X167" s="6" t="n">
        <v>5000</v>
      </c>
    </row>
    <row r="168">
      <c r="A168" s="4" t="inlineStr">
        <is>
          <t>PROMOTIONS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t="inlineStr">
        <is>
          <t>redalert2mod</t>
        </is>
      </c>
      <c r="B169" t="inlineStr">
        <is>
          <t>schwarzermond_promotion_crystaltank</t>
        </is>
      </c>
      <c r="C169" t="inlineStr">
        <is>
          <t>Unlock Crystal Tank</t>
        </is>
      </c>
      <c r="D169" s="6" t="inlineStr">
        <is>
          <t>PromotionUpgrade</t>
        </is>
      </c>
      <c r="E169" s="6" t="n"/>
      <c r="F169" s="6" t="n"/>
      <c r="H169" s="6" t="n">
        <v>1</v>
      </c>
      <c r="I169" s="6" t="n">
        <v>1</v>
      </c>
      <c r="J169" s="6" t="n">
        <v>1</v>
      </c>
      <c r="K169" s="6" t="n"/>
      <c r="X169" s="6" t="n"/>
    </row>
    <row r="170">
      <c r="A170" t="inlineStr">
        <is>
          <t>redalert2mod</t>
        </is>
      </c>
      <c r="B170" t="inlineStr">
        <is>
          <t>schwarzermond_promotion_dalek</t>
        </is>
      </c>
      <c r="C170" t="inlineStr">
        <is>
          <t>Unlock Dalek</t>
        </is>
      </c>
      <c r="D170" s="6" t="inlineStr">
        <is>
          <t>PromotionUpgrade</t>
        </is>
      </c>
      <c r="E170" s="6" t="n"/>
      <c r="F170" s="6" t="n"/>
      <c r="H170" s="6" t="n">
        <v>1</v>
      </c>
      <c r="I170" s="6" t="n">
        <v>1</v>
      </c>
      <c r="J170" s="6" t="n">
        <v>1</v>
      </c>
      <c r="K170" s="6" t="n"/>
      <c r="X170" s="6" t="n"/>
    </row>
    <row r="171">
      <c r="A171" t="inlineStr">
        <is>
          <t>redalert2mod</t>
        </is>
      </c>
      <c r="B171" t="inlineStr">
        <is>
          <t>schwarzermond_promotion_dieglocke</t>
        </is>
      </c>
      <c r="C171" t="inlineStr">
        <is>
          <t>Unlock Die Glocke</t>
        </is>
      </c>
      <c r="D171" s="6" t="inlineStr">
        <is>
          <t>PromotionUpgrade</t>
        </is>
      </c>
      <c r="E171" s="6" t="n"/>
      <c r="F171" s="6" t="n"/>
      <c r="H171" s="6" t="n">
        <v>1</v>
      </c>
      <c r="I171" s="6" t="n">
        <v>1</v>
      </c>
      <c r="J171" s="6" t="n">
        <v>1</v>
      </c>
      <c r="K171" s="6" t="n"/>
      <c r="X171" s="6" t="n"/>
    </row>
    <row r="172">
      <c r="A172" t="inlineStr">
        <is>
          <t>redalert2mod</t>
        </is>
      </c>
      <c r="B172" t="inlineStr">
        <is>
          <t>schwarzermond_promotion_haunebuiii</t>
        </is>
      </c>
      <c r="C172" t="inlineStr">
        <is>
          <t>Haunebu III</t>
        </is>
      </c>
      <c r="D172" s="6" t="inlineStr">
        <is>
          <t>PromotionUpgrade</t>
        </is>
      </c>
      <c r="E172" s="6" t="n"/>
      <c r="F172" s="6" t="n"/>
      <c r="H172" s="6" t="n">
        <v>1</v>
      </c>
      <c r="I172" s="6" t="n">
        <v>1</v>
      </c>
      <c r="J172" s="6" t="n">
        <v>1</v>
      </c>
      <c r="K172" s="6" t="n"/>
      <c r="X172" s="6" t="n"/>
    </row>
    <row r="173">
      <c r="A173" t="inlineStr">
        <is>
          <t>redalert2mod</t>
        </is>
      </c>
      <c r="B173" t="inlineStr">
        <is>
          <t>schwarzermond_promotion_korruptesbiest</t>
        </is>
      </c>
      <c r="C173" t="inlineStr">
        <is>
          <t>Unlock Korruptes Biest</t>
        </is>
      </c>
      <c r="D173" s="6" t="inlineStr">
        <is>
          <t>PromotionUpgrade</t>
        </is>
      </c>
      <c r="E173" s="6" t="n"/>
      <c r="F173" s="6" t="n"/>
      <c r="H173" s="6" t="n">
        <v>1</v>
      </c>
      <c r="I173" s="6" t="n">
        <v>1</v>
      </c>
      <c r="J173" s="6" t="n">
        <v>1</v>
      </c>
      <c r="K173" s="6" t="n"/>
      <c r="X173" s="6" t="n"/>
    </row>
    <row r="174">
      <c r="A174" t="inlineStr">
        <is>
          <t>redalert2mod</t>
        </is>
      </c>
      <c r="B174" t="inlineStr">
        <is>
          <t>schwarzermond_promotion_lasertank</t>
        </is>
      </c>
      <c r="C174" t="inlineStr">
        <is>
          <t>Laser Tank</t>
        </is>
      </c>
      <c r="D174" s="6" t="inlineStr">
        <is>
          <t>PromotionUpgrade</t>
        </is>
      </c>
      <c r="E174" s="6" t="n"/>
      <c r="F174" s="6" t="n"/>
      <c r="H174" s="6" t="n">
        <v>1</v>
      </c>
      <c r="I174" s="6" t="n">
        <v>1</v>
      </c>
      <c r="J174" s="6" t="n">
        <v>1</v>
      </c>
      <c r="K174" s="6" t="n"/>
      <c r="X174" s="6" t="n"/>
    </row>
    <row r="175">
      <c r="A175" t="inlineStr">
        <is>
          <t>redalert2mod</t>
        </is>
      </c>
      <c r="B175" t="inlineStr">
        <is>
          <t>schwarzermond_promotion_lunartiger</t>
        </is>
      </c>
      <c r="C175" t="inlineStr">
        <is>
          <t>Lunar Tiger</t>
        </is>
      </c>
      <c r="D175" s="6" t="inlineStr">
        <is>
          <t>PromotionUpgrade</t>
        </is>
      </c>
      <c r="E175" s="6" t="n"/>
      <c r="F175" s="6" t="n"/>
      <c r="H175" s="6" t="n">
        <v>1</v>
      </c>
      <c r="I175" s="6" t="n">
        <v>1</v>
      </c>
      <c r="J175" s="6" t="n">
        <v>1</v>
      </c>
      <c r="K175" s="6" t="n"/>
      <c r="X175" s="6" t="n"/>
    </row>
    <row r="176">
      <c r="A176" t="inlineStr">
        <is>
          <t>redalert2mod</t>
        </is>
      </c>
      <c r="B176" t="inlineStr">
        <is>
          <t>schwarzermond_promotion_mars</t>
        </is>
      </c>
      <c r="C176" t="inlineStr">
        <is>
          <t>MARS</t>
        </is>
      </c>
      <c r="D176" s="6" t="inlineStr">
        <is>
          <t>PromotionUpgrade</t>
        </is>
      </c>
      <c r="E176" s="6" t="n"/>
      <c r="F176" s="6" t="n"/>
      <c r="H176" s="6" t="n">
        <v>1</v>
      </c>
      <c r="I176" s="6" t="n">
        <v>1</v>
      </c>
      <c r="J176" s="6" t="n">
        <v>1</v>
      </c>
      <c r="K176" s="6" t="n"/>
      <c r="X176" s="6" t="n"/>
    </row>
    <row r="177">
      <c r="A177" t="inlineStr">
        <is>
          <t>redalert2mod</t>
        </is>
      </c>
      <c r="B177" t="inlineStr">
        <is>
          <t>schwarzermond_promotion_noidmg</t>
        </is>
      </c>
      <c r="C177" t="inlineStr">
        <is>
          <t>Unlock Noid MG</t>
        </is>
      </c>
      <c r="D177" s="6" t="inlineStr">
        <is>
          <t>PromotionUpgrade</t>
        </is>
      </c>
      <c r="E177" s="6" t="n"/>
      <c r="F177" s="6" t="n"/>
      <c r="H177" s="6" t="n">
        <v>1</v>
      </c>
      <c r="I177" s="6" t="n">
        <v>1</v>
      </c>
      <c r="J177" s="6" t="n">
        <v>1</v>
      </c>
      <c r="K177" s="6" t="n"/>
      <c r="X177" s="6" t="n"/>
    </row>
    <row r="178">
      <c r="A178" t="inlineStr">
        <is>
          <t>redalert2mod</t>
        </is>
      </c>
      <c r="B178" t="inlineStr">
        <is>
          <t>schwarzermond_promotion_parzival</t>
        </is>
      </c>
      <c r="C178" t="inlineStr">
        <is>
          <t>Unlock Parzival</t>
        </is>
      </c>
      <c r="D178" s="6" t="inlineStr">
        <is>
          <t>PromotionUpgrade</t>
        </is>
      </c>
      <c r="E178" s="6" t="n"/>
      <c r="F178" s="6" t="n"/>
      <c r="H178" s="6" t="n">
        <v>1</v>
      </c>
      <c r="I178" s="6" t="n">
        <v>1</v>
      </c>
      <c r="J178" s="6" t="n">
        <v>1</v>
      </c>
      <c r="K178" s="6" t="n"/>
      <c r="X178" s="6" t="n"/>
    </row>
    <row r="179">
      <c r="A179" t="inlineStr">
        <is>
          <t>redalert2mod</t>
        </is>
      </c>
      <c r="B179" t="inlineStr">
        <is>
          <t>schwarzermond_promotion_piercer</t>
        </is>
      </c>
      <c r="C179" t="inlineStr">
        <is>
          <t>Unlock Piercer</t>
        </is>
      </c>
      <c r="D179" s="6" t="inlineStr">
        <is>
          <t>PromotionUpgrade</t>
        </is>
      </c>
      <c r="E179" s="6" t="n"/>
      <c r="F179" s="6" t="n"/>
      <c r="H179" s="6" t="n">
        <v>1</v>
      </c>
      <c r="I179" s="6" t="n">
        <v>1</v>
      </c>
      <c r="J179" s="6" t="n">
        <v>1</v>
      </c>
      <c r="K179" s="6" t="n"/>
      <c r="X179" s="6" t="n"/>
    </row>
    <row r="180">
      <c r="A180" t="inlineStr">
        <is>
          <t>redalert2mod</t>
        </is>
      </c>
      <c r="B180" t="inlineStr">
        <is>
          <t>schwarzermond_promotion_ubermensch</t>
        </is>
      </c>
      <c r="C180" t="inlineStr">
        <is>
          <t>Unlock Übermensch</t>
        </is>
      </c>
      <c r="D180" s="6" t="inlineStr">
        <is>
          <t>PromotionUpgrade</t>
        </is>
      </c>
      <c r="E180" s="6" t="n"/>
      <c r="F180" s="6" t="n"/>
      <c r="H180" s="6" t="n">
        <v>1</v>
      </c>
      <c r="I180" s="6" t="n">
        <v>1</v>
      </c>
      <c r="J180" s="6" t="n">
        <v>1</v>
      </c>
      <c r="K180" s="6" t="n"/>
      <c r="X18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8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futuretech_blackwidow</t>
        </is>
      </c>
      <c r="C3" t="inlineStr">
        <is>
          <t>Black Widow</t>
        </is>
      </c>
      <c r="D3" s="6" t="inlineStr">
        <is>
          <t>MeleeInfantry</t>
        </is>
      </c>
      <c r="E3" s="6" t="n">
        <v>25000</v>
      </c>
      <c r="F3" s="6" t="n">
        <v>75</v>
      </c>
      <c r="G3" t="inlineStr">
        <is>
          <t>Plate</t>
        </is>
      </c>
      <c r="H3" s="6" t="n">
        <v>0.75</v>
      </c>
      <c r="I3" s="6" t="n">
        <v>0.75</v>
      </c>
      <c r="J3" s="6" t="n">
        <v>1.25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1200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BlackWidowPistols</t>
        </is>
      </c>
      <c r="C4" s="7" t="inlineStr">
        <is>
          <t>Armament@PRIMARY</t>
        </is>
      </c>
      <c r="L4" s="6" t="n">
        <v>10000</v>
      </c>
      <c r="M4" s="6" t="n">
        <v>16</v>
      </c>
      <c r="N4" s="6" t="n">
        <v>2</v>
      </c>
      <c r="O4" s="6" t="n">
        <v>3</v>
      </c>
      <c r="P4" s="6" t="n">
        <v>9000</v>
      </c>
      <c r="Q4" s="6" t="n">
        <v>0.75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^Warhead_Sniper_Light</t>
        </is>
      </c>
    </row>
    <row r="5">
      <c r="B5" s="7" t="inlineStr">
        <is>
          <t xml:space="preserve">  ↳ BlackWidowPistols_elite</t>
        </is>
      </c>
      <c r="C5" s="7" t="inlineStr">
        <is>
          <t>Armament@ELITE</t>
        </is>
      </c>
      <c r="L5" s="6" t="n">
        <v>10000</v>
      </c>
      <c r="M5" s="6" t="n">
        <v>16</v>
      </c>
      <c r="N5" s="6" t="n">
        <v>8</v>
      </c>
      <c r="O5" s="6" t="n">
        <v>3</v>
      </c>
      <c r="P5" s="6" t="n">
        <v>6000</v>
      </c>
      <c r="Q5" s="6" t="n">
        <v>0.75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^Warhead_Sniper_Light</t>
        </is>
      </c>
    </row>
    <row r="6">
      <c r="B6" s="7" t="inlineStr">
        <is>
          <t xml:space="preserve">  ↳ BlackWidowPistols</t>
        </is>
      </c>
      <c r="C6" s="7" t="inlineStr">
        <is>
          <t>Armament@GARRISONED</t>
        </is>
      </c>
      <c r="L6" s="6" t="n">
        <v>10000</v>
      </c>
      <c r="M6" s="6" t="n">
        <v>16</v>
      </c>
      <c r="N6" s="6" t="n">
        <v>2</v>
      </c>
      <c r="O6" s="6" t="n">
        <v>3</v>
      </c>
      <c r="P6" s="6" t="n">
        <v>9000</v>
      </c>
      <c r="Q6" s="6" t="n">
        <v>0.75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^Warhead_Sniper_Light</t>
        </is>
      </c>
    </row>
    <row r="7">
      <c r="B7" s="7" t="inlineStr">
        <is>
          <t xml:space="preserve">  ↳ BlackWidowPistols_elite</t>
        </is>
      </c>
      <c r="C7" s="7" t="inlineStr">
        <is>
          <t>Armament@GARRISONEDELITE</t>
        </is>
      </c>
      <c r="L7" s="6" t="n">
        <v>10000</v>
      </c>
      <c r="M7" s="6" t="n">
        <v>16</v>
      </c>
      <c r="N7" s="6" t="n">
        <v>8</v>
      </c>
      <c r="O7" s="6" t="n">
        <v>3</v>
      </c>
      <c r="P7" s="6" t="n">
        <v>6000</v>
      </c>
      <c r="Q7" s="6" t="n">
        <v>0.75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^Warhead_Sniper_Light</t>
        </is>
      </c>
    </row>
    <row r="8">
      <c r="B8" s="7" t="inlineStr">
        <is>
          <t xml:space="preserve">  ↳ SEALAttach</t>
        </is>
      </c>
      <c r="C8" s="7" t="inlineStr">
        <is>
          <t>Armament@shipc4</t>
        </is>
      </c>
      <c r="L8" s="6" t="n"/>
      <c r="M8" s="6" t="n">
        <v>20</v>
      </c>
      <c r="N8" s="6" t="n">
        <v>1</v>
      </c>
      <c r="O8" s="6" t="n"/>
      <c r="P8" s="6" t="n">
        <v>2000</v>
      </c>
      <c r="Q8" s="6" t="n">
        <v>1</v>
      </c>
      <c r="R8">
        <f>M8+IF(N8&gt;1,N(O8)*(N8-1),0)</f>
        <v/>
      </c>
      <c r="S8">
        <f>IFERROR(L8*MAX(N8,1)/R8*IF(ISBLANK(K3),1,K3),0)</f>
        <v/>
      </c>
      <c r="AB8" s="7" t="inlineStr">
        <is>
          <t>TanyaAttach</t>
        </is>
      </c>
    </row>
    <row r="9">
      <c r="A9" t="inlineStr">
        <is>
          <t>redalert2mod</t>
        </is>
      </c>
      <c r="B9" t="inlineStr">
        <is>
          <t>futuretech_cannondroid</t>
        </is>
      </c>
      <c r="C9" t="inlineStr">
        <is>
          <t>Cannon Droid</t>
        </is>
      </c>
      <c r="D9" s="6" t="inlineStr">
        <is>
          <t>MainBattleTank</t>
        </is>
      </c>
      <c r="E9" s="6" t="n">
        <v>80000</v>
      </c>
      <c r="F9" s="6" t="n">
        <v>35</v>
      </c>
      <c r="G9" t="inlineStr">
        <is>
          <t>Plate</t>
        </is>
      </c>
      <c r="H9" s="6" t="n">
        <v>0.5305</v>
      </c>
      <c r="I9" s="6" t="n">
        <v>1</v>
      </c>
      <c r="J9" s="6" t="n">
        <v>1</v>
      </c>
      <c r="K9" s="6" t="n"/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(((E9/50000)+(F9/50)+(S9/1000)+((P9/5000)*J9))*800/4+(((E9/50000)*(F9/50))+(((P9/5000)*J9)*(S9/1000)))*800/2+((E9/50000)*(F9/50)*((P9/5000)*J9)*(S9/1000))*800)*(H9/0.75)/3</f>
        <v/>
      </c>
      <c r="X9" s="6" t="n">
        <v>525</v>
      </c>
      <c r="Y9">
        <f>IFERROR(W9-X9,"")</f>
        <v/>
      </c>
      <c r="Z9">
        <f>IFERROR(ABS(Y9)/MAX(X9,1),"")</f>
        <v/>
      </c>
      <c r="AA9">
        <f>IFERROR(ROUND(((3*X9-(((E9/50000)+(F9/50)+(S9/1000))*800/4+((E9/50000)*(F9/50))*800/2)*(H9/0.75))/(800/4+((S9/1000))*800/2+((E9/50000)*(F9/50)*(S9/1000))*800)*(H9/0.75)*5000)/J9,-1),"")</f>
        <v/>
      </c>
    </row>
    <row r="10">
      <c r="B10" s="7" t="inlineStr">
        <is>
          <t xml:space="preserve">  ↳ CannonAttackRobotGun</t>
        </is>
      </c>
      <c r="C10" s="7" t="inlineStr">
        <is>
          <t>Armament@PRIMARY</t>
        </is>
      </c>
      <c r="L10" s="6" t="n">
        <v>8000</v>
      </c>
      <c r="M10" s="6" t="n">
        <v>25</v>
      </c>
      <c r="N10" s="6" t="n">
        <v>1</v>
      </c>
      <c r="O10" s="6" t="n"/>
      <c r="P10" s="6" t="n">
        <v>6000</v>
      </c>
      <c r="Q10" s="6" t="n">
        <v>1.125</v>
      </c>
      <c r="R10">
        <f>M10+IF(N10&gt;1,N(O10)*(N10-1),0)</f>
        <v/>
      </c>
      <c r="S10">
        <f>IFERROR(L10*MAX(N10,1)/R10*IF(ISBLANK(K9),1,K9),0)</f>
        <v/>
      </c>
      <c r="AB10" s="7" t="inlineStr">
        <is>
          <t>^Warhead_Railgun_Heavy, ^Warhead_CannonHE_Medium</t>
        </is>
      </c>
    </row>
    <row r="11">
      <c r="B11" s="7" t="inlineStr">
        <is>
          <t xml:space="preserve">  ↳ CannonAttackRobotGun_elite</t>
        </is>
      </c>
      <c r="C11" s="7" t="inlineStr">
        <is>
          <t>Armament@ELITE</t>
        </is>
      </c>
      <c r="L11" s="6" t="n">
        <v>8000</v>
      </c>
      <c r="M11" s="6" t="n">
        <v>25</v>
      </c>
      <c r="N11" s="6" t="n">
        <v>2</v>
      </c>
      <c r="O11" s="6" t="n">
        <v>3</v>
      </c>
      <c r="P11" s="6" t="n">
        <v>7000</v>
      </c>
      <c r="Q11" s="6" t="n">
        <v>1.125</v>
      </c>
      <c r="R11">
        <f>M11+IF(N11&gt;1,N(O11)*(N11-1),0)</f>
        <v/>
      </c>
      <c r="S11">
        <f>IFERROR(L11*MAX(N11,1)/R11*IF(ISBLANK(K9),1,K9),0)</f>
        <v/>
      </c>
      <c r="AB11" s="7" t="inlineStr">
        <is>
          <t>^Warhead_Railgun_Heavy, ^Warhead_CannonHE_Medium</t>
        </is>
      </c>
    </row>
    <row r="12">
      <c r="A12" t="inlineStr">
        <is>
          <t>redalert2mod</t>
        </is>
      </c>
      <c r="B12" t="inlineStr">
        <is>
          <t>futuretech_cryolegionnaire</t>
        </is>
      </c>
      <c r="C12" t="inlineStr">
        <is>
          <t>Cryo Legionnaire</t>
        </is>
      </c>
      <c r="D12" s="6" t="inlineStr">
        <is>
          <t>HeroInfantry</t>
        </is>
      </c>
      <c r="E12" s="6" t="n">
        <v>360000</v>
      </c>
      <c r="F12" s="6" t="n">
        <v>75</v>
      </c>
      <c r="G12" t="inlineStr">
        <is>
          <t>Heroic</t>
        </is>
      </c>
      <c r="H12" s="6" t="n">
        <v>0.2941</v>
      </c>
      <c r="I12" s="6" t="n">
        <v>1</v>
      </c>
      <c r="J12" s="6" t="n">
        <v>1</v>
      </c>
      <c r="K12" s="6" t="n">
        <v>0.005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3500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CryoLegionnaireAttack</t>
        </is>
      </c>
      <c r="C13" s="7" t="inlineStr">
        <is>
          <t>Armament@PRIMARY</t>
        </is>
      </c>
      <c r="L13" s="6" t="n">
        <v>12000</v>
      </c>
      <c r="M13" s="6" t="n">
        <v>30</v>
      </c>
      <c r="N13" s="6" t="n">
        <v>1</v>
      </c>
      <c r="O13" s="6" t="n"/>
      <c r="P13" s="6" t="n">
        <v>7000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^LightMissile, ^SmallArms, ^Chaingun, ^FlakWeapon, ^TeslaWeapon, ^LaserWeapon</t>
        </is>
      </c>
    </row>
    <row r="14">
      <c r="B14" s="7" t="inlineStr">
        <is>
          <t xml:space="preserve">  ↳ CryoLegionnaireAttack</t>
        </is>
      </c>
      <c r="C14" s="7" t="inlineStr">
        <is>
          <t>Armament@GARRISONED</t>
        </is>
      </c>
      <c r="L14" s="6" t="n">
        <v>12000</v>
      </c>
      <c r="M14" s="6" t="n">
        <v>30</v>
      </c>
      <c r="N14" s="6" t="n">
        <v>1</v>
      </c>
      <c r="O14" s="6" t="n"/>
      <c r="P14" s="6" t="n">
        <v>7000</v>
      </c>
      <c r="Q14" s="6" t="n">
        <v>1</v>
      </c>
      <c r="R14">
        <f>M14+IF(N14&gt;1,N(O14)*(N14-1),0)</f>
        <v/>
      </c>
      <c r="S14">
        <f>IFERROR(L14*MAX(N14,1)/R14*IF(ISBLANK(K12),1,K12),0)</f>
        <v/>
      </c>
      <c r="AB14" s="7" t="inlineStr">
        <is>
          <t>^LightMissile, ^SmallArms, ^Chaingun, ^FlakWeapon, ^TeslaWeapon, ^LaserWeapon</t>
        </is>
      </c>
    </row>
    <row r="15">
      <c r="A15" t="inlineStr">
        <is>
          <t>redalert2mod</t>
        </is>
      </c>
      <c r="B15" t="inlineStr">
        <is>
          <t>futuretech_enforcer</t>
        </is>
      </c>
      <c r="C15" t="inlineStr">
        <is>
          <t>Enforcer</t>
        </is>
      </c>
      <c r="D15" s="6" t="inlineStr">
        <is>
          <t>MeleeInfantry</t>
        </is>
      </c>
      <c r="E15" s="6" t="n">
        <v>30000</v>
      </c>
      <c r="F15" s="6" t="n">
        <v>60</v>
      </c>
      <c r="G15" t="inlineStr">
        <is>
          <t>Plate</t>
        </is>
      </c>
      <c r="H15" s="6" t="n">
        <v>1</v>
      </c>
      <c r="I15" s="6" t="n">
        <v>1</v>
      </c>
      <c r="J15" s="6" t="n">
        <v>1</v>
      </c>
      <c r="K15" s="6" t="n"/>
      <c r="P15">
        <f>MAX(P16,P17,P19,P20)</f>
        <v/>
      </c>
      <c r="S15">
        <f>S16+S17+S19+S20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300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FutureEnforcerShotgun</t>
        </is>
      </c>
      <c r="C16" s="7" t="inlineStr">
        <is>
          <t>Armament@PRIMARY</t>
        </is>
      </c>
      <c r="L16" s="6" t="n">
        <v>12000</v>
      </c>
      <c r="M16" s="6" t="n">
        <v>40</v>
      </c>
      <c r="N16" s="6" t="n">
        <v>1</v>
      </c>
      <c r="O16" s="6" t="n"/>
      <c r="P16" s="6" t="n">
        <v>3000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^Warhead_CannonHE_Medium</t>
        </is>
      </c>
    </row>
    <row r="17">
      <c r="B17" s="7" t="inlineStr">
        <is>
          <t xml:space="preserve">  ↳ FutureEnforcerShotgunDeployed</t>
        </is>
      </c>
      <c r="C17" s="7" t="inlineStr">
        <is>
          <t>Armament@PRIMARY2</t>
        </is>
      </c>
      <c r="L17" s="6" t="n">
        <v>12000</v>
      </c>
      <c r="M17" s="6" t="n">
        <v>65</v>
      </c>
      <c r="N17" s="6" t="n">
        <v>1</v>
      </c>
      <c r="O17" s="6" t="n"/>
      <c r="P17" s="6" t="n">
        <v>6150</v>
      </c>
      <c r="Q17" s="6" t="n">
        <v>1</v>
      </c>
      <c r="R17">
        <f>M17+IF(N17&gt;1,N(O17)*(N17-1),0)</f>
        <v/>
      </c>
      <c r="S17">
        <f>IFERROR(L17*MAX(N17,1)/R17*IF(ISBLANK(K15),1,K15),0)</f>
        <v/>
      </c>
      <c r="AB17" s="7" t="inlineStr">
        <is>
          <t>^Warhead_CannonHE_Medium</t>
        </is>
      </c>
    </row>
    <row r="18">
      <c r="B18" s="7" t="inlineStr">
        <is>
          <t xml:space="preserve">  ↳ FutureEnforcerShotgunDeployed</t>
        </is>
      </c>
      <c r="C18" s="7" t="inlineStr">
        <is>
          <t>Armament@GARRISONED</t>
        </is>
      </c>
      <c r="L18" s="6" t="n">
        <v>12000</v>
      </c>
      <c r="M18" s="6" t="n">
        <v>65</v>
      </c>
      <c r="N18" s="6" t="n">
        <v>1</v>
      </c>
      <c r="O18" s="6" t="n"/>
      <c r="P18" s="6" t="n">
        <v>6150</v>
      </c>
      <c r="Q18" s="6" t="n">
        <v>1</v>
      </c>
      <c r="R18">
        <f>M18+IF(N18&gt;1,N(O18)*(N18-1),0)</f>
        <v/>
      </c>
      <c r="S18">
        <f>IFERROR(L18*MAX(N18,1)/R18*IF(ISBLANK(K15),1,K15),0)</f>
        <v/>
      </c>
      <c r="AB18" s="7" t="inlineStr">
        <is>
          <t>^Warhead_CannonHE_Medium</t>
        </is>
      </c>
    </row>
    <row r="19">
      <c r="B19" s="7" t="inlineStr">
        <is>
          <t xml:space="preserve">  ↳ FutureEnforcerShotgun_elite</t>
        </is>
      </c>
      <c r="C19" s="7" t="inlineStr">
        <is>
          <t>Armament@ELITE</t>
        </is>
      </c>
      <c r="L19" s="6" t="n">
        <v>12000</v>
      </c>
      <c r="M19" s="6" t="n">
        <v>40</v>
      </c>
      <c r="N19" s="6" t="n">
        <v>2</v>
      </c>
      <c r="O19" s="6" t="n">
        <v>3</v>
      </c>
      <c r="P19" s="6" t="n">
        <v>4000</v>
      </c>
      <c r="Q19" s="6" t="n">
        <v>1</v>
      </c>
      <c r="R19">
        <f>M19+IF(N19&gt;1,N(O19)*(N19-1),0)</f>
        <v/>
      </c>
      <c r="S19">
        <f>IFERROR(L19*MAX(N19,1)/R19*IF(ISBLANK(K15),1,K15),0)</f>
        <v/>
      </c>
      <c r="AB19" s="7" t="inlineStr">
        <is>
          <t>^Warhead_CannonHE_Medium</t>
        </is>
      </c>
    </row>
    <row r="20">
      <c r="B20" s="7" t="inlineStr">
        <is>
          <t xml:space="preserve">  ↳ FutureEnforcerShotgunDeployed_elite</t>
        </is>
      </c>
      <c r="C20" s="7" t="inlineStr">
        <is>
          <t>Armament@ELITE2</t>
        </is>
      </c>
      <c r="L20" s="6" t="n">
        <v>12000</v>
      </c>
      <c r="M20" s="6" t="n">
        <v>65</v>
      </c>
      <c r="N20" s="6" t="n">
        <v>2</v>
      </c>
      <c r="O20" s="6" t="n">
        <v>3</v>
      </c>
      <c r="P20" s="6" t="n">
        <v>7150</v>
      </c>
      <c r="Q20" s="6" t="n">
        <v>1</v>
      </c>
      <c r="R20">
        <f>M20+IF(N20&gt;1,N(O20)*(N20-1),0)</f>
        <v/>
      </c>
      <c r="S20">
        <f>IFERROR(L20*MAX(N20,1)/R20*IF(ISBLANK(K15),1,K15),0)</f>
        <v/>
      </c>
      <c r="AB20" s="7" t="inlineStr">
        <is>
          <t>^Warhead_CannonHE_Medium</t>
        </is>
      </c>
    </row>
    <row r="21">
      <c r="B21" s="7" t="inlineStr">
        <is>
          <t xml:space="preserve">  ↳ FutureEnforcerShotgunDeployed_elite</t>
        </is>
      </c>
      <c r="C21" s="7" t="inlineStr">
        <is>
          <t>Armament@GARRISONEDELITE</t>
        </is>
      </c>
      <c r="L21" s="6" t="n">
        <v>12000</v>
      </c>
      <c r="M21" s="6" t="n">
        <v>65</v>
      </c>
      <c r="N21" s="6" t="n">
        <v>2</v>
      </c>
      <c r="O21" s="6" t="n">
        <v>3</v>
      </c>
      <c r="P21" s="6" t="n">
        <v>7150</v>
      </c>
      <c r="Q21" s="6" t="n">
        <v>1</v>
      </c>
      <c r="R21">
        <f>M21+IF(N21&gt;1,N(O21)*(N21-1),0)</f>
        <v/>
      </c>
      <c r="S21">
        <f>IFERROR(L21*MAX(N21,1)/R21*IF(ISBLANK(K15),1,K15),0)</f>
        <v/>
      </c>
      <c r="AB21" s="7" t="inlineStr">
        <is>
          <t>^Warhead_CannonHE_Medium</t>
        </is>
      </c>
    </row>
    <row r="22">
      <c r="B22" s="7" t="inlineStr">
        <is>
          <t xml:space="preserve">  ↳ aadeploytargeting_8c0_AA</t>
        </is>
      </c>
      <c r="C22" s="7" t="inlineStr">
        <is>
          <t>Armament@BOTAA</t>
        </is>
      </c>
      <c r="L22" s="6" t="n"/>
      <c r="M22" s="6" t="n">
        <v>50</v>
      </c>
      <c r="N22" s="6" t="n">
        <v>1</v>
      </c>
      <c r="O22" s="6" t="n"/>
      <c r="P22" s="6" t="n">
        <v>8000</v>
      </c>
      <c r="Q22" s="6" t="n">
        <v>1</v>
      </c>
      <c r="R22">
        <f>M22+IF(N22&gt;1,N(O22)*(N22-1),0)</f>
        <v/>
      </c>
      <c r="S22">
        <f>IFERROR(L22*MAX(N22,1)/R22*IF(ISBLANK(K15),1,K15),0)</f>
        <v/>
      </c>
      <c r="AB22" s="7" t="inlineStr">
        <is>
          <t>^AADeployTargeting</t>
        </is>
      </c>
    </row>
    <row r="23">
      <c r="A23" t="inlineStr">
        <is>
          <t>redalert2mod</t>
        </is>
      </c>
      <c r="B23" t="inlineStr">
        <is>
          <t>futuretech_engineer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K23" s="6" t="n"/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L24" s="6" t="n"/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L25" s="6" t="n"/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M25+IF(N25&gt;1,N(O25)*(N25-1),0)</f>
        <v/>
      </c>
      <c r="S25">
        <f>IFERROR(L25*MAX(N25,1)/R25*IF(ISBLANK(K23),1,K23),0)</f>
        <v/>
      </c>
      <c r="AB25" s="7" t="inlineStr"/>
    </row>
    <row r="26">
      <c r="A26" t="inlineStr">
        <is>
          <t>redalert2mod</t>
        </is>
      </c>
      <c r="B26" t="inlineStr">
        <is>
          <t>futuretech_javelinsoldier</t>
        </is>
      </c>
      <c r="C26" t="inlineStr">
        <is>
          <t>Javelin Soldier</t>
        </is>
      </c>
      <c r="D26" s="6" t="inlineStr">
        <is>
          <t>AntiTankAntiAirInfantry</t>
        </is>
      </c>
      <c r="E26" s="6" t="n">
        <v>25000</v>
      </c>
      <c r="F26" s="6" t="n">
        <v>50</v>
      </c>
      <c r="G26" t="inlineStr">
        <is>
          <t>Flak</t>
        </is>
      </c>
      <c r="H26" s="6" t="n">
        <v>1</v>
      </c>
      <c r="I26" s="6" t="n">
        <v>0.5</v>
      </c>
      <c r="J26" s="6" t="n">
        <v>1.25</v>
      </c>
      <c r="K26" s="6" t="n"/>
      <c r="P26">
        <f>MAX(P27,P28,P30,P31)</f>
        <v/>
      </c>
      <c r="S26">
        <f>S27+S28+S30+S31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400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FutureJavelinRockets</t>
        </is>
      </c>
      <c r="C27" s="7" t="inlineStr">
        <is>
          <t>Armament@PRIMARY</t>
        </is>
      </c>
      <c r="L27" s="6" t="n">
        <v>10000</v>
      </c>
      <c r="M27" s="6" t="n">
        <v>25</v>
      </c>
      <c r="N27" s="6" t="n">
        <v>1</v>
      </c>
      <c r="O27" s="6" t="n"/>
      <c r="P27" s="6" t="n">
        <v>6000</v>
      </c>
      <c r="Q27" s="6" t="n">
        <v>1.25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^Warhead_MissileAP_Heavy</t>
        </is>
      </c>
    </row>
    <row r="28">
      <c r="B28" s="7" t="inlineStr">
        <is>
          <t xml:space="preserve">  ↳ FutureJavelinRocketsDeployed</t>
        </is>
      </c>
      <c r="C28" s="7" t="inlineStr">
        <is>
          <t>Armament@PRIMARY2</t>
        </is>
      </c>
      <c r="L28" s="6" t="n">
        <v>10000</v>
      </c>
      <c r="M28" s="6" t="n">
        <v>25</v>
      </c>
      <c r="N28" s="6" t="n">
        <v>1</v>
      </c>
      <c r="O28" s="6" t="n"/>
      <c r="P28" s="6" t="n">
        <v>7500</v>
      </c>
      <c r="Q28" s="6" t="n">
        <v>1.25</v>
      </c>
      <c r="R28">
        <f>M28+IF(N28&gt;1,N(O28)*(N28-1),0)</f>
        <v/>
      </c>
      <c r="S28">
        <f>IFERROR(L28*MAX(N28,1)/R28*IF(ISBLANK(K26),1,K26),0)</f>
        <v/>
      </c>
      <c r="AB28" s="7" t="inlineStr">
        <is>
          <t>^Warhead_MissileAP_Heavy</t>
        </is>
      </c>
    </row>
    <row r="29">
      <c r="B29" s="7" t="inlineStr">
        <is>
          <t xml:space="preserve">  ↳ FutureJavelinRocketsDeployed</t>
        </is>
      </c>
      <c r="C29" s="7" t="inlineStr">
        <is>
          <t>Armament@GARRISONED</t>
        </is>
      </c>
      <c r="L29" s="6" t="n">
        <v>10000</v>
      </c>
      <c r="M29" s="6" t="n">
        <v>25</v>
      </c>
      <c r="N29" s="6" t="n">
        <v>1</v>
      </c>
      <c r="O29" s="6" t="n"/>
      <c r="P29" s="6" t="n">
        <v>7500</v>
      </c>
      <c r="Q29" s="6" t="n">
        <v>1.25</v>
      </c>
      <c r="R29">
        <f>M29+IF(N29&gt;1,N(O29)*(N29-1),0)</f>
        <v/>
      </c>
      <c r="S29">
        <f>IFERROR(L29*MAX(N29,1)/R29*IF(ISBLANK(K26),1,K26),0)</f>
        <v/>
      </c>
      <c r="AB29" s="7" t="inlineStr">
        <is>
          <t>^Warhead_MissileAP_Heavy</t>
        </is>
      </c>
    </row>
    <row r="30">
      <c r="B30" s="7" t="inlineStr">
        <is>
          <t xml:space="preserve">  ↳ FutureJavelinRockets_elite</t>
        </is>
      </c>
      <c r="C30" s="7" t="inlineStr">
        <is>
          <t>Armament@ELITE</t>
        </is>
      </c>
      <c r="L30" s="6" t="n">
        <v>10000</v>
      </c>
      <c r="M30" s="6" t="n">
        <v>25</v>
      </c>
      <c r="N30" s="6" t="n">
        <v>2</v>
      </c>
      <c r="O30" s="6" t="n">
        <v>3</v>
      </c>
      <c r="P30" s="6" t="n">
        <v>7000</v>
      </c>
      <c r="Q30" s="6" t="n">
        <v>1.25</v>
      </c>
      <c r="R30">
        <f>M30+IF(N30&gt;1,N(O30)*(N30-1),0)</f>
        <v/>
      </c>
      <c r="S30">
        <f>IFERROR(L30*MAX(N30,1)/R30*IF(ISBLANK(K26),1,K26),0)</f>
        <v/>
      </c>
      <c r="AB30" s="7" t="inlineStr">
        <is>
          <t>^Warhead_MissileAP_Heavy</t>
        </is>
      </c>
    </row>
    <row r="31">
      <c r="B31" s="7" t="inlineStr">
        <is>
          <t xml:space="preserve">  ↳ FutureJavelinRocketsDeployed_elite</t>
        </is>
      </c>
      <c r="C31" s="7" t="inlineStr">
        <is>
          <t>Armament@ELITE2</t>
        </is>
      </c>
      <c r="L31" s="6" t="n">
        <v>10000</v>
      </c>
      <c r="M31" s="6" t="n">
        <v>25</v>
      </c>
      <c r="N31" s="6" t="n">
        <v>2</v>
      </c>
      <c r="O31" s="6" t="n">
        <v>3</v>
      </c>
      <c r="P31" s="6" t="n">
        <v>8500</v>
      </c>
      <c r="Q31" s="6" t="n">
        <v>1.25</v>
      </c>
      <c r="R31">
        <f>M31+IF(N31&gt;1,N(O31)*(N31-1),0)</f>
        <v/>
      </c>
      <c r="S31">
        <f>IFERROR(L31*MAX(N31,1)/R31*IF(ISBLANK(K26),1,K26),0)</f>
        <v/>
      </c>
      <c r="AB31" s="7" t="inlineStr">
        <is>
          <t>^Warhead_MissileAP_Heavy</t>
        </is>
      </c>
    </row>
    <row r="32">
      <c r="B32" s="7" t="inlineStr">
        <is>
          <t xml:space="preserve">  ↳ FutureJavelinRocketsDeployed_elite</t>
        </is>
      </c>
      <c r="C32" s="7" t="inlineStr">
        <is>
          <t>Armament@GARRISONEDELITE</t>
        </is>
      </c>
      <c r="L32" s="6" t="n">
        <v>10000</v>
      </c>
      <c r="M32" s="6" t="n">
        <v>25</v>
      </c>
      <c r="N32" s="6" t="n">
        <v>2</v>
      </c>
      <c r="O32" s="6" t="n">
        <v>3</v>
      </c>
      <c r="P32" s="6" t="n">
        <v>8500</v>
      </c>
      <c r="Q32" s="6" t="n">
        <v>1.25</v>
      </c>
      <c r="R32">
        <f>M32+IF(N32&gt;1,N(O32)*(N32-1),0)</f>
        <v/>
      </c>
      <c r="S32">
        <f>IFERROR(L32*MAX(N32,1)/R32*IF(ISBLANK(K26),1,K26),0)</f>
        <v/>
      </c>
      <c r="AB32" s="7" t="inlineStr">
        <is>
          <t>^Warhead_MissileAP_Heavy</t>
        </is>
      </c>
    </row>
    <row r="33">
      <c r="B33" s="7" t="inlineStr">
        <is>
          <t xml:space="preserve">  ↳ aadeploytargeting_8c0_AA</t>
        </is>
      </c>
      <c r="C33" s="7" t="inlineStr">
        <is>
          <t>Armament@BOTAA</t>
        </is>
      </c>
      <c r="L33" s="6" t="n"/>
      <c r="M33" s="6" t="n">
        <v>50</v>
      </c>
      <c r="N33" s="6" t="n">
        <v>1</v>
      </c>
      <c r="O33" s="6" t="n"/>
      <c r="P33" s="6" t="n">
        <v>8000</v>
      </c>
      <c r="Q33" s="6" t="n">
        <v>1</v>
      </c>
      <c r="R33">
        <f>M33+IF(N33&gt;1,N(O33)*(N33-1),0)</f>
        <v/>
      </c>
      <c r="S33">
        <f>IFERROR(L33*MAX(N33,1)/R33*IF(ISBLANK(K26),1,K26),0)</f>
        <v/>
      </c>
      <c r="AB33" s="7" t="inlineStr">
        <is>
          <t>^AADeployTargeting</t>
        </is>
      </c>
    </row>
    <row r="34">
      <c r="A34" t="inlineStr">
        <is>
          <t>redalert2mod</t>
        </is>
      </c>
      <c r="B34" t="inlineStr">
        <is>
          <t>futuretech_missiledroid</t>
        </is>
      </c>
      <c r="C34" t="inlineStr">
        <is>
          <t>Missile Droid</t>
        </is>
      </c>
      <c r="D34" s="6" t="inlineStr">
        <is>
          <t>FireSupport</t>
        </is>
      </c>
      <c r="E34" s="6" t="n">
        <v>67500</v>
      </c>
      <c r="F34" s="6" t="n">
        <v>40</v>
      </c>
      <c r="G34" t="inlineStr">
        <is>
          <t>Flak</t>
        </is>
      </c>
      <c r="H34" s="6" t="n">
        <v>0.4015</v>
      </c>
      <c r="I34" s="6" t="n">
        <v>1</v>
      </c>
      <c r="J34" s="6" t="n">
        <v>1</v>
      </c>
      <c r="K34" s="6" t="n"/>
      <c r="P34">
        <f>MAX(P35,P36)</f>
        <v/>
      </c>
      <c r="S34">
        <f>S35+S36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(((E34/10000)+(F34/55)+(S34/200)+((P34/6500)*J34))*300/4+(((E34/10000)*(F34/55))+(((P34/6500)*J34)*(S34/200)))*300/2+((E34/10000)*(F34/55)*((P34/6500)*J34)*(S34/200))*300)*(H34/1.0)/3</f>
        <v/>
      </c>
      <c r="X34" s="6" t="n">
        <v>700</v>
      </c>
      <c r="Y34">
        <f>IFERROR(W34-X34,"")</f>
        <v/>
      </c>
      <c r="Z34">
        <f>IFERROR(ABS(Y34)/MAX(X34,1),"")</f>
        <v/>
      </c>
      <c r="AA34">
        <f>IFERROR(ROUND(((3*X34-(((E34/10000)+(F34/55)+(S34/200))*300/4+((E34/10000)*(F34/55))*300/2)*(H34/1.0))/(300/4+((S34/200))*300/2+((E34/10000)*(F34/55)*(S34/200))*300)*(H34/1.0)*6500)/J34,-1),"")</f>
        <v/>
      </c>
    </row>
    <row r="35">
      <c r="B35" s="7" t="inlineStr">
        <is>
          <t xml:space="preserve">  ↳ MissileAttackRobotGun</t>
        </is>
      </c>
      <c r="C35" s="7" t="inlineStr">
        <is>
          <t>Armament@PRIMARY</t>
        </is>
      </c>
      <c r="L35" s="6" t="n">
        <v>24000</v>
      </c>
      <c r="M35" s="6" t="n">
        <v>65</v>
      </c>
      <c r="N35" s="6" t="n">
        <v>2</v>
      </c>
      <c r="O35" s="6" t="n">
        <v>5</v>
      </c>
      <c r="P35" s="6" t="n">
        <v>8000</v>
      </c>
      <c r="Q35" s="6" t="n">
        <v>0.875</v>
      </c>
      <c r="R35">
        <f>M35+IF(N35&gt;1,N(O35)*(N35-1),0)</f>
        <v/>
      </c>
      <c r="S35">
        <f>IFERROR(L35*MAX(N35,1)/R35*IF(ISBLANK(K34),1,K34),0)</f>
        <v/>
      </c>
      <c r="AB35" s="7" t="inlineStr">
        <is>
          <t>^Warhead_MissileAP_Medium, ^Warhead_MissileAP_Light</t>
        </is>
      </c>
    </row>
    <row r="36">
      <c r="B36" s="7" t="inlineStr">
        <is>
          <t xml:space="preserve">  ↳ MissileAttackRobotGun_elite</t>
        </is>
      </c>
      <c r="C36" s="7" t="inlineStr">
        <is>
          <t>Armament@ELITE</t>
        </is>
      </c>
      <c r="L36" s="6" t="n">
        <v>24000</v>
      </c>
      <c r="M36" s="6" t="n">
        <v>65</v>
      </c>
      <c r="N36" s="6" t="n">
        <v>4</v>
      </c>
      <c r="O36" s="6" t="n">
        <v>5</v>
      </c>
      <c r="P36" s="6" t="n">
        <v>9000</v>
      </c>
      <c r="Q36" s="6" t="n">
        <v>0.875</v>
      </c>
      <c r="R36">
        <f>M36+IF(N36&gt;1,N(O36)*(N36-1),0)</f>
        <v/>
      </c>
      <c r="S36">
        <f>IFERROR(L36*MAX(N36,1)/R36*IF(ISBLANK(K34),1,K34),0)</f>
        <v/>
      </c>
      <c r="AB36" s="7" t="inlineStr">
        <is>
          <t>^Warhead_MissileAP_Medium, ^Warhead_MissileAP_Light</t>
        </is>
      </c>
    </row>
    <row r="37">
      <c r="A37" t="inlineStr">
        <is>
          <t>redalert2mod</t>
        </is>
      </c>
      <c r="B37" t="inlineStr">
        <is>
          <t>futuretech_repairdroid</t>
        </is>
      </c>
      <c r="C37" t="inlineStr">
        <is>
          <t>Repair Droid</t>
        </is>
      </c>
      <c r="D37" s="6" t="inlineStr">
        <is>
          <t>SupportVehicle</t>
        </is>
      </c>
      <c r="E37" s="6" t="n">
        <v>50000</v>
      </c>
      <c r="F37" s="6" t="n">
        <v>40</v>
      </c>
      <c r="G37" t="inlineStr">
        <is>
          <t>Plate</t>
        </is>
      </c>
      <c r="H37" s="6" t="n">
        <v>0.6322</v>
      </c>
      <c r="I37" s="6" t="n">
        <v>1</v>
      </c>
      <c r="J37" s="6" t="n">
        <v>1</v>
      </c>
      <c r="K37" s="6" t="n"/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(((E37/5000)+(F37/50)+(S37/0)+((P37/0)*J37))*500/4+(((E37/5000)*(F37/50))+(((P37/0)*J37)*(S37/0)))*500/2+((E37/5000)*(F37/50)*((P37/0)*J37)*(S37/0))*500)*(H37/1.0)/3</f>
        <v/>
      </c>
      <c r="X37" s="6" t="n">
        <v>800</v>
      </c>
      <c r="Y37">
        <f>IFERROR(W37-X37,"")</f>
        <v/>
      </c>
      <c r="Z37">
        <f>IFERROR(ABS(Y37)/MAX(X37,1),"")</f>
        <v/>
      </c>
      <c r="AA37">
        <f>IFERROR(ROUND(((3*X37-(((E37/5000)+(F37/50)+(S37/0))*500/4+((E37/5000)*(F37/50))*500/2)*(H37/1.0))/(500/4+((S37/0))*500/2+((E37/5000)*(F37/50)*(S37/0))*500)*(H37/1.0)*0)/J37,-1),"")</f>
        <v/>
      </c>
    </row>
    <row r="38">
      <c r="B38" s="7" t="inlineStr">
        <is>
          <t xml:space="preserve">  ↳ RA2IFVRepair</t>
        </is>
      </c>
      <c r="C38" s="7" t="inlineStr">
        <is>
          <t>Armament</t>
        </is>
      </c>
      <c r="L38" s="6" t="n">
        <v>-3000</v>
      </c>
      <c r="M38" s="6" t="n">
        <v>50</v>
      </c>
      <c r="N38" s="6" t="n">
        <v>10</v>
      </c>
      <c r="O38" s="6" t="n">
        <v>1</v>
      </c>
      <c r="P38" s="6" t="n">
        <v>5000</v>
      </c>
      <c r="Q38" s="6" t="n">
        <v>1</v>
      </c>
      <c r="R38">
        <f>M38+IF(N38&gt;1,N(O38)*(N38-1),0)</f>
        <v/>
      </c>
      <c r="S38">
        <f>IFERROR(L38*MAX(N38,1)/R38*IF(ISBLANK(K37),1,K37),0)</f>
        <v/>
      </c>
      <c r="AB38" s="7" t="inlineStr">
        <is>
          <t>^RepairWeapon</t>
        </is>
      </c>
    </row>
    <row r="39">
      <c r="A39" t="inlineStr">
        <is>
          <t>redalert2mod</t>
        </is>
      </c>
      <c r="B39" t="inlineStr">
        <is>
          <t>futuretech_scoutdroid</t>
        </is>
      </c>
      <c r="C39" t="inlineStr">
        <is>
          <t>Scout Droid</t>
        </is>
      </c>
      <c r="D39" s="6" t="inlineStr">
        <is>
          <t>ScoutVehicle</t>
        </is>
      </c>
      <c r="E39" s="6" t="n">
        <v>30000</v>
      </c>
      <c r="F39" s="6" t="n">
        <v>70</v>
      </c>
      <c r="G39" t="inlineStr">
        <is>
          <t>None</t>
        </is>
      </c>
      <c r="H39" s="6" t="n">
        <v>0.6322</v>
      </c>
      <c r="I39" s="6" t="n">
        <v>1</v>
      </c>
      <c r="J39" s="6" t="n">
        <v>1</v>
      </c>
      <c r="K39" s="6" t="n"/>
      <c r="P39">
        <f>MAX(P40,P41)</f>
        <v/>
      </c>
      <c r="S39">
        <f>S40+S41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(((E39/20000)+(F39/60)+(S39/60)+((P39/5000)*J39))*100/4+(((E39/20000)*(F39/60))+(((P39/5000)*J39)*(S39/60)))*100/2+((E39/20000)*(F39/60)*((P39/5000)*J39)*(S39/60))*100)*(H39/1.0)/3</f>
        <v/>
      </c>
      <c r="X39" s="6" t="n">
        <v>200</v>
      </c>
      <c r="Y39">
        <f>IFERROR(W39-X39,"")</f>
        <v/>
      </c>
      <c r="Z39">
        <f>IFERROR(ABS(Y39)/MAX(X39,1),"")</f>
        <v/>
      </c>
      <c r="AA39">
        <f>IFERROR(ROUND(((3*X39-(((E39/20000)+(F39/60)+(S39/60))*100/4+((E39/20000)*(F39/60))*100/2)*(H39/1.0))/(100/4+((S39/60))*100/2+((E39/20000)*(F39/60)*(S39/60))*100)*(H39/1.0)*5000)/J39,-1),"")</f>
        <v/>
      </c>
    </row>
    <row r="40">
      <c r="B40" s="7" t="inlineStr">
        <is>
          <t xml:space="preserve">  ↳ Future_Wheel_MG</t>
        </is>
      </c>
      <c r="C40" s="7" t="inlineStr">
        <is>
          <t>Armament@PRIMARY</t>
        </is>
      </c>
      <c r="L40" s="6" t="n">
        <v>4000</v>
      </c>
      <c r="M40" s="6" t="n">
        <v>40</v>
      </c>
      <c r="N40" s="6" t="n">
        <v>4</v>
      </c>
      <c r="O40" s="6" t="n">
        <v>2</v>
      </c>
      <c r="P40" s="6" t="n">
        <v>5806</v>
      </c>
      <c r="Q40" s="6" t="n">
        <v>0.875</v>
      </c>
      <c r="R40">
        <f>M40+IF(N40&gt;1,N(O40)*(N40-1),0)</f>
        <v/>
      </c>
      <c r="S40">
        <f>IFERROR(L40*MAX(N40,1)/R40*IF(ISBLANK(K39),1,K39),0)</f>
        <v/>
      </c>
      <c r="AB40" s="7" t="inlineStr">
        <is>
          <t>^Warhead_Bullet_Light, ^Warhead_Bullet_Medium</t>
        </is>
      </c>
    </row>
    <row r="41">
      <c r="B41" s="7" t="inlineStr">
        <is>
          <t xml:space="preserve">  ↳ Future_Wheel_MG_elite</t>
        </is>
      </c>
      <c r="C41" s="7" t="inlineStr">
        <is>
          <t>Armament@ELITE</t>
        </is>
      </c>
      <c r="L41" s="6" t="n">
        <v>4000</v>
      </c>
      <c r="M41" s="6" t="n">
        <v>25</v>
      </c>
      <c r="N41" s="6" t="n">
        <v>8</v>
      </c>
      <c r="O41" s="6" t="n">
        <v>2</v>
      </c>
      <c r="P41" s="6" t="n">
        <v>6806</v>
      </c>
      <c r="Q41" s="6" t="n">
        <v>0.875</v>
      </c>
      <c r="R41">
        <f>M41+IF(N41&gt;1,N(O41)*(N41-1),0)</f>
        <v/>
      </c>
      <c r="S41">
        <f>IFERROR(L41*MAX(N41,1)/R41*IF(ISBLANK(K39),1,K39),0)</f>
        <v/>
      </c>
      <c r="AB41" s="7" t="inlineStr">
        <is>
          <t>^Warhead_Bullet_Light, ^Warhead_Bullet_Medium</t>
        </is>
      </c>
    </row>
    <row r="42">
      <c r="A42" t="inlineStr">
        <is>
          <t>redalert2mod</t>
        </is>
      </c>
      <c r="B42" t="inlineStr">
        <is>
          <t>futuretech_shotgundroid</t>
        </is>
      </c>
      <c r="C42" t="inlineStr">
        <is>
          <t>Shotgun Droid</t>
        </is>
      </c>
      <c r="D42" s="6" t="inlineStr">
        <is>
          <t>LineBreaker</t>
        </is>
      </c>
      <c r="E42" s="6" t="n">
        <v>55000</v>
      </c>
      <c r="F42" s="6" t="n">
        <v>55</v>
      </c>
      <c r="G42" t="inlineStr">
        <is>
          <t>Plate</t>
        </is>
      </c>
      <c r="H42" s="6" t="n">
        <v>0.6322</v>
      </c>
      <c r="I42" s="6" t="n">
        <v>1</v>
      </c>
      <c r="J42" s="6" t="n">
        <v>1</v>
      </c>
      <c r="K42" s="6" t="n"/>
      <c r="P42">
        <f>MAX(P43,P44)</f>
        <v/>
      </c>
      <c r="S42">
        <f>S43+S44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(((E42/50000)+(F42/75)+(S42/250)+((P42/3500)*J42))*200/4+(((E42/50000)*(F42/75))+(((P42/3500)*J42)*(S42/250)))*200/2+((E42/50000)*(F42/75)*((P42/3500)*J42)*(S42/250))*200)*(H42/1.0)/3</f>
        <v/>
      </c>
      <c r="X42" s="6" t="n">
        <v>400</v>
      </c>
      <c r="Y42">
        <f>IFERROR(W42-X42,"")</f>
        <v/>
      </c>
      <c r="Z42">
        <f>IFERROR(ABS(Y42)/MAX(X42,1),"")</f>
        <v/>
      </c>
      <c r="AA42">
        <f>IFERROR(ROUND(((3*X42-(((E42/50000)+(F42/75)+(S42/250))*200/4+((E42/50000)*(F42/75))*200/2)*(H42/1.0))/(200/4+((S42/250))*200/2+((E42/50000)*(F42/75)*(S42/250))*200)*(H42/1.0)*3500)/J42,-1),"")</f>
        <v/>
      </c>
    </row>
    <row r="43">
      <c r="B43" s="7" t="inlineStr">
        <is>
          <t xml:space="preserve">  ↳ ShotgunAttackRobotGun</t>
        </is>
      </c>
      <c r="C43" s="7" t="inlineStr">
        <is>
          <t>Armament@PRIMARY</t>
        </is>
      </c>
      <c r="L43" s="6" t="n">
        <v>12000</v>
      </c>
      <c r="M43" s="6" t="n">
        <v>55</v>
      </c>
      <c r="N43" s="6" t="n">
        <v>1</v>
      </c>
      <c r="O43" s="6" t="n"/>
      <c r="P43" s="6" t="n">
        <v>4110</v>
      </c>
      <c r="Q43" s="6" t="n">
        <v>1</v>
      </c>
      <c r="R43">
        <f>M43+IF(N43&gt;1,N(O43)*(N43-1),0)</f>
        <v/>
      </c>
      <c r="S43">
        <f>IFERROR(L43*MAX(N43,1)/R43*IF(ISBLANK(K42),1,K42),0)</f>
        <v/>
      </c>
      <c r="AB43" s="7" t="inlineStr">
        <is>
          <t>^Warhead_CannonHE_Medium, ^Warhead_Bullet_Medium</t>
        </is>
      </c>
    </row>
    <row r="44">
      <c r="B44" s="7" t="inlineStr">
        <is>
          <t xml:space="preserve">  ↳ ShotgunAttackRobotGun_elite</t>
        </is>
      </c>
      <c r="C44" s="7" t="inlineStr">
        <is>
          <t>Armament@ELITE</t>
        </is>
      </c>
      <c r="L44" s="6" t="n">
        <v>12000</v>
      </c>
      <c r="M44" s="6" t="n">
        <v>25</v>
      </c>
      <c r="N44" s="6" t="n">
        <v>2</v>
      </c>
      <c r="O44" s="6" t="n">
        <v>3</v>
      </c>
      <c r="P44" s="6" t="n">
        <v>5110</v>
      </c>
      <c r="Q44" s="6" t="n">
        <v>1</v>
      </c>
      <c r="R44">
        <f>M44+IF(N44&gt;1,N(O44)*(N44-1),0)</f>
        <v/>
      </c>
      <c r="S44">
        <f>IFERROR(L44*MAX(N44,1)/R44*IF(ISBLANK(K42),1,K42),0)</f>
        <v/>
      </c>
      <c r="AB44" s="7" t="inlineStr">
        <is>
          <t>^Warhead_CannonHE_Medium, ^Warhead_Bullet_Medium</t>
        </is>
      </c>
    </row>
    <row r="45">
      <c r="B45" s="7" t="inlineStr">
        <is>
          <t xml:space="preserve">  ↳ ShotgunAttackRobotGun</t>
        </is>
      </c>
      <c r="C45" s="7" t="inlineStr">
        <is>
          <t>Armament@GARRISONED</t>
        </is>
      </c>
      <c r="L45" s="6" t="n">
        <v>12000</v>
      </c>
      <c r="M45" s="6" t="n">
        <v>55</v>
      </c>
      <c r="N45" s="6" t="n">
        <v>1</v>
      </c>
      <c r="O45" s="6" t="n"/>
      <c r="P45" s="6" t="n">
        <v>4110</v>
      </c>
      <c r="Q45" s="6" t="n">
        <v>1</v>
      </c>
      <c r="R45">
        <f>M45+IF(N45&gt;1,N(O45)*(N45-1),0)</f>
        <v/>
      </c>
      <c r="S45">
        <f>IFERROR(L45*MAX(N45,1)/R45*IF(ISBLANK(K42),1,K42),0)</f>
        <v/>
      </c>
      <c r="AB45" s="7" t="inlineStr">
        <is>
          <t>^Warhead_CannonHE_Medium, ^Warhead_Bullet_Medium</t>
        </is>
      </c>
    </row>
    <row r="46">
      <c r="B46" s="7" t="inlineStr">
        <is>
          <t xml:space="preserve">  ↳ ShotgunAttackRobotGun_elite</t>
        </is>
      </c>
      <c r="C46" s="7" t="inlineStr">
        <is>
          <t>Armament@GARRISONEDELITE</t>
        </is>
      </c>
      <c r="L46" s="6" t="n">
        <v>12000</v>
      </c>
      <c r="M46" s="6" t="n">
        <v>25</v>
      </c>
      <c r="N46" s="6" t="n">
        <v>2</v>
      </c>
      <c r="O46" s="6" t="n">
        <v>3</v>
      </c>
      <c r="P46" s="6" t="n">
        <v>5110</v>
      </c>
      <c r="Q46" s="6" t="n">
        <v>1</v>
      </c>
      <c r="R46">
        <f>M46+IF(N46&gt;1,N(O46)*(N46-1),0)</f>
        <v/>
      </c>
      <c r="S46">
        <f>IFERROR(L46*MAX(N46,1)/R46*IF(ISBLANK(K42),1,K42),0)</f>
        <v/>
      </c>
      <c r="AB46" s="7" t="inlineStr">
        <is>
          <t>^Warhead_CannonHE_Medium, ^Warhead_Bullet_Medium</t>
        </is>
      </c>
    </row>
    <row r="47">
      <c r="A47" t="inlineStr">
        <is>
          <t>redalert2mod</t>
        </is>
      </c>
      <c r="B47" t="inlineStr">
        <is>
          <t>futuretech_spyfutu</t>
        </is>
      </c>
      <c r="C47" t="inlineStr">
        <is>
          <t>Infiltrator</t>
        </is>
      </c>
      <c r="D47" s="6" t="inlineStr">
        <is>
          <t>ScoutInfantry</t>
        </is>
      </c>
      <c r="E47" s="6" t="n">
        <v>5000</v>
      </c>
      <c r="F47" s="6" t="n">
        <v>60</v>
      </c>
      <c r="G47" t="inlineStr">
        <is>
          <t>None</t>
        </is>
      </c>
      <c r="H47" s="6" t="n">
        <v>0.4015</v>
      </c>
      <c r="I47" s="6" t="n">
        <v>1</v>
      </c>
      <c r="J47" s="6" t="n">
        <v>1</v>
      </c>
      <c r="K47" s="6" t="n"/>
      <c r="X47" s="6" t="n">
        <v>1000</v>
      </c>
    </row>
    <row r="48">
      <c r="A48" s="4" t="inlineStr">
        <is>
          <t>VEHICLES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>
      <c r="A49" t="inlineStr">
        <is>
          <t>redalert2mod</t>
        </is>
      </c>
      <c r="B49" t="inlineStr">
        <is>
          <t>futuretech_athenacannon</t>
        </is>
      </c>
      <c r="C49" t="inlineStr">
        <is>
          <t>Athena Cannon</t>
        </is>
      </c>
      <c r="D49" s="6" t="inlineStr">
        <is>
          <t>Artillery</t>
        </is>
      </c>
      <c r="E49" s="6" t="n">
        <v>62500</v>
      </c>
      <c r="F49" s="6" t="n">
        <v>60</v>
      </c>
      <c r="G49" t="inlineStr">
        <is>
          <t>Light</t>
        </is>
      </c>
      <c r="H49" s="6" t="n">
        <v>1</v>
      </c>
      <c r="I49" s="6" t="n">
        <v>0.5</v>
      </c>
      <c r="J49" s="6" t="n">
        <v>1</v>
      </c>
      <c r="K49" s="6" t="n"/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(((E49/60000)+(F49/75)+(S49/500)+((P49/15000)*J49))*500/4+(((E49/60000)*(F49/75))+(((P49/15000)*J49)*(S49/500)))*500/2+((E49/60000)*(F49/75)*((P49/15000)*J49)*(S49/500))*500)*(H49/1.0)/3</f>
        <v/>
      </c>
      <c r="X49" s="6" t="n">
        <v>2200</v>
      </c>
      <c r="Y49">
        <f>IFERROR(W49-X49,"")</f>
        <v/>
      </c>
      <c r="Z49">
        <f>IFERROR(ABS(Y49)/MAX(X49,1),"")</f>
        <v/>
      </c>
      <c r="AA49">
        <f>IFERROR(ROUND(((3*X49-(((E49/60000)+(F49/75)+(S49/500))*500/4+((E49/60000)*(F49/75))*500/2)*(H49/1.0))/(500/4+((S49/500))*500/2+((E49/60000)*(F49/75)*(S49/500))*500)*(H49/1.0)*15000)/J49,-1),"")</f>
        <v/>
      </c>
    </row>
    <row r="50">
      <c r="B50" s="7" t="inlineStr">
        <is>
          <t xml:space="preserve">  ↳ AthenaLaser</t>
        </is>
      </c>
      <c r="C50" s="7" t="inlineStr">
        <is>
          <t>Armament@AG</t>
        </is>
      </c>
      <c r="L50" s="6" t="n">
        <v>192000</v>
      </c>
      <c r="M50" s="6" t="n">
        <v>1</v>
      </c>
      <c r="N50" s="6" t="n">
        <v>1</v>
      </c>
      <c r="O50" s="6" t="n"/>
      <c r="P50" s="6" t="n">
        <v>16000</v>
      </c>
      <c r="Q50" s="6" t="n">
        <v>1</v>
      </c>
      <c r="R50">
        <f>M50+IF(N50&gt;1,N(O50)*(N50-1),0)</f>
        <v/>
      </c>
      <c r="S50">
        <f>IFERROR(L50*MAX(N50,1)/R50*IF(ISBLANK(K49),1,K49),0)</f>
        <v/>
      </c>
      <c r="AB50" s="7" t="inlineStr">
        <is>
          <t>^LightMissile, ^SmallArms, ^Chaingun, ^FlakWeapon, ^TeslaWeapon, ^LaserWeapon</t>
        </is>
      </c>
    </row>
    <row r="51">
      <c r="B51" s="7" t="inlineStr">
        <is>
          <t xml:space="preserve">  ↳ AthenaVisualLaser</t>
        </is>
      </c>
      <c r="C51" s="7" t="inlineStr">
        <is>
          <t>Armament@VISUAL</t>
        </is>
      </c>
      <c r="L51" s="6" t="n"/>
      <c r="M51" s="6" t="n">
        <v>4</v>
      </c>
      <c r="N51" s="6" t="n">
        <v>1</v>
      </c>
      <c r="O51" s="6" t="n"/>
      <c r="P51" s="6" t="n">
        <v>16000</v>
      </c>
      <c r="Q51" s="6" t="n">
        <v>1</v>
      </c>
      <c r="R51">
        <f>M51+IF(N51&gt;1,N(O51)*(N51-1),0)</f>
        <v/>
      </c>
      <c r="S51">
        <f>IFERROR(L51*MAX(N51,1)/R51*IF(ISBLANK(K49),1,K49),0)</f>
        <v/>
      </c>
      <c r="AB51" s="7" t="inlineStr"/>
    </row>
    <row r="52">
      <c r="A52" t="inlineStr">
        <is>
          <t>redalert2mod</t>
        </is>
      </c>
      <c r="B52" t="inlineStr">
        <is>
          <t>futuretech_beehivedronecarrier</t>
        </is>
      </c>
      <c r="C52" t="inlineStr">
        <is>
          <t>Beehive Drone Carrier</t>
        </is>
      </c>
      <c r="D52" s="6" t="inlineStr">
        <is>
          <t>FireSupport</t>
        </is>
      </c>
      <c r="E52" s="6" t="n">
        <v>125000</v>
      </c>
      <c r="F52" s="6" t="n">
        <v>45</v>
      </c>
      <c r="G52" t="inlineStr">
        <is>
          <t>Light</t>
        </is>
      </c>
      <c r="H52" s="6" t="n">
        <v>0.305</v>
      </c>
      <c r="I52" s="6" t="n">
        <v>1</v>
      </c>
      <c r="J52" s="6" t="n">
        <v>1</v>
      </c>
      <c r="K52" s="6" t="n"/>
      <c r="X52" s="6" t="n">
        <v>2100</v>
      </c>
    </row>
    <row r="53">
      <c r="B53" s="7" t="inlineStr">
        <is>
          <t xml:space="preserve">  ↳ BeehiveCarrierTarget</t>
        </is>
      </c>
      <c r="C53" s="7" t="inlineStr">
        <is>
          <t>Armament@PRIMARY</t>
        </is>
      </c>
      <c r="L53" s="6" t="n"/>
      <c r="M53" s="6" t="n">
        <v>150</v>
      </c>
      <c r="N53" s="6" t="n">
        <v>1</v>
      </c>
      <c r="O53" s="6" t="n"/>
      <c r="P53" s="6" t="n">
        <v>17500</v>
      </c>
      <c r="Q53" s="6" t="n">
        <v>1</v>
      </c>
      <c r="R53">
        <f>M53+IF(N53&gt;1,N(O53)*(N53-1),0)</f>
        <v/>
      </c>
      <c r="S53">
        <f>IFERROR(L53*MAX(N53,1)/R53*IF(ISBLANK(K52),1,K52),0)</f>
        <v/>
      </c>
      <c r="AB53" s="7" t="inlineStr">
        <is>
          <t>RA2CarrierTarget</t>
        </is>
      </c>
    </row>
    <row r="54">
      <c r="A54" t="inlineStr">
        <is>
          <t>redalert2mod</t>
        </is>
      </c>
      <c r="B54" t="inlineStr">
        <is>
          <t>futuretech_energizer</t>
        </is>
      </c>
      <c r="C54" t="inlineStr">
        <is>
          <t>Energizer</t>
        </is>
      </c>
      <c r="D54" s="6" t="inlineStr">
        <is>
          <t>FireSupport</t>
        </is>
      </c>
      <c r="E54" s="6" t="n">
        <v>50000</v>
      </c>
      <c r="F54" s="6" t="n">
        <v>50</v>
      </c>
      <c r="G54" t="inlineStr">
        <is>
          <t>Light</t>
        </is>
      </c>
      <c r="H54" s="6" t="n">
        <v>0.305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(((E54/120000)+(F54/90)+(S54/2100)+((P54/10000)*J54))*1400/4+(((E54/120000)*(F54/90))+(((P54/10000)*J54)*(S54/2100)))*1400/2+((E54/120000)*(F54/90)*((P54/10000)*J54)*(S54/2100))*1400)*(H54/0.6735)/3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IFERROR(ROUND(((3*X54-(((E54/120000)+(F54/90)+(S54/2100))*1400/4+((E54/120000)*(F54/90))*1400/2)*(H54/0.6735))/(1400/4+((S54/2100))*1400/2+((E54/120000)*(F54/90)*(S54/2100))*1400)*(H54/0.6735)*10000)/J54,-1),"")</f>
        <v/>
      </c>
    </row>
    <row r="55">
      <c r="B55" s="7" t="inlineStr">
        <is>
          <t xml:space="preserve">  ↳ Future_CoilerAgressive</t>
        </is>
      </c>
      <c r="C55" s="7" t="inlineStr">
        <is>
          <t>Armament@Agressive</t>
        </is>
      </c>
      <c r="L55" s="6" t="n">
        <v>50000</v>
      </c>
      <c r="M55" s="6" t="n">
        <v>125</v>
      </c>
      <c r="N55" s="6" t="n">
        <v>1</v>
      </c>
      <c r="O55" s="6" t="n"/>
      <c r="P55" s="6" t="n">
        <v>7500</v>
      </c>
      <c r="Q55" s="6" t="n">
        <v>1.25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^Warhead_Tesla_Heavy</t>
        </is>
      </c>
    </row>
    <row r="56">
      <c r="B56" s="7" t="inlineStr">
        <is>
          <t xml:space="preserve">  ↳ Future_CoilerFriendMain</t>
        </is>
      </c>
      <c r="C56" s="7" t="inlineStr">
        <is>
          <t>Armament@Support</t>
        </is>
      </c>
      <c r="L56" s="6" t="n"/>
      <c r="M56" s="6" t="n">
        <v>125</v>
      </c>
      <c r="N56" s="6" t="n">
        <v>1</v>
      </c>
      <c r="O56" s="6" t="n"/>
      <c r="P56" s="6" t="n">
        <v>7500</v>
      </c>
      <c r="Q56" s="6" t="n">
        <v>1</v>
      </c>
      <c r="R56">
        <f>M56+IF(N56&gt;1,N(O56)*(N56-1),0)</f>
        <v/>
      </c>
      <c r="S56">
        <f>IFERROR(L56*MAX(N56,1)/R56*IF(ISBLANK(K54),1,K54),0)</f>
        <v/>
      </c>
      <c r="AB56" s="7" t="inlineStr">
        <is>
          <t>Future_CoilerFriend</t>
        </is>
      </c>
    </row>
    <row r="57">
      <c r="A57" t="inlineStr">
        <is>
          <t>redalert2mod</t>
        </is>
      </c>
      <c r="B57" t="inlineStr">
        <is>
          <t>futuretech_futuretank</t>
        </is>
      </c>
      <c r="C57" t="inlineStr">
        <is>
          <t>Future Tank</t>
        </is>
      </c>
      <c r="D57" s="6" t="inlineStr">
        <is>
          <t>EpicVehicle</t>
        </is>
      </c>
      <c r="E57" s="6" t="n">
        <v>650000</v>
      </c>
      <c r="F57" s="6" t="n">
        <v>45</v>
      </c>
      <c r="G57" t="inlineStr">
        <is>
          <t>Superheavy</t>
        </is>
      </c>
      <c r="H57" s="6" t="n">
        <v>0.75</v>
      </c>
      <c r="I57" s="6" t="n">
        <v>0.4</v>
      </c>
      <c r="J57" s="6" t="n">
        <v>1</v>
      </c>
      <c r="K57" s="6" t="n">
        <v>0.0025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(((E57/4000000)+(F57/60)+(S57/20000)+((P57/8500)*J57))*10000/4+(((E57/4000000)*(F57/60))+(((P57/8500)*J57)*(S57/20000)))*10000/2+((E57/4000000)*(F57/60)*((P57/8500)*J57)*(S57/20000))*10000)*(H57/0.75)/3</f>
        <v/>
      </c>
      <c r="X57" s="6" t="n">
        <v>10000</v>
      </c>
      <c r="Y57">
        <f>IFERROR(W57-X57,"")</f>
        <v/>
      </c>
      <c r="Z57">
        <f>IFERROR(ABS(Y57)/MAX(X57,1),"")</f>
        <v/>
      </c>
      <c r="AA57">
        <f>IFERROR(ROUND(((3*X57-(((E57/4000000)+(F57/60)+(S57/20000))*10000/4+((E57/4000000)*(F57/60))*10000/2)*(H57/0.75))/(10000/4+((S57/20000))*10000/2+((E57/4000000)*(F57/60)*(S57/20000))*10000)*(H57/0.75)*8500)/J57,-1),"")</f>
        <v/>
      </c>
    </row>
    <row r="58">
      <c r="B58" s="7" t="inlineStr">
        <is>
          <t xml:space="preserve">  ↳ FutureTankCannons</t>
        </is>
      </c>
      <c r="C58" s="7" t="inlineStr">
        <is>
          <t>Armament</t>
        </is>
      </c>
      <c r="L58" s="6" t="n">
        <v>600000</v>
      </c>
      <c r="M58" s="6" t="n">
        <v>65</v>
      </c>
      <c r="N58" s="6" t="n">
        <v>2</v>
      </c>
      <c r="O58" s="6" t="n">
        <v>10</v>
      </c>
      <c r="P58" s="6" t="n">
        <v>7500</v>
      </c>
      <c r="Q58" s="6" t="n">
        <v>1.25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^Warhead_CannonHE_Heavy</t>
        </is>
      </c>
    </row>
    <row r="59">
      <c r="B59" s="7" t="inlineStr">
        <is>
          <t xml:space="preserve">  ↳ FutureTankCannons_elite</t>
        </is>
      </c>
      <c r="C59" s="7" t="inlineStr">
        <is>
          <t>Armament@elite</t>
        </is>
      </c>
      <c r="L59" s="6" t="n">
        <v>600000</v>
      </c>
      <c r="M59" s="6" t="n">
        <v>65</v>
      </c>
      <c r="N59" s="6" t="n">
        <v>4</v>
      </c>
      <c r="O59" s="6" t="n">
        <v>5</v>
      </c>
      <c r="P59" s="6" t="n">
        <v>8500</v>
      </c>
      <c r="Q59" s="6" t="n">
        <v>1.25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^Warhead_CannonHE_Heavy</t>
        </is>
      </c>
    </row>
    <row r="60">
      <c r="A60" t="inlineStr">
        <is>
          <t>redalert2mod</t>
        </is>
      </c>
      <c r="B60" t="inlineStr">
        <is>
          <t>futuretech_guardiantank</t>
        </is>
      </c>
      <c r="C60" t="inlineStr">
        <is>
          <t>Guardian Tank</t>
        </is>
      </c>
      <c r="D60" s="6" t="inlineStr">
        <is>
          <t>MainBattleTank</t>
        </is>
      </c>
      <c r="E60" s="6" t="n">
        <v>115000</v>
      </c>
      <c r="F60" s="6" t="n">
        <v>85</v>
      </c>
      <c r="G60" t="inlineStr">
        <is>
          <t>Heavy</t>
        </is>
      </c>
      <c r="H60" s="6" t="n">
        <v>0.8639</v>
      </c>
      <c r="I60" s="6" t="n">
        <v>1</v>
      </c>
      <c r="J60" s="6" t="n">
        <v>1</v>
      </c>
      <c r="K60" s="6" t="n"/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(((E60/240000)+(F60/95)+(S60/600)+((P60/5500)*J60))*800/4+(((E60/240000)*(F60/95))+(((P60/5500)*J60)*(S60/600)))*800/2+((E60/240000)*(F60/95)*((P60/5500)*J60)*(S60/600))*800)*(H60/1.0)/3</f>
        <v/>
      </c>
      <c r="X60" s="6" t="n">
        <v>850</v>
      </c>
      <c r="Y60">
        <f>IFERROR(W60-X60,"")</f>
        <v/>
      </c>
      <c r="Z60">
        <f>IFERROR(ABS(Y60)/MAX(X60,1),"")</f>
        <v/>
      </c>
      <c r="AA60">
        <f>IFERROR(ROUND(((3*X60-(((E60/240000)+(F60/95)+(S60/600))*800/4+((E60/240000)*(F60/95))*800/2)*(H60/1.0))/(800/4+((S60/600))*800/2+((E60/240000)*(F60/95)*(S60/600))*800)*(H60/1.0)*5500)/J60,-1),"")</f>
        <v/>
      </c>
    </row>
    <row r="61">
      <c r="B61" s="7" t="inlineStr">
        <is>
          <t xml:space="preserve">  ↳ GuardianTankCannon</t>
        </is>
      </c>
      <c r="C61" s="7" t="inlineStr">
        <is>
          <t>Armament</t>
        </is>
      </c>
      <c r="L61" s="6" t="n">
        <v>12000</v>
      </c>
      <c r="M61" s="6" t="n">
        <v>85</v>
      </c>
      <c r="N61" s="6" t="n">
        <v>1</v>
      </c>
      <c r="O61" s="6" t="n"/>
      <c r="P61" s="6" t="n">
        <v>7820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^Warhead_CannonHE_Medium</t>
        </is>
      </c>
    </row>
    <row r="62">
      <c r="B62" s="7" t="inlineStr">
        <is>
          <t xml:space="preserve">  ↳ GuardianTankCannon_elite</t>
        </is>
      </c>
      <c r="C62" s="7" t="inlineStr">
        <is>
          <t>Armament@elite</t>
        </is>
      </c>
      <c r="L62" s="6" t="n">
        <v>12000</v>
      </c>
      <c r="M62" s="6" t="n">
        <v>85</v>
      </c>
      <c r="N62" s="6" t="n">
        <v>2</v>
      </c>
      <c r="O62" s="6" t="n">
        <v>3</v>
      </c>
      <c r="P62" s="6" t="n">
        <v>8820</v>
      </c>
      <c r="Q62" s="6" t="n">
        <v>1</v>
      </c>
      <c r="R62">
        <f>M62+IF(N62&gt;1,N(O62)*(N62-1),0)</f>
        <v/>
      </c>
      <c r="S62">
        <f>IFERROR(L62*MAX(N62,1)/R62*IF(ISBLANK(K60),1,K60),0)</f>
        <v/>
      </c>
      <c r="AB62" s="7" t="inlineStr">
        <is>
          <t>^Warhead_CannonHE_Medium</t>
        </is>
      </c>
    </row>
    <row r="63">
      <c r="B63" s="7" t="inlineStr">
        <is>
          <t xml:space="preserve">  ↳ Future_MBT_DebuffLaser</t>
        </is>
      </c>
      <c r="C63" s="7" t="inlineStr">
        <is>
          <t>Armament@debuff</t>
        </is>
      </c>
      <c r="L63" s="6" t="n"/>
      <c r="M63" s="6" t="n">
        <v>4</v>
      </c>
      <c r="N63" s="6" t="n">
        <v>1</v>
      </c>
      <c r="O63" s="6" t="n"/>
      <c r="P63" s="6" t="n">
        <v>7820</v>
      </c>
      <c r="Q63" s="6" t="n">
        <v>1</v>
      </c>
      <c r="R63">
        <f>M63+IF(N63&gt;1,N(O63)*(N63-1),0)</f>
        <v/>
      </c>
      <c r="S63">
        <f>IFERROR(L63*MAX(N63,1)/R63*IF(ISBLANK(K60),1,K60),0)</f>
        <v/>
      </c>
      <c r="AB63" s="7" t="inlineStr"/>
    </row>
    <row r="64">
      <c r="B64" s="7" t="inlineStr">
        <is>
          <t xml:space="preserve">  ↳ Future_MBT_DebuffLaser_elite</t>
        </is>
      </c>
      <c r="C64" s="7" t="inlineStr">
        <is>
          <t>Armament@debuffelite</t>
        </is>
      </c>
      <c r="L64" s="6" t="n"/>
      <c r="M64" s="6" t="n">
        <v>4</v>
      </c>
      <c r="N64" s="6" t="n">
        <v>1</v>
      </c>
      <c r="O64" s="6" t="n"/>
      <c r="P64" s="6" t="n">
        <v>8820</v>
      </c>
      <c r="Q64" s="6" t="n">
        <v>1</v>
      </c>
      <c r="R64">
        <f>M64+IF(N64&gt;1,N(O64)*(N64-1),0)</f>
        <v/>
      </c>
      <c r="S64">
        <f>IFERROR(L64*MAX(N64,1)/R64*IF(ISBLANK(K60),1,K60),0)</f>
        <v/>
      </c>
      <c r="AB64" s="7" t="inlineStr">
        <is>
          <t>Future_MBT_DebuffLaser</t>
        </is>
      </c>
    </row>
    <row r="65">
      <c r="A65" t="inlineStr">
        <is>
          <t>redalert2mod</t>
        </is>
      </c>
      <c r="B65" t="inlineStr">
        <is>
          <t>futuretech_gunstrider</t>
        </is>
      </c>
      <c r="C65" t="inlineStr">
        <is>
          <t>Gun Strider</t>
        </is>
      </c>
      <c r="D65" s="6" t="inlineStr">
        <is>
          <t>FireSupport</t>
        </is>
      </c>
      <c r="E65" s="6" t="n">
        <v>320000</v>
      </c>
      <c r="F65" s="6" t="n">
        <v>35</v>
      </c>
      <c r="G65" t="inlineStr">
        <is>
          <t>Light</t>
        </is>
      </c>
      <c r="H65" s="6" t="n">
        <v>0.422</v>
      </c>
      <c r="I65" s="6" t="n">
        <v>1</v>
      </c>
      <c r="J65" s="6" t="n">
        <v>1</v>
      </c>
      <c r="K65" s="6" t="n"/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(((E65/120000)+(F65/90)+(S65/2100)+((P65/10000)*J65))*1400/4+(((E65/120000)*(F65/90))+(((P65/10000)*J65)*(S65/2100)))*1400/2+((E65/120000)*(F65/90)*((P65/10000)*J65)*(S65/2100))*1400)*(H65/0.6735)/3</f>
        <v/>
      </c>
      <c r="X65" s="6" t="n">
        <v>2500</v>
      </c>
      <c r="Y65">
        <f>IFERROR(W65-X65,"")</f>
        <v/>
      </c>
      <c r="Z65">
        <f>IFERROR(ABS(Y65)/MAX(X65,1),"")</f>
        <v/>
      </c>
      <c r="AA65">
        <f>IFERROR(ROUND(((3*X65-(((E65/120000)+(F65/90)+(S65/2100))*1400/4+((E65/120000)*(F65/90))*1400/2)*(H65/0.6735))/(1400/4+((S65/2100))*1400/2+((E65/120000)*(F65/90)*(S65/2100))*1400)*(H65/0.6735)*10000)/J65,-1),"")</f>
        <v/>
      </c>
    </row>
    <row r="66">
      <c r="B66" s="7" t="inlineStr">
        <is>
          <t xml:space="preserve">  ↳ FutureMechGatling</t>
        </is>
      </c>
      <c r="C66" s="7" t="inlineStr">
        <is>
          <t>Armament</t>
        </is>
      </c>
      <c r="L66" s="6" t="n">
        <v>8000</v>
      </c>
      <c r="M66" s="6" t="n">
        <v>12</v>
      </c>
      <c r="N66" s="6" t="n">
        <v>1</v>
      </c>
      <c r="O66" s="6" t="n"/>
      <c r="P66" s="6" t="n">
        <v>8300</v>
      </c>
      <c r="Q66" s="6" t="n">
        <v>1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^Warhead_Bullet_Medium</t>
        </is>
      </c>
    </row>
    <row r="67">
      <c r="A67" t="inlineStr">
        <is>
          <t>redalert2mod</t>
        </is>
      </c>
      <c r="B67" t="inlineStr">
        <is>
          <t>futuretech_mobileconstructionvehicle</t>
        </is>
      </c>
      <c r="C67" t="inlineStr">
        <is>
          <t>FutureTech Mobile Construction Vehicle</t>
        </is>
      </c>
      <c r="D67" s="6" t="inlineStr">
        <is>
          <t>SupportVehicle</t>
        </is>
      </c>
      <c r="E67" s="6" t="n">
        <v>300000</v>
      </c>
      <c r="F67" s="6" t="n">
        <v>75</v>
      </c>
      <c r="G67" t="inlineStr">
        <is>
          <t>Medium</t>
        </is>
      </c>
      <c r="H67" s="6" t="n">
        <v>0.5669999999999999</v>
      </c>
      <c r="I67" s="6" t="n">
        <v>1</v>
      </c>
      <c r="J67" s="6" t="n">
        <v>1</v>
      </c>
      <c r="K67" s="6" t="n"/>
      <c r="X67" s="6" t="n">
        <v>5000</v>
      </c>
    </row>
    <row r="68">
      <c r="A68" t="inlineStr">
        <is>
          <t>redalert2mod</t>
        </is>
      </c>
      <c r="B68" t="inlineStr">
        <is>
          <t>futuretech_oriontank</t>
        </is>
      </c>
      <c r="C68" t="inlineStr">
        <is>
          <t>Orion Tank</t>
        </is>
      </c>
      <c r="D68" s="6" t="inlineStr">
        <is>
          <t>HighTechTank</t>
        </is>
      </c>
      <c r="E68" s="6" t="n">
        <v>180000</v>
      </c>
      <c r="F68" s="6" t="n">
        <v>60</v>
      </c>
      <c r="G68" t="inlineStr">
        <is>
          <t>Superheavy</t>
        </is>
      </c>
      <c r="H68" s="6" t="n">
        <v>0.75</v>
      </c>
      <c r="I68" s="6" t="n">
        <v>1</v>
      </c>
      <c r="J68" s="6" t="n">
        <v>1</v>
      </c>
      <c r="K68" s="6" t="n"/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(((E68/700000)+(F68/65)+(S68/2000)+((P68/6500)*J68))*2000/4+(((E68/700000)*(F68/65))+(((P68/6500)*J68)*(S68/2000)))*2000/2+((E68/700000)*(F68/65)*((P68/6500)*J68)*(S68/2000))*2000)*(H68/0.75)/3</f>
        <v/>
      </c>
      <c r="X68" s="6" t="n">
        <v>2400</v>
      </c>
      <c r="Y68">
        <f>IFERROR(W68-X68,"")</f>
        <v/>
      </c>
      <c r="Z68">
        <f>IFERROR(ABS(Y68)/MAX(X68,1),"")</f>
        <v/>
      </c>
      <c r="AA68">
        <f>IFERROR(ROUND(((3*X68-(((E68/700000)+(F68/65)+(S68/2000))*2000/4+((E68/700000)*(F68/65))*2000/2)*(H68/0.75))/(2000/4+((S68/2000))*2000/2+((E68/700000)*(F68/65)*(S68/2000))*2000)*(H68/0.75)*6500)/J68,-1),"")</f>
        <v/>
      </c>
    </row>
    <row r="69">
      <c r="B69" s="7" t="inlineStr">
        <is>
          <t xml:space="preserve">  ↳ OrionRailgun</t>
        </is>
      </c>
      <c r="C69" s="7" t="inlineStr">
        <is>
          <t>Armament</t>
        </is>
      </c>
      <c r="L69" s="6" t="n">
        <v>60000</v>
      </c>
      <c r="M69" s="6" t="n">
        <v>60</v>
      </c>
      <c r="N69" s="6" t="n">
        <v>1</v>
      </c>
      <c r="O69" s="6" t="n"/>
      <c r="P69" s="6" t="n">
        <v>7500</v>
      </c>
      <c r="Q69" s="6" t="n">
        <v>1.25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^Warhead_Railgun_Heavy, ^Warhead_CannonHE_Heavy</t>
        </is>
      </c>
    </row>
    <row r="70">
      <c r="B70" s="7" t="inlineStr">
        <is>
          <t xml:space="preserve">  ↳ OrionRailgun_elite</t>
        </is>
      </c>
      <c r="C70" s="7" t="inlineStr">
        <is>
          <t>Armament@elite</t>
        </is>
      </c>
      <c r="L70" s="6" t="n">
        <v>150000</v>
      </c>
      <c r="M70" s="6" t="n">
        <v>60</v>
      </c>
      <c r="N70" s="6" t="n">
        <v>1</v>
      </c>
      <c r="O70" s="6" t="n"/>
      <c r="P70" s="6" t="n">
        <v>9000</v>
      </c>
      <c r="Q70" s="6" t="n">
        <v>1.25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^Warhead_Railgun_Heavy, ^Warhead_CannonHE_Heavy</t>
        </is>
      </c>
    </row>
    <row r="71">
      <c r="A71" t="inlineStr">
        <is>
          <t>redalert2mod</t>
        </is>
      </c>
      <c r="B71" t="inlineStr">
        <is>
          <t>futuretech_phalanxwip</t>
        </is>
      </c>
      <c r="C71" t="inlineStr">
        <is>
          <t>Phalanx (WIP)</t>
        </is>
      </c>
      <c r="D71" s="6" t="inlineStr">
        <is>
          <t>SupportVehicle</t>
        </is>
      </c>
      <c r="E71" s="6" t="n">
        <v>75000</v>
      </c>
      <c r="F71" s="6" t="n">
        <v>90</v>
      </c>
      <c r="G71" t="inlineStr">
        <is>
          <t>Medium</t>
        </is>
      </c>
      <c r="H71" s="6" t="n">
        <v>0.422</v>
      </c>
      <c r="I71" s="6" t="n">
        <v>1</v>
      </c>
      <c r="J71" s="6" t="n">
        <v>1</v>
      </c>
      <c r="K71" s="6" t="n"/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2500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RA2RTruckRocket</t>
        </is>
      </c>
      <c r="C72" s="7" t="inlineStr">
        <is>
          <t>Armament</t>
        </is>
      </c>
      <c r="L72" s="6" t="n">
        <v>8000</v>
      </c>
      <c r="M72" s="6" t="n">
        <v>108</v>
      </c>
      <c r="N72" s="6" t="n">
        <v>8</v>
      </c>
      <c r="O72" s="6" t="n">
        <v>3</v>
      </c>
      <c r="P72" s="6" t="n">
        <v>7777</v>
      </c>
      <c r="Q72" s="6" t="n">
        <v>1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^Warhead_MissileHE_Medium</t>
        </is>
      </c>
    </row>
    <row r="73">
      <c r="B73" s="7" t="inlineStr">
        <is>
          <t xml:space="preserve">  ↳ RA2RTruckRocket</t>
        </is>
      </c>
      <c r="C73" s="7" t="inlineStr">
        <is>
          <t>Armament@PRIMARYELITE</t>
        </is>
      </c>
      <c r="L73" s="6" t="n">
        <v>8000</v>
      </c>
      <c r="M73" s="6" t="n">
        <v>108</v>
      </c>
      <c r="N73" s="6" t="n">
        <v>8</v>
      </c>
      <c r="O73" s="6" t="n">
        <v>3</v>
      </c>
      <c r="P73" s="6" t="n">
        <v>7777</v>
      </c>
      <c r="Q73" s="6" t="n">
        <v>1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^Warhead_MissileHE_Medium</t>
        </is>
      </c>
    </row>
    <row r="74">
      <c r="B74" s="7" t="inlineStr">
        <is>
          <t xml:space="preserve">  ↳ FutureMicrotorpedos</t>
        </is>
      </c>
      <c r="C74" s="7" t="inlineStr">
        <is>
          <t>Armament@WATER</t>
        </is>
      </c>
      <c r="L74" s="6" t="n">
        <v>12000</v>
      </c>
      <c r="M74" s="6" t="n">
        <v>240</v>
      </c>
      <c r="N74" s="6" t="n">
        <v>4</v>
      </c>
      <c r="O74" s="6" t="n">
        <v>8</v>
      </c>
      <c r="P74" s="6" t="n">
        <v>12000</v>
      </c>
      <c r="Q74" s="6" t="n">
        <v>1</v>
      </c>
      <c r="R74">
        <f>M74+IF(N74&gt;1,N(O74)*(N74-1),0)</f>
        <v/>
      </c>
      <c r="S74">
        <f>IFERROR(L74*MAX(N74,1)/R74*IF(ISBLANK(K71),1,K71),0)</f>
        <v/>
      </c>
      <c r="AB74" s="7" t="inlineStr">
        <is>
          <t>^Warhead_Demolition_Light, ^Warhead_MissileAP_Heavy</t>
        </is>
      </c>
    </row>
    <row r="75">
      <c r="A75" t="inlineStr">
        <is>
          <t>redalert2mod</t>
        </is>
      </c>
      <c r="B75" t="inlineStr">
        <is>
          <t>futuretech_plasmastrider</t>
        </is>
      </c>
      <c r="C75" t="inlineStr">
        <is>
          <t>Plasma Strider</t>
        </is>
      </c>
      <c r="D75" s="6" t="inlineStr">
        <is>
          <t>LineBreaker</t>
        </is>
      </c>
      <c r="E75" s="6" t="n">
        <v>240000</v>
      </c>
      <c r="F75" s="6" t="n">
        <v>40</v>
      </c>
      <c r="G75" t="inlineStr">
        <is>
          <t>Superheavy</t>
        </is>
      </c>
      <c r="H75" s="6" t="n">
        <v>0.305</v>
      </c>
      <c r="I75" s="6" t="n">
        <v>1</v>
      </c>
      <c r="J75" s="6" t="n">
        <v>1</v>
      </c>
      <c r="K75" s="6" t="n"/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(((E75/750000)+(F75/80)+(S75/1600)+((P75/2500)*J75))*1600/4+(((E75/750000)*(F75/80))+(((P75/2500)*J75)*(S75/1600)))*1600/2+((E75/750000)*(F75/80)*((P75/2500)*J75)*(S75/1600))*1600)*(H75/1.0)/3</f>
        <v/>
      </c>
      <c r="X75" s="6" t="n">
        <v>2600</v>
      </c>
      <c r="Y75">
        <f>IFERROR(W75-X75,"")</f>
        <v/>
      </c>
      <c r="Z75">
        <f>IFERROR(ABS(Y75)/MAX(X75,1),"")</f>
        <v/>
      </c>
      <c r="AA75">
        <f>IFERROR(ROUND(((3*X75-(((E75/750000)+(F75/80)+(S75/1600))*1600/4+((E75/750000)*(F75/80))*1600/2)*(H75/1.0))/(1600/4+((S75/1600))*1600/2+((E75/750000)*(F75/80)*(S75/1600))*1600)*(H75/1.0)*2500)/J75,-1),"")</f>
        <v/>
      </c>
    </row>
    <row r="76">
      <c r="B76" s="7" t="inlineStr">
        <is>
          <t xml:space="preserve">  ↳ FutureMechPlasma</t>
        </is>
      </c>
      <c r="C76" s="7" t="inlineStr">
        <is>
          <t>Armament@PRIMARY</t>
        </is>
      </c>
      <c r="L76" s="6" t="n">
        <v>30000</v>
      </c>
      <c r="M76" s="6" t="n">
        <v>50</v>
      </c>
      <c r="N76" s="6" t="n">
        <v>2</v>
      </c>
      <c r="O76" s="6" t="n">
        <v>10</v>
      </c>
      <c r="P76" s="6" t="n">
        <v>7000</v>
      </c>
      <c r="Q76" s="6" t="n">
        <v>1.25</v>
      </c>
      <c r="R76">
        <f>M76+IF(N76&gt;1,N(O76)*(N76-1),0)</f>
        <v/>
      </c>
      <c r="S76">
        <f>IFERROR(L76*MAX(N76,1)/R76*IF(ISBLANK(K75),1,K75),0)</f>
        <v/>
      </c>
      <c r="AB76" s="7" t="inlineStr">
        <is>
          <t>^Warhead_CannonHE_Heavy</t>
        </is>
      </c>
    </row>
    <row r="77">
      <c r="B77" s="7" t="inlineStr">
        <is>
          <t xml:space="preserve">  ↳ FutureMechPlasma_elite</t>
        </is>
      </c>
      <c r="C77" s="7" t="inlineStr">
        <is>
          <t>Armament@ELITE</t>
        </is>
      </c>
      <c r="L77" s="6" t="n">
        <v>30000</v>
      </c>
      <c r="M77" s="6" t="n">
        <v>50</v>
      </c>
      <c r="N77" s="6" t="n">
        <v>4</v>
      </c>
      <c r="O77" s="6" t="n">
        <v>5</v>
      </c>
      <c r="P77" s="6" t="n">
        <v>8000</v>
      </c>
      <c r="Q77" s="6" t="n">
        <v>1.25</v>
      </c>
      <c r="R77">
        <f>M77+IF(N77&gt;1,N(O77)*(N77-1),0)</f>
        <v/>
      </c>
      <c r="S77">
        <f>IFERROR(L77*MAX(N77,1)/R77*IF(ISBLANK(K75),1,K75),0)</f>
        <v/>
      </c>
      <c r="AB77" s="7" t="inlineStr">
        <is>
          <t>^Warhead_CannonHE_Heavy</t>
        </is>
      </c>
    </row>
    <row r="78">
      <c r="A78" t="inlineStr">
        <is>
          <t>redalert2mod</t>
        </is>
      </c>
      <c r="B78" t="inlineStr">
        <is>
          <t>futuretech_prospector</t>
        </is>
      </c>
      <c r="C78" t="inlineStr">
        <is>
          <t>Prospector</t>
        </is>
      </c>
      <c r="D78" s="6" t="inlineStr">
        <is>
          <t>Harvester</t>
        </is>
      </c>
      <c r="E78" s="6" t="n">
        <v>100000</v>
      </c>
      <c r="F78" s="6" t="n">
        <v>100</v>
      </c>
      <c r="G78" t="inlineStr">
        <is>
          <t>Medium</t>
        </is>
      </c>
      <c r="H78" s="6" t="n">
        <v>1</v>
      </c>
      <c r="I78" s="6" t="n">
        <v>1</v>
      </c>
      <c r="J78" s="6" t="n">
        <v>1</v>
      </c>
      <c r="K78" s="6" t="n"/>
      <c r="X78" s="6" t="n">
        <v>1000</v>
      </c>
    </row>
    <row r="79">
      <c r="A79" t="inlineStr">
        <is>
          <t>redalert2mod</t>
        </is>
      </c>
      <c r="B79" t="inlineStr">
        <is>
          <t>futuretech_prospectormk2</t>
        </is>
      </c>
      <c r="C79" t="inlineStr">
        <is>
          <t>Prospector MK2</t>
        </is>
      </c>
      <c r="D79" s="6" t="inlineStr">
        <is>
          <t>Harvester</t>
        </is>
      </c>
      <c r="E79" s="6" t="n">
        <v>120000</v>
      </c>
      <c r="F79" s="6" t="n">
        <v>120</v>
      </c>
      <c r="G79" t="inlineStr">
        <is>
          <t>Medium</t>
        </is>
      </c>
      <c r="H79" s="6" t="n">
        <v>0.8639</v>
      </c>
      <c r="I79" s="6" t="n">
        <v>1</v>
      </c>
      <c r="J79" s="6" t="n">
        <v>1</v>
      </c>
      <c r="K79" s="6" t="n"/>
      <c r="X79" s="6" t="n">
        <v>1200</v>
      </c>
    </row>
    <row r="80">
      <c r="A80" t="inlineStr">
        <is>
          <t>redalert2mod</t>
        </is>
      </c>
      <c r="B80" t="inlineStr">
        <is>
          <t>futuretech_riptideacv</t>
        </is>
      </c>
      <c r="C80" t="inlineStr">
        <is>
          <t>Riptide ACV</t>
        </is>
      </c>
      <c r="D80" s="6" t="inlineStr">
        <is>
          <t>SupportVehicle</t>
        </is>
      </c>
      <c r="E80" s="6" t="n">
        <v>65000</v>
      </c>
      <c r="F80" s="6" t="n">
        <v>105</v>
      </c>
      <c r="G80" t="inlineStr">
        <is>
          <t>Light</t>
        </is>
      </c>
      <c r="H80" s="6" t="n">
        <v>1</v>
      </c>
      <c r="I80" s="6" t="n">
        <v>1.25</v>
      </c>
      <c r="J80" s="6" t="n">
        <v>1</v>
      </c>
      <c r="K80" s="6" t="n"/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1700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ACV_Machinegun</t>
        </is>
      </c>
      <c r="C81" s="7" t="inlineStr">
        <is>
          <t>Armament@AG</t>
        </is>
      </c>
      <c r="L81" s="6" t="n">
        <v>4000</v>
      </c>
      <c r="M81" s="6" t="n">
        <v>21</v>
      </c>
      <c r="N81" s="6" t="n">
        <v>4</v>
      </c>
      <c r="O81" s="6" t="n">
        <v>2</v>
      </c>
      <c r="P81" s="6" t="n">
        <v>5555</v>
      </c>
      <c r="Q81" s="6" t="n">
        <v>0.875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^Warhead_Bullet_Light, ^Warhead_Bullet_Medium</t>
        </is>
      </c>
    </row>
    <row r="82">
      <c r="B82" s="7" t="inlineStr">
        <is>
          <t xml:space="preserve">  ↳ FutureMicrotorpedos</t>
        </is>
      </c>
      <c r="C82" s="7" t="inlineStr">
        <is>
          <t>Armament@WATER</t>
        </is>
      </c>
      <c r="L82" s="6" t="n">
        <v>12000</v>
      </c>
      <c r="M82" s="6" t="n">
        <v>240</v>
      </c>
      <c r="N82" s="6" t="n">
        <v>4</v>
      </c>
      <c r="O82" s="6" t="n">
        <v>8</v>
      </c>
      <c r="P82" s="6" t="n">
        <v>12000</v>
      </c>
      <c r="Q82" s="6" t="n">
        <v>1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^Warhead_Demolition_Light, ^Warhead_MissileAP_Heavy</t>
        </is>
      </c>
    </row>
    <row r="83">
      <c r="A83" t="inlineStr">
        <is>
          <t>redalert2mod</t>
        </is>
      </c>
      <c r="B83" t="inlineStr">
        <is>
          <t>futuretech_robottank</t>
        </is>
      </c>
      <c r="C83" t="inlineStr">
        <is>
          <t>Robot Tank</t>
        </is>
      </c>
      <c r="D83" s="6" t="inlineStr">
        <is>
          <t>LightTank</t>
        </is>
      </c>
      <c r="E83" s="6" t="n">
        <v>50000</v>
      </c>
      <c r="F83" s="6" t="n">
        <v>130</v>
      </c>
      <c r="G83" t="inlineStr">
        <is>
          <t>Medium</t>
        </is>
      </c>
      <c r="H83" s="6" t="n">
        <v>0.6846</v>
      </c>
      <c r="I83" s="6" t="n">
        <v>1</v>
      </c>
      <c r="J83" s="6" t="n">
        <v>1</v>
      </c>
      <c r="K83" s="6" t="n"/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(((E83/100000)+(F83/125)+(S83/200)+((P83/5000)*J83))*400/4+(((E83/100000)*(F83/125))+(((P83/5000)*J83)*(S83/200)))*400/2+((E83/100000)*(F83/125)*((P83/5000)*J83)*(S83/200))*400)*(H83/1.0)/3</f>
        <v/>
      </c>
      <c r="X83" s="6" t="n">
        <v>1600</v>
      </c>
      <c r="Y83">
        <f>IFERROR(W83-X83,"")</f>
        <v/>
      </c>
      <c r="Z83">
        <f>IFERROR(ABS(Y83)/MAX(X83,1),"")</f>
        <v/>
      </c>
      <c r="AA83">
        <f>IFERROR(ROUND(((3*X83-(((E83/100000)+(F83/125)+(S83/200))*400/4+((E83/100000)*(F83/125))*400/2)*(H83/1.0))/(400/4+((S83/200))*400/2+((E83/100000)*(F83/125)*(S83/200))*400)*(H83/1.0)*5000)/J83,-1),"")</f>
        <v/>
      </c>
    </row>
    <row r="84">
      <c r="B84" s="7" t="inlineStr">
        <is>
          <t xml:space="preserve">  ↳ RA2Robotmm</t>
        </is>
      </c>
      <c r="C84" s="7" t="inlineStr">
        <is>
          <t>Armament</t>
        </is>
      </c>
      <c r="L84" s="6" t="n">
        <v>24000</v>
      </c>
      <c r="M84" s="6" t="n">
        <v>48</v>
      </c>
      <c r="N84" s="6" t="n">
        <v>1</v>
      </c>
      <c r="O84" s="6" t="n"/>
      <c r="P84" s="6" t="n">
        <v>5780</v>
      </c>
      <c r="Q84" s="6" t="n">
        <v>1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^Warhead_Tesla_Heavy, ^Warhead_Laser_Heavy, ^Warhead_Railgun_Heavy</t>
        </is>
      </c>
    </row>
    <row r="85">
      <c r="B85" s="7" t="inlineStr">
        <is>
          <t xml:space="preserve">  ↳ RA2Robotmm_elite</t>
        </is>
      </c>
      <c r="C85" s="7" t="inlineStr">
        <is>
          <t>Armament@elite</t>
        </is>
      </c>
      <c r="L85" s="6" t="n">
        <v>24000</v>
      </c>
      <c r="M85" s="6" t="n">
        <v>48</v>
      </c>
      <c r="N85" s="6" t="n">
        <v>1</v>
      </c>
      <c r="O85" s="6" t="n"/>
      <c r="P85" s="6" t="n">
        <v>6780</v>
      </c>
      <c r="Q85" s="6" t="n">
        <v>1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^Warhead_Tesla_Heavy, ^Warhead_Laser_Heavy, ^Warhead_Railgun_Heavy</t>
        </is>
      </c>
    </row>
    <row r="86">
      <c r="A86" t="inlineStr">
        <is>
          <t>redalert2mod</t>
        </is>
      </c>
      <c r="B86" t="inlineStr">
        <is>
          <t>futuretech_salamanderifv</t>
        </is>
      </c>
      <c r="C86" t="inlineStr">
        <is>
          <t>Salamander IFV</t>
        </is>
      </c>
      <c r="D86" s="6" t="inlineStr">
        <is>
          <t>ScoutVehicle</t>
        </is>
      </c>
      <c r="E86" s="6" t="n">
        <v>50000</v>
      </c>
      <c r="F86" s="6" t="n">
        <v>150</v>
      </c>
      <c r="G86" t="inlineStr">
        <is>
          <t>Scout</t>
        </is>
      </c>
      <c r="H86" s="6" t="n">
        <v>1</v>
      </c>
      <c r="I86" s="6" t="n">
        <v>0.333</v>
      </c>
      <c r="J86" s="6" t="n">
        <v>1</v>
      </c>
      <c r="K86" s="6" t="n">
        <v>0.015</v>
      </c>
      <c r="P86">
        <f>MAX(P87,P88,P89,P90,P91,P92,P93,P94,P95,P96,P97,P98,P99,P100,P101,P102,P103,P104,P105,P109,P110,P111,P112,P113,P114,P115,P116,P117,P118,P119,P120,P121,P122,P123,P124,P125,P126,P127,P128)</f>
        <v/>
      </c>
      <c r="S86">
        <f>S87+S88+S89+S90+S91+S92+S93+S94+S95+S96+S97+S98+S99+S100+S101+S102+S103+S104+S105+S109+S110+S111+S112+S113+S114+S115+S116+S117+S118+S119+S120+S121+S122+S123+S124+S125+S126+S127+S128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(((E86/30000)+(F86/200)+(S86/450)+((P86/4500)*J86))*300/4+(((E86/30000)*(F86/200))+(((P86/4500)*J86)*(S86/450)))*300/2+((E86/30000)*(F86/200)*((P86/4500)*J86)*(S86/450))*300)*(H86/1.0)/3</f>
        <v/>
      </c>
      <c r="X86" s="6" t="n">
        <v>950</v>
      </c>
      <c r="Y86">
        <f>IFERROR(W86-X86,"")</f>
        <v/>
      </c>
      <c r="Z86">
        <f>IFERROR(ABS(Y86)/MAX(X86,1),"")</f>
        <v/>
      </c>
      <c r="AA86">
        <f>IFERROR(ROUND(((3*X86-(((E86/30000)+(F86/200)+(S86/450))*300/4+((E86/30000)*(F86/200))*300/2)*(H86/1.0))/(300/4+((S86/450))*300/2+((E86/30000)*(F86/200)*(S86/450))*300)*(H86/1.0)*4500)/J86,-1),"")</f>
        <v/>
      </c>
    </row>
    <row r="87">
      <c r="B87" s="7" t="inlineStr">
        <is>
          <t xml:space="preserve">  ↳ RA2CRM60</t>
        </is>
      </c>
      <c r="C87" s="7" t="inlineStr">
        <is>
          <t>Armament@mg</t>
        </is>
      </c>
      <c r="L87" s="6" t="n">
        <v>4000</v>
      </c>
      <c r="M87" s="6" t="n">
        <v>14</v>
      </c>
      <c r="N87" s="6" t="n">
        <v>4</v>
      </c>
      <c r="O87" s="6" t="n">
        <v>2</v>
      </c>
      <c r="P87" s="6" t="n">
        <v>5660</v>
      </c>
      <c r="Q87" s="6" t="n">
        <v>0.875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^Warhead_Bullet_Light, ^Warhead_Bullet_Medium</t>
        </is>
      </c>
    </row>
    <row r="88">
      <c r="B88" s="7" t="inlineStr">
        <is>
          <t xml:space="preserve">  ↳ RA2CRM60H</t>
        </is>
      </c>
      <c r="C88" s="7" t="inlineStr">
        <is>
          <t>Armament@hmg</t>
        </is>
      </c>
      <c r="L88" s="6" t="n">
        <v>6000</v>
      </c>
      <c r="M88" s="6" t="n">
        <v>10</v>
      </c>
      <c r="N88" s="6" t="n">
        <v>6</v>
      </c>
      <c r="O88" s="6" t="n">
        <v>2</v>
      </c>
      <c r="P88" s="6" t="n">
        <v>4692</v>
      </c>
      <c r="Q88" s="6" t="n">
        <v>1.125</v>
      </c>
      <c r="R88">
        <f>M88+IF(N88&gt;1,N(O88)*(N88-1),0)</f>
        <v/>
      </c>
      <c r="S88">
        <f>IFERROR(L88*MAX(N88,1)/R88*IF(ISBLANK(K86),1,K86),0)</f>
        <v/>
      </c>
      <c r="AB88" s="7" t="inlineStr">
        <is>
          <t>^Warhead_CannonHE_Heavy, ^Warhead_Bullet_Medium</t>
        </is>
      </c>
    </row>
    <row r="89">
      <c r="B89" s="7" t="inlineStr">
        <is>
          <t xml:space="preserve">  ↳ wc_tower_fire</t>
        </is>
      </c>
      <c r="C89" s="7" t="inlineStr">
        <is>
          <t>Armament@archer</t>
        </is>
      </c>
      <c r="L89" s="6" t="n">
        <v>2500</v>
      </c>
      <c r="M89" s="6" t="n">
        <v>40</v>
      </c>
      <c r="N89" s="6" t="n">
        <v>1</v>
      </c>
      <c r="O89" s="6" t="n"/>
      <c r="P89" s="6" t="n">
        <v>8704</v>
      </c>
      <c r="Q89" s="6" t="n">
        <v>1</v>
      </c>
      <c r="R89">
        <f>M89+IF(N89&gt;1,N(O89)*(N89-1),0)</f>
        <v/>
      </c>
      <c r="S89">
        <f>IFERROR(L89*MAX(N89,1)/R89*IF(ISBLANK(K86),1,K86),0)</f>
        <v/>
      </c>
      <c r="AB89" s="7" t="inlineStr">
        <is>
          <t>bowFire</t>
        </is>
      </c>
    </row>
    <row r="90">
      <c r="B90" s="7" t="inlineStr">
        <is>
          <t xml:space="preserve">  ↳ RA2IFVRepair</t>
        </is>
      </c>
      <c r="C90" s="7" t="inlineStr">
        <is>
          <t>Armament@repair</t>
        </is>
      </c>
      <c r="L90" s="6" t="n">
        <v>-3000</v>
      </c>
      <c r="M90" s="6" t="n">
        <v>50</v>
      </c>
      <c r="N90" s="6" t="n">
        <v>10</v>
      </c>
      <c r="O90" s="6" t="n">
        <v>1</v>
      </c>
      <c r="P90" s="6" t="n">
        <v>5000</v>
      </c>
      <c r="Q90" s="6" t="n">
        <v>1</v>
      </c>
      <c r="R90">
        <f>M90+IF(N90&gt;1,N(O90)*(N90-1),0)</f>
        <v/>
      </c>
      <c r="S90">
        <f>IFERROR(L90*MAX(N90,1)/R90*IF(ISBLANK(K86),1,K86),0)</f>
        <v/>
      </c>
      <c r="AB90" s="7" t="inlineStr">
        <is>
          <t>^RepairWeapon</t>
        </is>
      </c>
    </row>
    <row r="91">
      <c r="B91" s="7" t="inlineStr">
        <is>
          <t xml:space="preserve">  ↳ LightSniper</t>
        </is>
      </c>
      <c r="C91" s="7" t="inlineStr">
        <is>
          <t>Armament@lightsniper</t>
        </is>
      </c>
      <c r="L91" s="6" t="n">
        <v>30000</v>
      </c>
      <c r="M91" s="6" t="n">
        <v>100</v>
      </c>
      <c r="N91" s="6" t="n">
        <v>1</v>
      </c>
      <c r="O91" s="6" t="n"/>
      <c r="P91" s="6" t="n">
        <v>9153</v>
      </c>
      <c r="Q91" s="6" t="n">
        <v>0.75</v>
      </c>
      <c r="R91">
        <f>M91+IF(N91&gt;1,N(O91)*(N91-1),0)</f>
        <v/>
      </c>
      <c r="S91">
        <f>IFERROR(L91*MAX(N91,1)/R91*IF(ISBLANK(K86),1,K86),0)</f>
        <v/>
      </c>
      <c r="AB91" s="7" t="inlineStr">
        <is>
          <t>^Warhead_Sniper_Light</t>
        </is>
      </c>
    </row>
    <row r="92">
      <c r="B92" s="7" t="inlineStr">
        <is>
          <t xml:space="preserve">  ↳ RA2DoublePistolsIFV</t>
        </is>
      </c>
      <c r="C92" s="7" t="inlineStr">
        <is>
          <t>Armament@hero</t>
        </is>
      </c>
      <c r="L92" s="6" t="n">
        <v>14000</v>
      </c>
      <c r="M92" s="6" t="n">
        <v>12</v>
      </c>
      <c r="N92" s="6" t="n">
        <v>2</v>
      </c>
      <c r="O92" s="6" t="n">
        <v>3</v>
      </c>
      <c r="P92" s="6" t="n">
        <v>8000</v>
      </c>
      <c r="Q92" s="6" t="n">
        <v>0.75</v>
      </c>
      <c r="R92">
        <f>M92+IF(N92&gt;1,N(O92)*(N92-1),0)</f>
        <v/>
      </c>
      <c r="S92">
        <f>IFERROR(L92*MAX(N92,1)/R92*IF(ISBLANK(K86),1,K86),0)</f>
        <v/>
      </c>
      <c r="AB92" s="7" t="inlineStr">
        <is>
          <t>^Warhead_Sniper_Light</t>
        </is>
      </c>
    </row>
    <row r="93">
      <c r="B93" s="7" t="inlineStr">
        <is>
          <t xml:space="preserve">  ↳ TTankZap</t>
        </is>
      </c>
      <c r="C93" s="7" t="inlineStr">
        <is>
          <t>Armament@tesla</t>
        </is>
      </c>
      <c r="L93" s="6" t="n">
        <v>40000</v>
      </c>
      <c r="M93" s="6" t="n">
        <v>80</v>
      </c>
      <c r="N93" s="6" t="n">
        <v>1</v>
      </c>
      <c r="O93" s="6" t="n"/>
      <c r="P93" s="6" t="n">
        <v>7300</v>
      </c>
      <c r="Q93" s="6" t="n">
        <v>1.25</v>
      </c>
      <c r="R93">
        <f>M93+IF(N93&gt;1,N(O93)*(N93-1),0)</f>
        <v/>
      </c>
      <c r="S93">
        <f>IFERROR(L93*MAX(N93,1)/R93*IF(ISBLANK(K86),1,K86),0)</f>
        <v/>
      </c>
      <c r="AB93" s="7" t="inlineStr">
        <is>
          <t>^Warhead_Tesla_Heavy</t>
        </is>
      </c>
    </row>
    <row r="94">
      <c r="B94" s="7" t="inlineStr">
        <is>
          <t xml:space="preserve">  ↳ DragunovSniper</t>
        </is>
      </c>
      <c r="C94" s="7" t="inlineStr">
        <is>
          <t>Armament@flak</t>
        </is>
      </c>
      <c r="L94" s="6" t="n">
        <v>400000</v>
      </c>
      <c r="M94" s="6" t="n">
        <v>85</v>
      </c>
      <c r="N94" s="6" t="n">
        <v>1</v>
      </c>
      <c r="O94" s="6" t="n"/>
      <c r="P94" s="6" t="n">
        <v>5804</v>
      </c>
      <c r="Q94" s="6" t="n">
        <v>1</v>
      </c>
      <c r="R94">
        <f>M94+IF(N94&gt;1,N(O94)*(N94-1),0)</f>
        <v/>
      </c>
      <c r="S94">
        <f>IFERROR(L94*MAX(N94,1)/R94*IF(ISBLANK(K86),1,K86),0)</f>
        <v/>
      </c>
      <c r="AB94" s="7" t="inlineStr">
        <is>
          <t>^TankDestroyerCannon, ^RailgunWeapon, ^LightMissile, ^HeavyCannon, ^FlakWeapon</t>
        </is>
      </c>
    </row>
    <row r="95">
      <c r="B95" s="7" t="inlineStr">
        <is>
          <t xml:space="preserve">  ↳ RA2MirageGun</t>
        </is>
      </c>
      <c r="C95" s="7" t="inlineStr">
        <is>
          <t>Armament@cannon</t>
        </is>
      </c>
      <c r="L95" s="6" t="n">
        <v>24000</v>
      </c>
      <c r="M95" s="6" t="n">
        <v>39</v>
      </c>
      <c r="N95" s="6" t="n">
        <v>1</v>
      </c>
      <c r="O95" s="6" t="n"/>
      <c r="P95" s="6" t="n">
        <v>6031</v>
      </c>
      <c r="Q95" s="6" t="n">
        <v>0.75</v>
      </c>
      <c r="R95">
        <f>M95+IF(N95&gt;1,N(O95)*(N95-1),0)</f>
        <v/>
      </c>
      <c r="S95">
        <f>IFERROR(L95*MAX(N95,1)/R95*IF(ISBLANK(K86),1,K86),0)</f>
        <v/>
      </c>
      <c r="AB95" s="7" t="inlineStr">
        <is>
          <t>^Warhead_CannonAP_Light</t>
        </is>
      </c>
    </row>
    <row r="96">
      <c r="B96" s="7" t="inlineStr">
        <is>
          <t xml:space="preserve">  ↳ Grenade</t>
        </is>
      </c>
      <c r="C96" s="7" t="inlineStr">
        <is>
          <t>Armament@grenade</t>
        </is>
      </c>
      <c r="L96" s="6" t="n">
        <v>16000</v>
      </c>
      <c r="M96" s="6" t="n">
        <v>42</v>
      </c>
      <c r="N96" s="6" t="n">
        <v>1</v>
      </c>
      <c r="O96" s="6" t="n"/>
      <c r="P96" s="6" t="n">
        <v>6097</v>
      </c>
      <c r="Q96" s="6" t="n">
        <v>0.75</v>
      </c>
      <c r="R96">
        <f>M96+IF(N96&gt;1,N(O96)*(N96-1),0)</f>
        <v/>
      </c>
      <c r="S96">
        <f>IFERROR(L96*MAX(N96,1)/R96*IF(ISBLANK(K86),1,K86),0)</f>
        <v/>
      </c>
      <c r="AB96" s="7" t="inlineStr">
        <is>
          <t>^Warhead_Demolition_Light</t>
        </is>
      </c>
    </row>
    <row r="97">
      <c r="B97" s="7" t="inlineStr">
        <is>
          <t xml:space="preserve">  ↳ DRPlasmaTankWeapon</t>
        </is>
      </c>
      <c r="C97" s="7" t="inlineStr">
        <is>
          <t>Armament@plasma</t>
        </is>
      </c>
      <c r="L97" s="6" t="n">
        <v>6250</v>
      </c>
      <c r="M97" s="6" t="n">
        <v>21</v>
      </c>
      <c r="N97" s="6" t="n">
        <v>1</v>
      </c>
      <c r="O97" s="6" t="n"/>
      <c r="P97" s="6" t="n">
        <v>5120</v>
      </c>
      <c r="Q97" s="6" t="n">
        <v>1</v>
      </c>
      <c r="R97">
        <f>M97+IF(N97&gt;1,N(O97)*(N97-1),0)</f>
        <v/>
      </c>
      <c r="S97">
        <f>IFERROR(L97*MAX(N97,1)/R97*IF(ISBLANK(K86),1,K86),0)</f>
        <v/>
      </c>
      <c r="AB97" s="7" t="inlineStr">
        <is>
          <t>^DRPlasmaWeapon</t>
        </is>
      </c>
    </row>
    <row r="98">
      <c r="B98" s="7" t="inlineStr">
        <is>
          <t xml:space="preserve">  ↳ SWLaserG</t>
        </is>
      </c>
      <c r="C98" s="7" t="inlineStr">
        <is>
          <t>Armament@litlaser</t>
        </is>
      </c>
      <c r="L98" s="6" t="n">
        <v>2000</v>
      </c>
      <c r="M98" s="6" t="n">
        <v>30</v>
      </c>
      <c r="N98" s="6" t="n">
        <v>6</v>
      </c>
      <c r="O98" s="6" t="n"/>
      <c r="P98" s="6" t="n">
        <v>6144</v>
      </c>
      <c r="Q98" s="6" t="n">
        <v>1</v>
      </c>
      <c r="R98">
        <f>M98+IF(N98&gt;1,N(O98)*(N98-1),0)</f>
        <v/>
      </c>
      <c r="S98">
        <f>IFERROR(L98*MAX(N98,1)/R98*IF(ISBLANK(K86),1,K86),0)</f>
        <v/>
      </c>
      <c r="AB98" s="7" t="inlineStr">
        <is>
          <t>SWLaser</t>
        </is>
      </c>
    </row>
    <row r="99">
      <c r="B99" s="7" t="inlineStr">
        <is>
          <t xml:space="preserve">  ↳ USALaserCannonAG</t>
        </is>
      </c>
      <c r="C99" s="7" t="inlineStr">
        <is>
          <t>Armament@medlaser</t>
        </is>
      </c>
      <c r="L99" s="6" t="n">
        <v>4000</v>
      </c>
      <c r="M99" s="6" t="n">
        <v>50</v>
      </c>
      <c r="N99" s="6" t="n">
        <v>3</v>
      </c>
      <c r="O99" s="6" t="n">
        <v>6</v>
      </c>
      <c r="P99" s="6" t="n">
        <v>7168</v>
      </c>
      <c r="Q99" s="6" t="n">
        <v>1</v>
      </c>
      <c r="R99">
        <f>M99+IF(N99&gt;1,N(O99)*(N99-1),0)</f>
        <v/>
      </c>
      <c r="S99">
        <f>IFERROR(L99*MAX(N99,1)/R99*IF(ISBLANK(K86),1,K86),0)</f>
        <v/>
      </c>
      <c r="AB99" s="7" t="inlineStr">
        <is>
          <t>^AntiGroundMissile</t>
        </is>
      </c>
    </row>
    <row r="100">
      <c r="B100" s="7" t="inlineStr">
        <is>
          <t xml:space="preserve">  ↳ SWGreenLaserG</t>
        </is>
      </c>
      <c r="C100" s="7" t="inlineStr">
        <is>
          <t>Armament@greenlaser</t>
        </is>
      </c>
      <c r="L100" s="6" t="n">
        <v>5000</v>
      </c>
      <c r="M100" s="6" t="n">
        <v>75</v>
      </c>
      <c r="N100" s="6" t="n">
        <v>1</v>
      </c>
      <c r="O100" s="6" t="n"/>
      <c r="P100" s="6" t="n">
        <v>7168</v>
      </c>
      <c r="Q100" s="6" t="n">
        <v>1</v>
      </c>
      <c r="R100">
        <f>M100+IF(N100&gt;1,N(O100)*(N100-1),0)</f>
        <v/>
      </c>
      <c r="S100">
        <f>IFERROR(L100*MAX(N100,1)/R100*IF(ISBLANK(K86),1,K86),0)</f>
        <v/>
      </c>
      <c r="AB100" s="7" t="inlineStr">
        <is>
          <t>SWGreenLaser</t>
        </is>
      </c>
    </row>
    <row r="101">
      <c r="B101" s="7" t="inlineStr">
        <is>
          <t xml:space="preserve">  ↳ SWGBigRedLaserG</t>
        </is>
      </c>
      <c r="C101" s="7" t="inlineStr">
        <is>
          <t>Armament@misslaser</t>
        </is>
      </c>
      <c r="L101" s="6" t="n">
        <v>4000</v>
      </c>
      <c r="M101" s="6" t="n">
        <v>75</v>
      </c>
      <c r="N101" s="6" t="n">
        <v>1</v>
      </c>
      <c r="O101" s="6" t="n"/>
      <c r="P101" s="6" t="n">
        <v>8192</v>
      </c>
      <c r="Q101" s="6" t="n">
        <v>1</v>
      </c>
      <c r="R101">
        <f>M101+IF(N101&gt;1,N(O101)*(N101-1),0)</f>
        <v/>
      </c>
      <c r="S101">
        <f>IFERROR(L101*MAX(N101,1)/R101*IF(ISBLANK(K86),1,K86),0)</f>
        <v/>
      </c>
      <c r="AB101" s="7" t="inlineStr">
        <is>
          <t>SWrBigRedLaser</t>
        </is>
      </c>
    </row>
    <row r="102">
      <c r="B102" s="7" t="inlineStr">
        <is>
          <t xml:space="preserve">  ↳ BigFlamer</t>
        </is>
      </c>
      <c r="C102" s="7" t="inlineStr">
        <is>
          <t>Armament@fire</t>
        </is>
      </c>
      <c r="L102" s="6" t="n">
        <v>14000</v>
      </c>
      <c r="M102" s="6" t="n">
        <v>50</v>
      </c>
      <c r="N102" s="6" t="n">
        <v>2</v>
      </c>
      <c r="O102" s="6" t="n">
        <v>10</v>
      </c>
      <c r="P102" s="6" t="n">
        <v>2390</v>
      </c>
      <c r="Q102" s="6" t="n">
        <v>1</v>
      </c>
      <c r="R102">
        <f>M102+IF(N102&gt;1,N(O102)*(N102-1),0)</f>
        <v/>
      </c>
      <c r="S102">
        <f>IFERROR(L102*MAX(N102,1)/R102*IF(ISBLANK(K86),1,K86),0)</f>
        <v/>
      </c>
      <c r="AB102" s="7" t="inlineStr">
        <is>
          <t>^Warhead_Flame_Medium</t>
        </is>
      </c>
    </row>
    <row r="103">
      <c r="B103" s="7" t="inlineStr">
        <is>
          <t xml:space="preserve">  ↳ RA2RadBeamWeapon</t>
        </is>
      </c>
      <c r="C103" s="7" t="inlineStr">
        <is>
          <t>Armament@chem</t>
        </is>
      </c>
      <c r="L103" s="6" t="n">
        <v>30000</v>
      </c>
      <c r="M103" s="6" t="n">
        <v>45</v>
      </c>
      <c r="N103" s="6" t="n">
        <v>1</v>
      </c>
      <c r="O103" s="6" t="n"/>
      <c r="P103" s="6" t="n">
        <v>6444</v>
      </c>
      <c r="Q103" s="6" t="n">
        <v>1</v>
      </c>
      <c r="R103">
        <f>M103+IF(N103&gt;1,N(O103)*(N103-1),0)</f>
        <v/>
      </c>
      <c r="S103">
        <f>IFERROR(L103*MAX(N103,1)/R103*IF(ISBLANK(K86),1,K86),0)</f>
        <v/>
      </c>
      <c r="AB103" s="7" t="inlineStr">
        <is>
          <t>^Warhead_Chemical_Medium</t>
        </is>
      </c>
    </row>
    <row r="104">
      <c r="B104" s="7" t="inlineStr">
        <is>
          <t xml:space="preserve">  ↳ RA2RadBeamWeapon</t>
        </is>
      </c>
      <c r="C104" s="7" t="inlineStr">
        <is>
          <t>Armament@thrax</t>
        </is>
      </c>
      <c r="L104" s="6" t="n">
        <v>30000</v>
      </c>
      <c r="M104" s="6" t="n">
        <v>45</v>
      </c>
      <c r="N104" s="6" t="n">
        <v>1</v>
      </c>
      <c r="O104" s="6" t="n"/>
      <c r="P104" s="6" t="n">
        <v>6444</v>
      </c>
      <c r="Q104" s="6" t="n">
        <v>1</v>
      </c>
      <c r="R104">
        <f>M104+IF(N104&gt;1,N(O104)*(N104-1),0)</f>
        <v/>
      </c>
      <c r="S104">
        <f>IFERROR(L104*MAX(N104,1)/R104*IF(ISBLANK(K86),1,K86),0)</f>
        <v/>
      </c>
      <c r="AB104" s="7" t="inlineStr">
        <is>
          <t>^Warhead_Chemical_Medium</t>
        </is>
      </c>
    </row>
    <row r="105">
      <c r="B105" s="7" t="inlineStr">
        <is>
          <t xml:space="preserve">  ↳ RA2MultiHoverMissile</t>
        </is>
      </c>
      <c r="C105" s="7" t="inlineStr">
        <is>
          <t>Armament@missile</t>
        </is>
      </c>
      <c r="L105" s="6" t="n">
        <v>4000</v>
      </c>
      <c r="M105" s="6" t="n">
        <v>20</v>
      </c>
      <c r="N105" s="6" t="n">
        <v>4</v>
      </c>
      <c r="O105" s="6" t="n"/>
      <c r="P105" s="6" t="n">
        <v>6170</v>
      </c>
      <c r="Q105" s="6" t="n">
        <v>0.875</v>
      </c>
      <c r="R105">
        <f>M105+IF(N105&gt;1,N(O105)*(N105-1),0)</f>
        <v/>
      </c>
      <c r="S105">
        <f>IFERROR(L105*MAX(N105,1)/R105*IF(ISBLANK(K86),1,K86),0)</f>
        <v/>
      </c>
      <c r="AB105" s="7" t="inlineStr">
        <is>
          <t>^Warhead_CannonHE_Medium, ^Warhead_MissileHE_Light</t>
        </is>
      </c>
    </row>
    <row r="106">
      <c r="B106" s="7" t="inlineStr">
        <is>
          <t xml:space="preserve">  ↳ IFVChronoBeam</t>
        </is>
      </c>
      <c r="C106" s="7" t="inlineStr">
        <is>
          <t>Armament@chrono</t>
        </is>
      </c>
      <c r="L106" s="6" t="n"/>
      <c r="M106" s="6" t="n">
        <v>1</v>
      </c>
      <c r="N106" s="6" t="n">
        <v>1</v>
      </c>
      <c r="O106" s="6" t="n"/>
      <c r="P106" s="6" t="n">
        <v>7500</v>
      </c>
      <c r="Q106" s="6" t="n">
        <v>1</v>
      </c>
      <c r="R106">
        <f>M106+IF(N106&gt;1,N(O106)*(N106-1),0)</f>
        <v/>
      </c>
      <c r="S106">
        <f>IFERROR(L106*MAX(N106,1)/R106*IF(ISBLANK(K86),1,K86),0)</f>
        <v/>
      </c>
      <c r="AB106" s="7" t="inlineStr">
        <is>
          <t>ChronoBeam</t>
        </is>
      </c>
    </row>
    <row r="107">
      <c r="B107" s="7" t="inlineStr">
        <is>
          <t xml:space="preserve">  ↳ IFVChronoSound</t>
        </is>
      </c>
      <c r="C107" s="7" t="inlineStr">
        <is>
          <t>Armament@chronosound</t>
        </is>
      </c>
      <c r="L107" s="6" t="n"/>
      <c r="M107" s="6" t="n">
        <v>180</v>
      </c>
      <c r="N107" s="6" t="n">
        <v>1</v>
      </c>
      <c r="O107" s="6" t="n"/>
      <c r="P107" s="6" t="n">
        <v>8000</v>
      </c>
      <c r="Q107" s="6" t="n">
        <v>1</v>
      </c>
      <c r="R107">
        <f>M107+IF(N107&gt;1,N(O107)*(N107-1),0)</f>
        <v/>
      </c>
      <c r="S107">
        <f>IFERROR(L107*MAX(N107,1)/R107*IF(ISBLANK(K86),1,K86),0)</f>
        <v/>
      </c>
      <c r="AB107" s="7" t="inlineStr">
        <is>
          <t>RA2ChronoTele</t>
        </is>
      </c>
    </row>
    <row r="108">
      <c r="B108" s="7" t="inlineStr">
        <is>
          <t xml:space="preserve">  ↳ DemoTruckTargeting</t>
        </is>
      </c>
      <c r="C108" s="7" t="inlineStr">
        <is>
          <t>Armament@ivan</t>
        </is>
      </c>
      <c r="L108" s="6" t="n"/>
      <c r="M108" s="6" t="n"/>
      <c r="N108" s="6" t="n">
        <v>1</v>
      </c>
      <c r="O108" s="6" t="n"/>
      <c r="P108" s="6" t="n">
        <v>2000</v>
      </c>
      <c r="Q108" s="6" t="n">
        <v>1</v>
      </c>
      <c r="R108">
        <f>M108+IF(N108&gt;1,N(O108)*(N108-1),0)</f>
        <v/>
      </c>
      <c r="S108">
        <f>IFERROR(L108*MAX(N108,1)/R108*IF(ISBLANK(K86),1,K86),0)</f>
        <v/>
      </c>
      <c r="AB108" s="7" t="inlineStr"/>
    </row>
    <row r="109">
      <c r="B109" s="7" t="inlineStr">
        <is>
          <t xml:space="preserve">  ↳ Fremen_L</t>
        </is>
      </c>
      <c r="C109" s="7" t="inlineStr">
        <is>
          <t>Armament@fremen</t>
        </is>
      </c>
      <c r="L109" s="6" t="n">
        <v>3000</v>
      </c>
      <c r="M109" s="6" t="n">
        <v>25</v>
      </c>
      <c r="N109" s="6" t="n">
        <v>1</v>
      </c>
      <c r="O109" s="6" t="n"/>
      <c r="P109" s="6" t="n">
        <v>2560</v>
      </c>
      <c r="Q109" s="6" t="n">
        <v>1</v>
      </c>
      <c r="R109">
        <f>M109+IF(N109&gt;1,N(O109)*(N109-1),0)</f>
        <v/>
      </c>
      <c r="S109">
        <f>IFERROR(L109*MAX(N109,1)/R109*IF(ISBLANK(K86),1,K86),0)</f>
        <v/>
      </c>
      <c r="AB109" s="7" t="inlineStr">
        <is>
          <t>M_HMG</t>
        </is>
      </c>
    </row>
    <row r="110">
      <c r="B110" s="7" t="inlineStr">
        <is>
          <t xml:space="preserve">  ↳ TSSonicZap</t>
        </is>
      </c>
      <c r="C110" s="7" t="inlineStr">
        <is>
          <t>Armament@sonic</t>
        </is>
      </c>
      <c r="L110" s="6" t="n">
        <v>5000</v>
      </c>
      <c r="M110" s="6" t="n">
        <v>60</v>
      </c>
      <c r="N110" s="6" t="n">
        <v>1</v>
      </c>
      <c r="O110" s="6" t="n"/>
      <c r="P110" s="6" t="n">
        <v>6144</v>
      </c>
      <c r="Q110" s="6" t="n">
        <v>1</v>
      </c>
      <c r="R110">
        <f>M110+IF(N110&gt;1,N(O110)*(N110-1),0)</f>
        <v/>
      </c>
      <c r="S110">
        <f>IFERROR(L110*MAX(N110,1)/R110*IF(ISBLANK(K86),1,K86),0)</f>
        <v/>
      </c>
      <c r="AB110" s="7" t="inlineStr"/>
    </row>
    <row r="111">
      <c r="B111" s="7" t="inlineStr">
        <is>
          <t xml:space="preserve">  ↳ MedicHeal</t>
        </is>
      </c>
      <c r="C111" s="7" t="inlineStr">
        <is>
          <t>Armament@heal</t>
        </is>
      </c>
      <c r="L111" s="6" t="n">
        <v>-3000</v>
      </c>
      <c r="M111" s="6" t="n">
        <v>10</v>
      </c>
      <c r="N111" s="6" t="n">
        <v>1</v>
      </c>
      <c r="O111" s="6" t="n"/>
      <c r="P111" s="6" t="n">
        <v>6000</v>
      </c>
      <c r="Q111" s="6" t="n">
        <v>1</v>
      </c>
      <c r="R111">
        <f>M111+IF(N111&gt;1,N(O111)*(N111-1),0)</f>
        <v/>
      </c>
      <c r="S111">
        <f>IFERROR(L111*MAX(N111,1)/R111*IF(ISBLANK(K86),1,K86),0)</f>
        <v/>
      </c>
      <c r="AB111" s="7" t="inlineStr">
        <is>
          <t>^HealingWeapon</t>
        </is>
      </c>
    </row>
    <row r="112">
      <c r="B112" s="7" t="inlineStr">
        <is>
          <t xml:space="preserve">  ↳ RA2HoverMissile</t>
        </is>
      </c>
      <c r="C112" s="7" t="inlineStr">
        <is>
          <t>Armament@primary</t>
        </is>
      </c>
      <c r="L112" s="6" t="n">
        <v>12000</v>
      </c>
      <c r="M112" s="6" t="n">
        <v>28</v>
      </c>
      <c r="N112" s="6" t="n">
        <v>2</v>
      </c>
      <c r="O112" s="6" t="n">
        <v>4</v>
      </c>
      <c r="P112" s="6" t="n">
        <v>5760</v>
      </c>
      <c r="Q112" s="6" t="n">
        <v>0.75</v>
      </c>
      <c r="R112">
        <f>M112+IF(N112&gt;1,N(O112)*(N112-1),0)</f>
        <v/>
      </c>
      <c r="S112">
        <f>IFERROR(L112*MAX(N112,1)/R112*IF(ISBLANK(K86),1,K86),0)</f>
        <v/>
      </c>
      <c r="AB112" s="7" t="inlineStr">
        <is>
          <t>^Warhead_Arrow_Light, ^Warhead_MissileAP_Light</t>
        </is>
      </c>
    </row>
    <row r="113">
      <c r="B113" s="7" t="inlineStr">
        <is>
          <t xml:space="preserve">  ↳ RA2HoverMissile_elite</t>
        </is>
      </c>
      <c r="C113" s="7" t="inlineStr">
        <is>
          <t>Armament@primaryelite</t>
        </is>
      </c>
      <c r="L113" s="6" t="n">
        <v>12000</v>
      </c>
      <c r="M113" s="6" t="n">
        <v>28</v>
      </c>
      <c r="N113" s="6" t="n">
        <v>4</v>
      </c>
      <c r="O113" s="6" t="n">
        <v>4</v>
      </c>
      <c r="P113" s="6" t="n">
        <v>6760</v>
      </c>
      <c r="Q113" s="6" t="n">
        <v>0.75</v>
      </c>
      <c r="R113">
        <f>M113+IF(N113&gt;1,N(O113)*(N113-1),0)</f>
        <v/>
      </c>
      <c r="S113">
        <f>IFERROR(L113*MAX(N113,1)/R113*IF(ISBLANK(K86),1,K86),0)</f>
        <v/>
      </c>
      <c r="AB113" s="7" t="inlineStr">
        <is>
          <t>^Warhead_Arrow_Light, ^Warhead_MissileAP_Light</t>
        </is>
      </c>
    </row>
    <row r="114">
      <c r="B114" s="7" t="inlineStr">
        <is>
          <t xml:space="preserve">  ↳ RA2HoverMissile_AA</t>
        </is>
      </c>
      <c r="C114" s="7" t="inlineStr">
        <is>
          <t>Armament@primaryAA</t>
        </is>
      </c>
      <c r="L114" s="6" t="n">
        <v>12000</v>
      </c>
      <c r="M114" s="6" t="n">
        <v>28</v>
      </c>
      <c r="N114" s="6" t="n">
        <v>2</v>
      </c>
      <c r="O114" s="6" t="n">
        <v>4</v>
      </c>
      <c r="P114" s="6" t="n">
        <v>8640</v>
      </c>
      <c r="Q114" s="6" t="n">
        <v>0.75</v>
      </c>
      <c r="R114">
        <f>M114+IF(N114&gt;1,N(O114)*(N114-1),0)</f>
        <v/>
      </c>
      <c r="S114">
        <f>IFERROR(L114*MAX(N114,1)/R114*IF(ISBLANK(K86),1,K86),0)</f>
        <v/>
      </c>
      <c r="AB114" s="7" t="inlineStr">
        <is>
          <t>^Warhead_Arrow_Light, ^Warhead_MissileAP_Light</t>
        </is>
      </c>
    </row>
    <row r="115">
      <c r="B115" s="7" t="inlineStr">
        <is>
          <t xml:space="preserve">  ↳ RA2HoverMissile_AA_elite</t>
        </is>
      </c>
      <c r="C115" s="7" t="inlineStr">
        <is>
          <t>Armament@primaryeliteAA</t>
        </is>
      </c>
      <c r="L115" s="6" t="n">
        <v>12000</v>
      </c>
      <c r="M115" s="6" t="n">
        <v>28</v>
      </c>
      <c r="N115" s="6" t="n">
        <v>4</v>
      </c>
      <c r="O115" s="6" t="n">
        <v>4</v>
      </c>
      <c r="P115" s="6" t="n">
        <v>9640</v>
      </c>
      <c r="Q115" s="6" t="n">
        <v>0.75</v>
      </c>
      <c r="R115">
        <f>M115+IF(N115&gt;1,N(O115)*(N115-1),0)</f>
        <v/>
      </c>
      <c r="S115">
        <f>IFERROR(L115*MAX(N115,1)/R115*IF(ISBLANK(K86),1,K86),0)</f>
        <v/>
      </c>
      <c r="AB115" s="7" t="inlineStr">
        <is>
          <t>^Warhead_Arrow_Light, ^Warhead_MissileAP_Light</t>
        </is>
      </c>
    </row>
    <row r="116">
      <c r="B116" s="7" t="inlineStr">
        <is>
          <t xml:space="preserve">  ↳ RA2ThunderboltMissile</t>
        </is>
      </c>
      <c r="C116" s="7" t="inlineStr">
        <is>
          <t>Armament@primaryThunderbolt</t>
        </is>
      </c>
      <c r="L116" s="6" t="n">
        <v>4000</v>
      </c>
      <c r="M116" s="6" t="n">
        <v>25</v>
      </c>
      <c r="N116" s="6" t="n">
        <v>1</v>
      </c>
      <c r="O116" s="6" t="n"/>
      <c r="P116" s="6" t="n">
        <v>5120</v>
      </c>
      <c r="Q116" s="6" t="n">
        <v>1</v>
      </c>
      <c r="R116">
        <f>M116+IF(N116&gt;1,N(O116)*(N116-1),0)</f>
        <v/>
      </c>
      <c r="S116">
        <f>IFERROR(L116*MAX(N116,1)/R116*IF(ISBLANK(K86),1,K86),0)</f>
        <v/>
      </c>
      <c r="AB116" s="7" t="inlineStr">
        <is>
          <t>^Warhead_MissileHE_Heavy, ^Warhead_MissileHE_Light</t>
        </is>
      </c>
    </row>
    <row r="117">
      <c r="B117" s="7" t="inlineStr">
        <is>
          <t xml:space="preserve">  ↳ RA2ThunderboltMissile_elite</t>
        </is>
      </c>
      <c r="C117" s="7" t="inlineStr">
        <is>
          <t>Armament@primaryeliteThunderbolt</t>
        </is>
      </c>
      <c r="L117" s="6" t="n">
        <v>4000</v>
      </c>
      <c r="M117" s="6" t="n">
        <v>25</v>
      </c>
      <c r="N117" s="6" t="n">
        <v>4</v>
      </c>
      <c r="O117" s="6" t="n"/>
      <c r="P117" s="6" t="n">
        <v>6760</v>
      </c>
      <c r="Q117" s="6" t="n">
        <v>1</v>
      </c>
      <c r="R117">
        <f>M117+IF(N117&gt;1,N(O117)*(N117-1),0)</f>
        <v/>
      </c>
      <c r="S117">
        <f>IFERROR(L117*MAX(N117,1)/R117*IF(ISBLANK(K86),1,K86),0)</f>
        <v/>
      </c>
      <c r="AB117" s="7" t="inlineStr">
        <is>
          <t>^Warhead_MissileHE_Heavy, ^Warhead_MissileHE_Light</t>
        </is>
      </c>
    </row>
    <row r="118">
      <c r="B118" s="7" t="inlineStr">
        <is>
          <t xml:space="preserve">  ↳ RA2ThunderboltMissile_AA</t>
        </is>
      </c>
      <c r="C118" s="7" t="inlineStr">
        <is>
          <t>Armament@primaryAAThunderbolt</t>
        </is>
      </c>
      <c r="L118" s="6" t="n">
        <v>4000</v>
      </c>
      <c r="M118" s="6" t="n">
        <v>25</v>
      </c>
      <c r="N118" s="6" t="n">
        <v>1</v>
      </c>
      <c r="O118" s="6" t="n"/>
      <c r="P118" s="6" t="n">
        <v>8640</v>
      </c>
      <c r="Q118" s="6" t="n">
        <v>1</v>
      </c>
      <c r="R118">
        <f>M118+IF(N118&gt;1,N(O118)*(N118-1),0)</f>
        <v/>
      </c>
      <c r="S118">
        <f>IFERROR(L118*MAX(N118,1)/R118*IF(ISBLANK(K86),1,K86),0)</f>
        <v/>
      </c>
      <c r="AB118" s="7" t="inlineStr">
        <is>
          <t>^Warhead_MissileHE_Heavy, ^Warhead_MissileHE_Light</t>
        </is>
      </c>
    </row>
    <row r="119">
      <c r="B119" s="7" t="inlineStr">
        <is>
          <t xml:space="preserve">  ↳ RA2ThunderboltMissile_AA_elite</t>
        </is>
      </c>
      <c r="C119" s="7" t="inlineStr">
        <is>
          <t>Armament@primaryeliteAAThunderbolt</t>
        </is>
      </c>
      <c r="L119" s="6" t="n">
        <v>4000</v>
      </c>
      <c r="M119" s="6" t="n">
        <v>25</v>
      </c>
      <c r="N119" s="6" t="n">
        <v>4</v>
      </c>
      <c r="O119" s="6" t="n"/>
      <c r="P119" s="6" t="n">
        <v>9640</v>
      </c>
      <c r="Q119" s="6" t="n">
        <v>1</v>
      </c>
      <c r="R119">
        <f>M119+IF(N119&gt;1,N(O119)*(N119-1),0)</f>
        <v/>
      </c>
      <c r="S119">
        <f>IFERROR(L119*MAX(N119,1)/R119*IF(ISBLANK(K86),1,K86),0)</f>
        <v/>
      </c>
      <c r="AB119" s="7" t="inlineStr">
        <is>
          <t>^Warhead_MissileHE_Heavy, ^Warhead_MissileHE_Light</t>
        </is>
      </c>
    </row>
    <row r="120">
      <c r="B120" s="7" t="inlineStr">
        <is>
          <t xml:space="preserve">  ↳ RA2MultiHoverMissile_elite</t>
        </is>
      </c>
      <c r="C120" s="7" t="inlineStr">
        <is>
          <t>Armament@missileelite</t>
        </is>
      </c>
      <c r="L120" s="6" t="n">
        <v>4000</v>
      </c>
      <c r="M120" s="6" t="n">
        <v>20</v>
      </c>
      <c r="N120" s="6" t="n">
        <v>4</v>
      </c>
      <c r="O120" s="6" t="n"/>
      <c r="P120" s="6" t="n">
        <v>7170</v>
      </c>
      <c r="Q120" s="6" t="n">
        <v>0.875</v>
      </c>
      <c r="R120">
        <f>M120+IF(N120&gt;1,N(O120)*(N120-1),0)</f>
        <v/>
      </c>
      <c r="S120">
        <f>IFERROR(L120*MAX(N120,1)/R120*IF(ISBLANK(K86),1,K86),0)</f>
        <v/>
      </c>
      <c r="AB120" s="7" t="inlineStr">
        <is>
          <t>^Warhead_CannonHE_Medium, ^Warhead_MissileHE_Light</t>
        </is>
      </c>
    </row>
    <row r="121">
      <c r="B121" s="7" t="inlineStr">
        <is>
          <t xml:space="preserve">  ↳ RA2MultiHoverMissile_AA</t>
        </is>
      </c>
      <c r="C121" s="7" t="inlineStr">
        <is>
          <t>Armament@missileAA</t>
        </is>
      </c>
      <c r="L121" s="6" t="n">
        <v>4000</v>
      </c>
      <c r="M121" s="6" t="n">
        <v>20</v>
      </c>
      <c r="N121" s="6" t="n">
        <v>4</v>
      </c>
      <c r="O121" s="6" t="n"/>
      <c r="P121" s="6" t="n">
        <v>9255</v>
      </c>
      <c r="Q121" s="6" t="n">
        <v>0.875</v>
      </c>
      <c r="R121">
        <f>M121+IF(N121&gt;1,N(O121)*(N121-1),0)</f>
        <v/>
      </c>
      <c r="S121">
        <f>IFERROR(L121*MAX(N121,1)/R121*IF(ISBLANK(K86),1,K86),0)</f>
        <v/>
      </c>
      <c r="AB121" s="7" t="inlineStr">
        <is>
          <t>^Warhead_CannonHE_Medium, ^Warhead_MissileHE_Light</t>
        </is>
      </c>
    </row>
    <row r="122">
      <c r="B122" s="7" t="inlineStr">
        <is>
          <t xml:space="preserve">  ↳ RA2MultiHoverMissile_AA_elite</t>
        </is>
      </c>
      <c r="C122" s="7" t="inlineStr">
        <is>
          <t>Armament@missileeliteAA</t>
        </is>
      </c>
      <c r="L122" s="6" t="n">
        <v>4000</v>
      </c>
      <c r="M122" s="6" t="n">
        <v>20</v>
      </c>
      <c r="N122" s="6" t="n">
        <v>4</v>
      </c>
      <c r="O122" s="6" t="n"/>
      <c r="P122" s="6" t="n">
        <v>10255</v>
      </c>
      <c r="Q122" s="6" t="n">
        <v>0.875</v>
      </c>
      <c r="R122">
        <f>M122+IF(N122&gt;1,N(O122)*(N122-1),0)</f>
        <v/>
      </c>
      <c r="S122">
        <f>IFERROR(L122*MAX(N122,1)/R122*IF(ISBLANK(K86),1,K86),0)</f>
        <v/>
      </c>
      <c r="AB122" s="7" t="inlineStr">
        <is>
          <t>^Warhead_CannonHE_Medium, ^Warhead_MissileHE_Light</t>
        </is>
      </c>
    </row>
    <row r="123">
      <c r="B123" s="7" t="inlineStr">
        <is>
          <t xml:space="preserve">  ↳ RA2MultiThunderboltMissile</t>
        </is>
      </c>
      <c r="C123" s="7" t="inlineStr">
        <is>
          <t>Armament@missileThunderbolt</t>
        </is>
      </c>
      <c r="L123" s="6" t="n">
        <v>4000</v>
      </c>
      <c r="M123" s="6" t="n">
        <v>25</v>
      </c>
      <c r="N123" s="6" t="n">
        <v>1</v>
      </c>
      <c r="O123" s="6" t="n"/>
      <c r="P123" s="6" t="n">
        <v>5120</v>
      </c>
      <c r="Q123" s="6" t="n">
        <v>1</v>
      </c>
      <c r="R123">
        <f>M123+IF(N123&gt;1,N(O123)*(N123-1),0)</f>
        <v/>
      </c>
      <c r="S123">
        <f>IFERROR(L123*MAX(N123,1)/R123*IF(ISBLANK(K86),1,K86),0)</f>
        <v/>
      </c>
      <c r="AB123" s="7" t="inlineStr">
        <is>
          <t>^Warhead_MissileHE_Heavy, ^Warhead_MissileHE_Light</t>
        </is>
      </c>
    </row>
    <row r="124">
      <c r="B124" s="7" t="inlineStr">
        <is>
          <t xml:space="preserve">  ↳ RA2MultiThunderboltMissile_elite</t>
        </is>
      </c>
      <c r="C124" s="7" t="inlineStr">
        <is>
          <t>Armament@missileeliteThunderbolt</t>
        </is>
      </c>
      <c r="L124" s="6" t="n">
        <v>4000</v>
      </c>
      <c r="M124" s="6" t="n">
        <v>25</v>
      </c>
      <c r="N124" s="6" t="n">
        <v>4</v>
      </c>
      <c r="O124" s="6" t="n"/>
      <c r="P124" s="6" t="n">
        <v>7170</v>
      </c>
      <c r="Q124" s="6" t="n">
        <v>1</v>
      </c>
      <c r="R124">
        <f>M124+IF(N124&gt;1,N(O124)*(N124-1),0)</f>
        <v/>
      </c>
      <c r="S124">
        <f>IFERROR(L124*MAX(N124,1)/R124*IF(ISBLANK(K86),1,K86),0)</f>
        <v/>
      </c>
      <c r="AB124" s="7" t="inlineStr">
        <is>
          <t>^Warhead_MissileHE_Heavy, ^Warhead_MissileHE_Light</t>
        </is>
      </c>
    </row>
    <row r="125">
      <c r="B125" s="7" t="inlineStr">
        <is>
          <t xml:space="preserve">  ↳ RA2MultiThunderboltMissile_AA</t>
        </is>
      </c>
      <c r="C125" s="7" t="inlineStr">
        <is>
          <t>Armament@missileAAThunderbolt</t>
        </is>
      </c>
      <c r="L125" s="6" t="n">
        <v>4000</v>
      </c>
      <c r="M125" s="6" t="n">
        <v>25</v>
      </c>
      <c r="N125" s="6" t="n">
        <v>1</v>
      </c>
      <c r="O125" s="6" t="n"/>
      <c r="P125" s="6" t="n">
        <v>9255</v>
      </c>
      <c r="Q125" s="6" t="n">
        <v>1</v>
      </c>
      <c r="R125">
        <f>M125+IF(N125&gt;1,N(O125)*(N125-1),0)</f>
        <v/>
      </c>
      <c r="S125">
        <f>IFERROR(L125*MAX(N125,1)/R125*IF(ISBLANK(K86),1,K86),0)</f>
        <v/>
      </c>
      <c r="AB125" s="7" t="inlineStr">
        <is>
          <t>^Warhead_MissileHE_Heavy, ^Warhead_MissileHE_Light</t>
        </is>
      </c>
    </row>
    <row r="126">
      <c r="B126" s="7" t="inlineStr">
        <is>
          <t xml:space="preserve">  ↳ RA2MultiThunderboltMissile_AA_elite</t>
        </is>
      </c>
      <c r="C126" s="7" t="inlineStr">
        <is>
          <t>Armament@missileeliteAAThunderbolt</t>
        </is>
      </c>
      <c r="L126" s="6" t="n">
        <v>4000</v>
      </c>
      <c r="M126" s="6" t="n">
        <v>25</v>
      </c>
      <c r="N126" s="6" t="n">
        <v>4</v>
      </c>
      <c r="O126" s="6" t="n"/>
      <c r="P126" s="6" t="n">
        <v>10255</v>
      </c>
      <c r="Q126" s="6" t="n">
        <v>1</v>
      </c>
      <c r="R126">
        <f>M126+IF(N126&gt;1,N(O126)*(N126-1),0)</f>
        <v/>
      </c>
      <c r="S126">
        <f>IFERROR(L126*MAX(N126,1)/R126*IF(ISBLANK(K86),1,K86),0)</f>
        <v/>
      </c>
      <c r="AB126" s="7" t="inlineStr">
        <is>
          <t>^Warhead_MissileHE_Heavy, ^Warhead_MissileHE_Light</t>
        </is>
      </c>
    </row>
    <row r="127">
      <c r="B127" s="7" t="inlineStr">
        <is>
          <t xml:space="preserve">  ↳ MedicHeal</t>
        </is>
      </c>
      <c r="C127" s="7" t="inlineStr">
        <is>
          <t>Armament@healer</t>
        </is>
      </c>
      <c r="L127" s="6" t="n">
        <v>-3000</v>
      </c>
      <c r="M127" s="6" t="n">
        <v>10</v>
      </c>
      <c r="N127" s="6" t="n">
        <v>1</v>
      </c>
      <c r="O127" s="6" t="n"/>
      <c r="P127" s="6" t="n">
        <v>6000</v>
      </c>
      <c r="Q127" s="6" t="n">
        <v>1</v>
      </c>
      <c r="R127">
        <f>M127+IF(N127&gt;1,N(O127)*(N127-1),0)</f>
        <v/>
      </c>
      <c r="S127">
        <f>IFERROR(L127*MAX(N127,1)/R127*IF(ISBLANK(K86),1,K86),0)</f>
        <v/>
      </c>
      <c r="AB127" s="7" t="inlineStr">
        <is>
          <t>^HealingWeapon</t>
        </is>
      </c>
    </row>
    <row r="128">
      <c r="B128" s="7" t="inlineStr">
        <is>
          <t xml:space="preserve">  ↳ RA2AWP</t>
        </is>
      </c>
      <c r="C128" s="7" t="inlineStr">
        <is>
          <t>Armament@ra1_allies_alliedsniper</t>
        </is>
      </c>
      <c r="L128" s="6" t="n">
        <v>44000</v>
      </c>
      <c r="M128" s="6" t="n">
        <v>54</v>
      </c>
      <c r="N128" s="6" t="n">
        <v>1</v>
      </c>
      <c r="O128" s="6" t="n"/>
      <c r="P128" s="6" t="n">
        <v>10000</v>
      </c>
      <c r="Q128" s="6" t="n">
        <v>0.75</v>
      </c>
      <c r="R128">
        <f>M128+IF(N128&gt;1,N(O128)*(N128-1),0)</f>
        <v/>
      </c>
      <c r="S128">
        <f>IFERROR(L128*MAX(N128,1)/R128*IF(ISBLANK(K86),1,K86),0)</f>
        <v/>
      </c>
      <c r="AB128" s="7" t="inlineStr">
        <is>
          <t>^Warhead_Sniper_Light</t>
        </is>
      </c>
    </row>
    <row r="129">
      <c r="A129" s="4" t="inlineStr">
        <is>
          <t>AIRCRAFT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t="inlineStr">
        <is>
          <t>redalert2mod</t>
        </is>
      </c>
      <c r="B130" t="inlineStr">
        <is>
          <t>futuretech_cryocopter</t>
        </is>
      </c>
      <c r="C130" t="inlineStr">
        <is>
          <t>Cryocopter</t>
        </is>
      </c>
      <c r="D130" s="6" t="inlineStr">
        <is>
          <t>Helicopter</t>
        </is>
      </c>
      <c r="E130" s="6" t="n">
        <v>90000</v>
      </c>
      <c r="F130" s="6" t="n">
        <v>125</v>
      </c>
      <c r="G130" t="inlineStr">
        <is>
          <t>Helicopter</t>
        </is>
      </c>
      <c r="H130" s="6" t="n">
        <v>0.75</v>
      </c>
      <c r="I130" s="6" t="n">
        <v>1</v>
      </c>
      <c r="J130" s="6" t="n">
        <v>1.5</v>
      </c>
      <c r="K130" s="6" t="n">
        <v>0.0012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900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Future_Cryocopter_Rocket</t>
        </is>
      </c>
      <c r="C131" s="7" t="inlineStr">
        <is>
          <t>Armament@Rocket</t>
        </is>
      </c>
      <c r="L131" s="6" t="n">
        <v>48000</v>
      </c>
      <c r="M131" s="6" t="n">
        <v>60</v>
      </c>
      <c r="N131" s="6" t="n">
        <v>2</v>
      </c>
      <c r="O131" s="6" t="n">
        <v>4</v>
      </c>
      <c r="P131" s="6" t="n">
        <v>5200</v>
      </c>
      <c r="Q131" s="6" t="n">
        <v>1.125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^Warhead_MissileAP_Heavy, ^Warhead_MissileAP_Medium</t>
        </is>
      </c>
    </row>
    <row r="132">
      <c r="B132" s="7" t="inlineStr">
        <is>
          <t xml:space="preserve">  ↳ Future_Cryocopter_Cryo</t>
        </is>
      </c>
      <c r="C132" s="7" t="inlineStr">
        <is>
          <t>Armament@PRIMARY</t>
        </is>
      </c>
      <c r="L132" s="6" t="n">
        <v>11000</v>
      </c>
      <c r="M132" s="6" t="n">
        <v>8</v>
      </c>
      <c r="N132" s="6" t="n">
        <v>1</v>
      </c>
      <c r="O132" s="6" t="n"/>
      <c r="P132" s="6" t="n">
        <v>5200</v>
      </c>
      <c r="Q132" s="6" t="n">
        <v>1</v>
      </c>
      <c r="R132">
        <f>M132+IF(N132&gt;1,N(O132)*(N132-1),0)</f>
        <v/>
      </c>
      <c r="S132">
        <f>IFERROR(L132*MAX(N132,1)/R132*IF(ISBLANK(K130),1,K130),0)</f>
        <v/>
      </c>
      <c r="AB132" s="7" t="inlineStr">
        <is>
          <t>^LightMissile, ^SmallArms, ^Chaingun, ^FlakWeapon, ^TeslaWeapon, ^LaserWeapon</t>
        </is>
      </c>
    </row>
    <row r="133">
      <c r="A133" t="inlineStr">
        <is>
          <t>redalert2mod</t>
        </is>
      </c>
      <c r="B133" t="inlineStr">
        <is>
          <t>futuretech_harbingergunship</t>
        </is>
      </c>
      <c r="C133" t="inlineStr">
        <is>
          <t>Harbinger Gunship</t>
        </is>
      </c>
      <c r="D133" s="6" t="inlineStr">
        <is>
          <t>Spaceship</t>
        </is>
      </c>
      <c r="E133" s="6" t="n">
        <v>400000</v>
      </c>
      <c r="F133" s="6" t="n">
        <v>125</v>
      </c>
      <c r="G133" t="inlineStr">
        <is>
          <t>Spaceship</t>
        </is>
      </c>
      <c r="H133" s="6" t="n">
        <v>0.289</v>
      </c>
      <c r="I133" s="6" t="n">
        <v>1</v>
      </c>
      <c r="J133" s="6" t="n">
        <v>1</v>
      </c>
      <c r="K133" s="6" t="n">
        <v>0.005</v>
      </c>
      <c r="P133">
        <f>MAX(P134,P135,P136,P137)</f>
        <v/>
      </c>
      <c r="S133">
        <f>S134+S135+S136+S137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10000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FutureHarbingerCannon</t>
        </is>
      </c>
      <c r="C134" s="7" t="inlineStr">
        <is>
          <t>Armament@PRIMARY</t>
        </is>
      </c>
      <c r="L134" s="6" t="n">
        <v>40000</v>
      </c>
      <c r="M134" s="6" t="n">
        <v>70</v>
      </c>
      <c r="N134" s="6" t="n">
        <v>2</v>
      </c>
      <c r="O134" s="6" t="n">
        <v>5</v>
      </c>
      <c r="P134" s="6" t="n">
        <v>6030</v>
      </c>
      <c r="Q134" s="6" t="n">
        <v>1.25</v>
      </c>
      <c r="R134">
        <f>M134+IF(N134&gt;1,N(O134)*(N134-1),0)</f>
        <v/>
      </c>
      <c r="S134">
        <f>IFERROR(L134*MAX(N134,1)/R134*IF(ISBLANK(K133),1,K133),0)</f>
        <v/>
      </c>
      <c r="AB134" s="7" t="inlineStr">
        <is>
          <t>^Warhead_CannonHE_Heavy</t>
        </is>
      </c>
    </row>
    <row r="135">
      <c r="B135" s="7" t="inlineStr">
        <is>
          <t xml:space="preserve">  ↳ FutureHarbingerCannon_elite</t>
        </is>
      </c>
      <c r="C135" s="7" t="inlineStr">
        <is>
          <t>Armament@PRIMARYELITE</t>
        </is>
      </c>
      <c r="L135" s="6" t="n">
        <v>40000</v>
      </c>
      <c r="M135" s="6" t="n">
        <v>70</v>
      </c>
      <c r="N135" s="6" t="n">
        <v>4</v>
      </c>
      <c r="O135" s="6" t="n">
        <v>5</v>
      </c>
      <c r="P135" s="6" t="n">
        <v>7030</v>
      </c>
      <c r="Q135" s="6" t="n">
        <v>1.25</v>
      </c>
      <c r="R135">
        <f>M135+IF(N135&gt;1,N(O135)*(N135-1),0)</f>
        <v/>
      </c>
      <c r="S135">
        <f>IFERROR(L135*MAX(N135,1)/R135*IF(ISBLANK(K133),1,K133),0)</f>
        <v/>
      </c>
      <c r="AB135" s="7" t="inlineStr">
        <is>
          <t>^Warhead_CannonHE_Heavy</t>
        </is>
      </c>
    </row>
    <row r="136">
      <c r="B136" s="7" t="inlineStr">
        <is>
          <t xml:space="preserve">  ↳ HarbingerChainguns</t>
        </is>
      </c>
      <c r="C136" s="7" t="inlineStr">
        <is>
          <t>Armament@AA</t>
        </is>
      </c>
      <c r="L136" s="6" t="n">
        <v>12000</v>
      </c>
      <c r="M136" s="6" t="n">
        <v>9</v>
      </c>
      <c r="N136" s="6" t="n">
        <v>1</v>
      </c>
      <c r="O136" s="6" t="n"/>
      <c r="P136" s="6" t="n">
        <v>6030</v>
      </c>
      <c r="Q136" s="6" t="n">
        <v>1</v>
      </c>
      <c r="R136">
        <f>M136+IF(N136&gt;1,N(O136)*(N136-1),0)</f>
        <v/>
      </c>
      <c r="S136">
        <f>IFERROR(L136*MAX(N136,1)/R136*IF(ISBLANK(K133),1,K133),0)</f>
        <v/>
      </c>
      <c r="AB136" s="7" t="inlineStr">
        <is>
          <t>^Warhead_Flak_Medium</t>
        </is>
      </c>
    </row>
    <row r="137">
      <c r="B137" s="7" t="inlineStr">
        <is>
          <t xml:space="preserve">  ↳ HarbingerChainguns_elite</t>
        </is>
      </c>
      <c r="C137" s="7" t="inlineStr">
        <is>
          <t>Armament@AAELITE</t>
        </is>
      </c>
      <c r="L137" s="6" t="n">
        <v>12000</v>
      </c>
      <c r="M137" s="6" t="n">
        <v>9</v>
      </c>
      <c r="N137" s="6" t="n">
        <v>2</v>
      </c>
      <c r="O137" s="6" t="n">
        <v>1</v>
      </c>
      <c r="P137" s="6" t="n">
        <v>7030</v>
      </c>
      <c r="Q137" s="6" t="n">
        <v>1</v>
      </c>
      <c r="R137">
        <f>M137+IF(N137&gt;1,N(O137)*(N137-1),0)</f>
        <v/>
      </c>
      <c r="S137">
        <f>IFERROR(L137*MAX(N137,1)/R137*IF(ISBLANK(K133),1,K133),0)</f>
        <v/>
      </c>
      <c r="AB137" s="7" t="inlineStr">
        <is>
          <t>^Warhead_Flak_Medium</t>
        </is>
      </c>
    </row>
    <row r="138">
      <c r="A138" t="inlineStr">
        <is>
          <t>redalert2mod</t>
        </is>
      </c>
      <c r="B138" t="inlineStr">
        <is>
          <t>futuretech_twister</t>
        </is>
      </c>
      <c r="C138" t="inlineStr">
        <is>
          <t>Twister</t>
        </is>
      </c>
      <c r="D138" s="6" t="inlineStr">
        <is>
          <t>Fighter</t>
        </is>
      </c>
      <c r="E138" s="6" t="n">
        <v>50000</v>
      </c>
      <c r="F138" s="6" t="n">
        <v>150</v>
      </c>
      <c r="G138" t="inlineStr">
        <is>
          <t>Fighter</t>
        </is>
      </c>
      <c r="H138" s="6" t="n">
        <v>0.514</v>
      </c>
      <c r="I138" s="6" t="n">
        <v>1</v>
      </c>
      <c r="J138" s="6" t="n">
        <v>1</v>
      </c>
      <c r="K138" s="6" t="n"/>
      <c r="P138">
        <f>MAX(P139,P140)</f>
        <v/>
      </c>
      <c r="S138">
        <f>S139+S140</f>
        <v/>
      </c>
      <c r="T138">
        <f>(E138/100000+F138/100+(P138/1000)*J138/5+S138/200)*200*I138*H138</f>
        <v/>
      </c>
      <c r="U138">
        <f>((E138*F138/25000)+((P138/1000)*J138*S138/2.5))*I138*H138</f>
        <v/>
      </c>
      <c r="V138">
        <f>(E138*F138*(P138/1000)*J138*S138*I138*H138)/12500000</f>
        <v/>
      </c>
      <c r="W138">
        <f>(T138+U138+V138)/3</f>
        <v/>
      </c>
      <c r="X138" s="6" t="n">
        <v>1000</v>
      </c>
      <c r="Y138">
        <f>IFERROR(W138-X138,"")</f>
        <v/>
      </c>
      <c r="Z138">
        <f>IFERROR(ABS(Y138)/MAX(X138,1),"")</f>
        <v/>
      </c>
      <c r="AA138">
        <f>IFERROR((X138-(((E138/100000+F138/100+S138/200)*200*I138*H138)+((E138*F138/25000)*I138*H138))/3)/(((J138/5)*200*I138*H138)+((J138*S138/2.5)*I138*H138)+((E138*F138*J138*S138*I138*H138)/12500000))/3*1000,"")</f>
        <v/>
      </c>
    </row>
    <row r="139">
      <c r="B139" s="7" t="inlineStr">
        <is>
          <t xml:space="preserve">  ↳ SteelTwisterMissiles</t>
        </is>
      </c>
      <c r="C139" s="7" t="inlineStr">
        <is>
          <t>Armament@PRIMARY</t>
        </is>
      </c>
      <c r="L139" s="6" t="n">
        <v>10000</v>
      </c>
      <c r="M139" s="6" t="n">
        <v>105</v>
      </c>
      <c r="N139" s="6" t="n">
        <v>5</v>
      </c>
      <c r="O139" s="6" t="n">
        <v>5</v>
      </c>
      <c r="P139" s="6" t="n">
        <v>5000</v>
      </c>
      <c r="Q139" s="6" t="n">
        <v>1</v>
      </c>
      <c r="R139">
        <f>M139+IF(N139&gt;1,N(O139)*(N139-1),0)</f>
        <v/>
      </c>
      <c r="S139">
        <f>IFERROR(L139*MAX(N139,1)/R139*IF(ISBLANK(K138),1,K138),0)</f>
        <v/>
      </c>
      <c r="AB139" s="7" t="inlineStr">
        <is>
          <t>^Warhead_MissileAP_Medium</t>
        </is>
      </c>
    </row>
    <row r="140">
      <c r="B140" s="7" t="inlineStr">
        <is>
          <t xml:space="preserve">  ↳ SteelTwisterMissiles_elite</t>
        </is>
      </c>
      <c r="C140" s="7" t="inlineStr">
        <is>
          <t>Armament@PRIMARYELITE</t>
        </is>
      </c>
      <c r="L140" s="6" t="n">
        <v>10000</v>
      </c>
      <c r="M140" s="6" t="n">
        <v>105</v>
      </c>
      <c r="N140" s="6" t="n">
        <v>10</v>
      </c>
      <c r="O140" s="6" t="n">
        <v>5</v>
      </c>
      <c r="P140" s="6" t="n">
        <v>6000</v>
      </c>
      <c r="Q140" s="6" t="n">
        <v>1</v>
      </c>
      <c r="R140">
        <f>M140+IF(N140&gt;1,N(O140)*(N140-1),0)</f>
        <v/>
      </c>
      <c r="S140">
        <f>IFERROR(L140*MAX(N140,1)/R140*IF(ISBLANK(K138),1,K138),0)</f>
        <v/>
      </c>
      <c r="AB140" s="7" t="inlineStr">
        <is>
          <t>^Warhead_MissileAP_Medium</t>
        </is>
      </c>
    </row>
    <row r="141">
      <c r="A141" t="inlineStr">
        <is>
          <t>redalert2mod</t>
        </is>
      </c>
      <c r="B141" t="inlineStr">
        <is>
          <t>landcarr_drone.futu</t>
        </is>
      </c>
      <c r="C141" t="inlineStr">
        <is>
          <t>Hornet</t>
        </is>
      </c>
      <c r="D141" s="6" t="inlineStr">
        <is>
          <t>Bomber</t>
        </is>
      </c>
      <c r="E141" s="6" t="n">
        <v>10000</v>
      </c>
      <c r="F141" s="6" t="n">
        <v>225</v>
      </c>
      <c r="G141" t="inlineStr">
        <is>
          <t>Bomber</t>
        </is>
      </c>
      <c r="H141" s="6" t="n">
        <v>1</v>
      </c>
      <c r="I141" s="6" t="n">
        <v>1</v>
      </c>
      <c r="J141" s="6" t="n">
        <v>1</v>
      </c>
      <c r="K141" s="6" t="n">
        <v>0.005</v>
      </c>
      <c r="P141">
        <f>MAX(P142)</f>
        <v/>
      </c>
      <c r="S141">
        <f>S142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(T141+U141+V141)/3</f>
        <v/>
      </c>
      <c r="X141" s="6" t="n">
        <v>140</v>
      </c>
      <c r="Y141">
        <f>IFERROR(W141-X141,"")</f>
        <v/>
      </c>
      <c r="Z141">
        <f>IFERROR(ABS(Y141)/MAX(X141,1),"")</f>
        <v/>
      </c>
      <c r="AA141">
        <f>IFERROR((X141-(((E141/100000+F141/100+S141/200)*200*I141*H141)+((E141*F141/25000)*I141*H141))/3)/(((J141/5)*200*I141*H141)+((J141*S141/2.5)*I141*H141)+((E141*F141*J141*S141*I141*H141)/12500000))/3*1000,"")</f>
        <v/>
      </c>
    </row>
    <row r="142">
      <c r="B142" s="7" t="inlineStr">
        <is>
          <t xml:space="preserve">  ↳ RA2HornetMissile</t>
        </is>
      </c>
      <c r="C142" s="7" t="inlineStr">
        <is>
          <t>Armament@PRIMARY</t>
        </is>
      </c>
      <c r="L142" s="6" t="n">
        <v>6000</v>
      </c>
      <c r="M142" s="6" t="n">
        <v>3</v>
      </c>
      <c r="N142" s="6" t="n">
        <v>1</v>
      </c>
      <c r="O142" s="6" t="n"/>
      <c r="P142" s="6" t="n">
        <v>5000</v>
      </c>
      <c r="Q142" s="6" t="n">
        <v>1</v>
      </c>
      <c r="R142">
        <f>M142+IF(N142&gt;1,N(O142)*(N142-1),0)</f>
        <v/>
      </c>
      <c r="S142">
        <f>IFERROR(L142*MAX(N142,1)/R142*IF(ISBLANK(K141),1,K141),0)</f>
        <v/>
      </c>
      <c r="AB142" s="7" t="inlineStr">
        <is>
          <t>^Warhead_Demolition_Light, ^Warhead_Demolition_Heavy, ^Warhead_MissileAP_Medium</t>
        </is>
      </c>
    </row>
    <row r="143">
      <c r="A143" s="4" t="inlineStr">
        <is>
          <t>BUILDINGS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t="inlineStr">
        <is>
          <t>redalert2mod</t>
        </is>
      </c>
      <c r="B144" t="inlineStr">
        <is>
          <t>futuretech_battlelab</t>
        </is>
      </c>
      <c r="C144" t="inlineStr">
        <is>
          <t>FutureTech Battle Lab</t>
        </is>
      </c>
      <c r="D144" s="6" t="inlineStr">
        <is>
          <t>Building</t>
        </is>
      </c>
      <c r="E144" s="6" t="n">
        <v>500000</v>
      </c>
      <c r="F144" s="6" t="n"/>
      <c r="G144" t="inlineStr">
        <is>
          <t>Concrete</t>
        </is>
      </c>
      <c r="H144" s="6" t="n">
        <v>0.5669999999999999</v>
      </c>
      <c r="I144" s="6" t="n">
        <v>1</v>
      </c>
      <c r="J144" s="6" t="n">
        <v>1</v>
      </c>
      <c r="K144" s="6" t="n"/>
      <c r="X144" s="6" t="n">
        <v>5000</v>
      </c>
    </row>
    <row r="145">
      <c r="A145" t="inlineStr">
        <is>
          <t>redalert2mod</t>
        </is>
      </c>
      <c r="B145" t="inlineStr">
        <is>
          <t>futuretech_constructionyard</t>
        </is>
      </c>
      <c r="C145" t="inlineStr">
        <is>
          <t>FutureTech Construction Yard</t>
        </is>
      </c>
      <c r="D145" s="6" t="inlineStr">
        <is>
          <t>Building</t>
        </is>
      </c>
      <c r="E145" s="6" t="n">
        <v>1000000</v>
      </c>
      <c r="F145" s="6" t="n"/>
      <c r="G145" t="inlineStr">
        <is>
          <t>Concrete</t>
        </is>
      </c>
      <c r="H145" s="6" t="n">
        <v>1</v>
      </c>
      <c r="I145" s="6" t="n">
        <v>1</v>
      </c>
      <c r="J145" s="6" t="n">
        <v>1</v>
      </c>
      <c r="K145" s="6" t="n"/>
      <c r="X145" s="6" t="n">
        <v>5000</v>
      </c>
    </row>
    <row r="146">
      <c r="A146" t="inlineStr">
        <is>
          <t>redalert2mod</t>
        </is>
      </c>
      <c r="B146" t="inlineStr">
        <is>
          <t>futuretech_frostbiteturret</t>
        </is>
      </c>
      <c r="C146" t="inlineStr">
        <is>
          <t>Frostbite Turret</t>
        </is>
      </c>
      <c r="D146" s="6" t="inlineStr">
        <is>
          <t>AdvancedDefense</t>
        </is>
      </c>
      <c r="E146" s="6" t="n">
        <v>120000</v>
      </c>
      <c r="F146" s="6" t="n"/>
      <c r="G146" t="inlineStr">
        <is>
          <t>Steel</t>
        </is>
      </c>
      <c r="H146" s="6" t="n">
        <v>0.422</v>
      </c>
      <c r="I146" s="6" t="n">
        <v>1</v>
      </c>
      <c r="J146" s="6" t="n">
        <v>1</v>
      </c>
      <c r="K146" s="6" t="n">
        <v>0.0048</v>
      </c>
      <c r="X146" s="6" t="n">
        <v>1500</v>
      </c>
    </row>
    <row r="147">
      <c r="B147" s="7" t="inlineStr">
        <is>
          <t xml:space="preserve">  ↳ Future_Turret_Cryo</t>
        </is>
      </c>
      <c r="C147" s="7" t="inlineStr">
        <is>
          <t>Armament</t>
        </is>
      </c>
      <c r="L147" s="6" t="n">
        <v>11000</v>
      </c>
      <c r="M147" s="6" t="n">
        <v>8</v>
      </c>
      <c r="N147" s="6" t="n">
        <v>1</v>
      </c>
      <c r="O147" s="6" t="n"/>
      <c r="P147" s="6" t="n">
        <v>7124</v>
      </c>
      <c r="Q147" s="6" t="n">
        <v>1</v>
      </c>
      <c r="R147">
        <f>M147+IF(N147&gt;1,N(O147)*(N147-1),0)</f>
        <v/>
      </c>
      <c r="S147">
        <f>IFERROR(L147*MAX(N147,1)/R147*IF(ISBLANK(K146),1,K146),0)</f>
        <v/>
      </c>
      <c r="AB147" s="7" t="inlineStr">
        <is>
          <t>Future_Cryocopter_Cryo</t>
        </is>
      </c>
    </row>
    <row r="148">
      <c r="A148" t="inlineStr">
        <is>
          <t>redalert2mod</t>
        </is>
      </c>
      <c r="B148" t="inlineStr">
        <is>
          <t>futuretech_hypercore</t>
        </is>
      </c>
      <c r="C148" t="inlineStr">
        <is>
          <t>Hypercore</t>
        </is>
      </c>
      <c r="D148" s="6" t="inlineStr">
        <is>
          <t>Building</t>
        </is>
      </c>
      <c r="E148" s="6" t="n">
        <v>750000</v>
      </c>
      <c r="F148" s="6" t="n"/>
      <c r="G148" t="inlineStr">
        <is>
          <t>Concrete</t>
        </is>
      </c>
      <c r="H148" s="6" t="n">
        <v>0.422</v>
      </c>
      <c r="I148" s="6" t="n">
        <v>1</v>
      </c>
      <c r="J148" s="6" t="n">
        <v>1</v>
      </c>
      <c r="K148" s="6" t="n"/>
      <c r="X148" s="6" t="n">
        <v>7500</v>
      </c>
    </row>
    <row r="149">
      <c r="A149" t="inlineStr">
        <is>
          <t>redalert2mod</t>
        </is>
      </c>
      <c r="B149" t="inlineStr">
        <is>
          <t>futuretech_launchpad</t>
        </is>
      </c>
      <c r="C149" t="inlineStr">
        <is>
          <t>FutureTech Launch Pad</t>
        </is>
      </c>
      <c r="D149" s="6" t="inlineStr">
        <is>
          <t>Building</t>
        </is>
      </c>
      <c r="E149" s="6" t="n">
        <v>300000</v>
      </c>
      <c r="F149" s="6" t="n"/>
      <c r="G149" t="inlineStr">
        <is>
          <t>Wood</t>
        </is>
      </c>
      <c r="H149" s="6" t="n">
        <v>0.5669999999999999</v>
      </c>
      <c r="I149" s="6" t="n">
        <v>1</v>
      </c>
      <c r="J149" s="6" t="n">
        <v>1</v>
      </c>
      <c r="K149" s="6" t="n"/>
      <c r="X149" s="6" t="n">
        <v>1500</v>
      </c>
    </row>
    <row r="150">
      <c r="A150" t="inlineStr">
        <is>
          <t>redalert2mod</t>
        </is>
      </c>
      <c r="B150" t="inlineStr">
        <is>
          <t>futuretech_multiturretsystem</t>
        </is>
      </c>
      <c r="C150" t="inlineStr">
        <is>
          <t>Multi Turret System</t>
        </is>
      </c>
      <c r="D150" s="6" t="inlineStr">
        <is>
          <t>BasicDefense</t>
        </is>
      </c>
      <c r="E150" s="6" t="n">
        <v>105000</v>
      </c>
      <c r="F150" s="6" t="n"/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K150" s="6" t="n"/>
      <c r="X150" s="6" t="n">
        <v>800</v>
      </c>
    </row>
    <row r="151">
      <c r="B151" s="7" t="inlineStr">
        <is>
          <t xml:space="preserve">  ↳ Future_MultiMissile</t>
        </is>
      </c>
      <c r="C151" s="7" t="inlineStr">
        <is>
          <t>Armament@primary</t>
        </is>
      </c>
      <c r="L151" s="6" t="n">
        <v>8000</v>
      </c>
      <c r="M151" s="6" t="n">
        <v>24</v>
      </c>
      <c r="N151" s="6" t="n">
        <v>3</v>
      </c>
      <c r="O151" s="6" t="n">
        <v>4</v>
      </c>
      <c r="P151" s="6" t="n">
        <v>7410</v>
      </c>
      <c r="Q151" s="6" t="n">
        <v>0.75</v>
      </c>
      <c r="R151">
        <f>M151+IF(N151&gt;1,N(O151)*(N151-1),0)</f>
        <v/>
      </c>
      <c r="S151">
        <f>IFERROR(L151*MAX(N151,1)/R151*IF(ISBLANK(K150),1,K150),0)</f>
        <v/>
      </c>
      <c r="AB151" s="7" t="inlineStr">
        <is>
          <t>^Warhead_Arrow_Light, ^Warhead_MissileAP_Light</t>
        </is>
      </c>
    </row>
    <row r="152">
      <c r="B152" s="7" t="inlineStr">
        <is>
          <t xml:space="preserve">  ↳ Future_MultiMissile_Javelin</t>
        </is>
      </c>
      <c r="C152" s="7" t="inlineStr">
        <is>
          <t>Armament@MISS</t>
        </is>
      </c>
      <c r="L152" s="6" t="n">
        <v>10000</v>
      </c>
      <c r="M152" s="6" t="n">
        <v>32</v>
      </c>
      <c r="N152" s="6" t="n">
        <v>3</v>
      </c>
      <c r="O152" s="6" t="n">
        <v>4</v>
      </c>
      <c r="P152" s="6" t="n">
        <v>9000</v>
      </c>
      <c r="Q152" s="6" t="n">
        <v>1.25</v>
      </c>
      <c r="R152">
        <f>M152+IF(N152&gt;1,N(O152)*(N152-1),0)</f>
        <v/>
      </c>
      <c r="S152">
        <f>IFERROR(L152*MAX(N152,1)/R152*IF(ISBLANK(K150),1,K150),0)</f>
        <v/>
      </c>
      <c r="AB152" s="7" t="inlineStr">
        <is>
          <t>^Warhead_MissileAP_Heavy</t>
        </is>
      </c>
    </row>
    <row r="153">
      <c r="B153" s="7" t="inlineStr">
        <is>
          <t xml:space="preserve">  ↳ Future_MultiMissile_Frag</t>
        </is>
      </c>
      <c r="C153" s="7" t="inlineStr">
        <is>
          <t>Armament@FRAG</t>
        </is>
      </c>
      <c r="L153" s="6" t="n">
        <v>16000</v>
      </c>
      <c r="M153" s="6" t="n">
        <v>56</v>
      </c>
      <c r="N153" s="6" t="n">
        <v>3</v>
      </c>
      <c r="O153" s="6" t="n">
        <v>4</v>
      </c>
      <c r="P153" s="6" t="n">
        <v>8300</v>
      </c>
      <c r="Q153" s="6" t="n">
        <v>1</v>
      </c>
      <c r="R153">
        <f>M153+IF(N153&gt;1,N(O153)*(N153-1),0)</f>
        <v/>
      </c>
      <c r="S153">
        <f>IFERROR(L153*MAX(N153,1)/R153*IF(ISBLANK(K150),1,K150),0)</f>
        <v/>
      </c>
      <c r="AB153" s="7" t="inlineStr">
        <is>
          <t>^ShrapnelWeapon, ^MediumFlameWeapon, ^LightChemicalWeapon, ^LightMissile, ^Effect_Explosion_Large_RA2</t>
        </is>
      </c>
    </row>
    <row r="154">
      <c r="B154" s="7" t="inlineStr">
        <is>
          <t xml:space="preserve">  ↳ Future_MultiMissile_Sigma</t>
        </is>
      </c>
      <c r="C154" s="7" t="inlineStr">
        <is>
          <t>Armament@Sigma</t>
        </is>
      </c>
      <c r="L154" s="6" t="n">
        <v>50000</v>
      </c>
      <c r="M154" s="6" t="n">
        <v>50</v>
      </c>
      <c r="N154" s="6" t="n">
        <v>3</v>
      </c>
      <c r="O154" s="6" t="n">
        <v>6</v>
      </c>
      <c r="P154" s="6" t="n">
        <v>9000</v>
      </c>
      <c r="Q154" s="6" t="n">
        <v>1</v>
      </c>
      <c r="R154">
        <f>M154+IF(N154&gt;1,N(O154)*(N154-1),0)</f>
        <v/>
      </c>
      <c r="S154">
        <f>IFERROR(L154*MAX(N154,1)/R154*IF(ISBLANK(K150),1,K150),0)</f>
        <v/>
      </c>
      <c r="AB154" s="7" t="inlineStr">
        <is>
          <t>^TeslaChargedWeapon, ^MagicWeapon, ^FlakWeapon, ^ShrapnelWeapon, ^MediumMissile</t>
        </is>
      </c>
    </row>
    <row r="155">
      <c r="A155" t="inlineStr">
        <is>
          <t>redalert2mod</t>
        </is>
      </c>
      <c r="B155" t="inlineStr">
        <is>
          <t>futuretech_refinery</t>
        </is>
      </c>
      <c r="C155" t="inlineStr">
        <is>
          <t>FutureTech Refinery</t>
        </is>
      </c>
      <c r="D155" s="6" t="inlineStr">
        <is>
          <t>Building</t>
        </is>
      </c>
      <c r="E155" s="6" t="n">
        <v>300000</v>
      </c>
      <c r="F155" s="6" t="n"/>
      <c r="G155" t="inlineStr">
        <is>
          <t>Concrete</t>
        </is>
      </c>
      <c r="H155" s="6" t="n">
        <v>1</v>
      </c>
      <c r="I155" s="6" t="n">
        <v>1</v>
      </c>
      <c r="J155" s="6" t="n">
        <v>1</v>
      </c>
      <c r="K155" s="6" t="n"/>
      <c r="X155" s="6" t="n">
        <v>3000</v>
      </c>
    </row>
    <row r="156">
      <c r="A156" t="inlineStr">
        <is>
          <t>redalert2mod</t>
        </is>
      </c>
      <c r="B156" t="inlineStr">
        <is>
          <t>futuretech_robotcontrolcenter</t>
        </is>
      </c>
      <c r="C156" t="inlineStr">
        <is>
          <t>Robot Control Center</t>
        </is>
      </c>
      <c r="D156" s="6" t="inlineStr">
        <is>
          <t>Building</t>
        </is>
      </c>
      <c r="E156" s="6" t="n">
        <v>250000</v>
      </c>
      <c r="F156" s="6" t="n"/>
      <c r="G156" t="inlineStr">
        <is>
          <t>Wood</t>
        </is>
      </c>
      <c r="H156" s="6" t="n">
        <v>0.8639</v>
      </c>
      <c r="I156" s="6" t="n">
        <v>1</v>
      </c>
      <c r="J156" s="6" t="n">
        <v>1</v>
      </c>
      <c r="K156" s="6" t="n"/>
      <c r="X156" s="6" t="n">
        <v>2500</v>
      </c>
    </row>
    <row r="157">
      <c r="A157" t="inlineStr">
        <is>
          <t>redalert2mod</t>
        </is>
      </c>
      <c r="B157" t="inlineStr">
        <is>
          <t>futuretech_thermalpowerplant</t>
        </is>
      </c>
      <c r="C157" t="inlineStr">
        <is>
          <t>Thermal Power Plant</t>
        </is>
      </c>
      <c r="D157" s="6" t="inlineStr">
        <is>
          <t>Building</t>
        </is>
      </c>
      <c r="E157" s="6" t="n">
        <v>200000</v>
      </c>
      <c r="F157" s="6" t="n"/>
      <c r="G157" t="inlineStr">
        <is>
          <t>Wood</t>
        </is>
      </c>
      <c r="H157" s="6" t="n">
        <v>1</v>
      </c>
      <c r="I157" s="6" t="n">
        <v>1</v>
      </c>
      <c r="J157" s="6" t="n">
        <v>1</v>
      </c>
      <c r="K157" s="6" t="n"/>
      <c r="X157" s="6" t="n">
        <v>800</v>
      </c>
    </row>
    <row r="158">
      <c r="A158" t="inlineStr">
        <is>
          <t>redalert2mod</t>
        </is>
      </c>
      <c r="B158" t="inlineStr">
        <is>
          <t>futuretech_transmissioncenter</t>
        </is>
      </c>
      <c r="C158" t="inlineStr">
        <is>
          <t>Transmission Center</t>
        </is>
      </c>
      <c r="D158" s="6" t="inlineStr">
        <is>
          <t>Building</t>
        </is>
      </c>
      <c r="E158" s="6" t="n">
        <v>250000</v>
      </c>
      <c r="F158" s="6" t="n"/>
      <c r="G158" t="inlineStr">
        <is>
          <t>Wood</t>
        </is>
      </c>
      <c r="H158" s="6" t="n">
        <v>0.6846</v>
      </c>
      <c r="I158" s="6" t="n">
        <v>1</v>
      </c>
      <c r="J158" s="6" t="n">
        <v>1</v>
      </c>
      <c r="K158" s="6" t="n"/>
      <c r="X158" s="6" t="n">
        <v>2500</v>
      </c>
    </row>
    <row r="159">
      <c r="A159" t="inlineStr">
        <is>
          <t>redalert2mod</t>
        </is>
      </c>
      <c r="B159" t="inlineStr">
        <is>
          <t>futuretech_troopgate</t>
        </is>
      </c>
      <c r="C159" t="inlineStr">
        <is>
          <t>Troop Gate</t>
        </is>
      </c>
      <c r="D159" s="6" t="inlineStr">
        <is>
          <t>Building</t>
        </is>
      </c>
      <c r="E159" s="6" t="n">
        <v>200000</v>
      </c>
      <c r="F159" s="6" t="n"/>
      <c r="G159" t="inlineStr">
        <is>
          <t>Wood</t>
        </is>
      </c>
      <c r="H159" s="6" t="n">
        <v>1</v>
      </c>
      <c r="I159" s="6" t="n">
        <v>1</v>
      </c>
      <c r="J159" s="6" t="n">
        <v>1</v>
      </c>
      <c r="K159" s="6" t="n"/>
      <c r="X159" s="6" t="n">
        <v>1000</v>
      </c>
    </row>
    <row r="160">
      <c r="A160" t="inlineStr">
        <is>
          <t>redalert2mod</t>
        </is>
      </c>
      <c r="B160" t="inlineStr">
        <is>
          <t>futuretech_warpgate</t>
        </is>
      </c>
      <c r="C160" t="inlineStr">
        <is>
          <t>Warp Gate</t>
        </is>
      </c>
      <c r="D160" s="6" t="inlineStr">
        <is>
          <t>Building</t>
        </is>
      </c>
      <c r="E160" s="6" t="n">
        <v>400000</v>
      </c>
      <c r="F160" s="6" t="n"/>
      <c r="G160" t="inlineStr">
        <is>
          <t>Concrete</t>
        </is>
      </c>
      <c r="H160" s="6" t="n">
        <v>1</v>
      </c>
      <c r="I160" s="6" t="n">
        <v>1</v>
      </c>
      <c r="J160" s="6" t="n">
        <v>1</v>
      </c>
      <c r="K160" s="6" t="n"/>
      <c r="X160" s="6" t="n">
        <v>2000</v>
      </c>
    </row>
    <row r="161">
      <c r="A161" s="4" t="inlineStr">
        <is>
          <t>UPGRADES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t="inlineStr">
        <is>
          <t>redalert2mod</t>
        </is>
      </c>
      <c r="B162" t="inlineStr">
        <is>
          <t>egcnst_infiltrated.futu</t>
        </is>
      </c>
      <c r="C162" t="inlineStr">
        <is>
          <t>Stolen FutureTech Building Plans</t>
        </is>
      </c>
      <c r="D162" s="6" t="inlineStr">
        <is>
          <t>ResearchedUpgrade</t>
        </is>
      </c>
      <c r="E162" s="6" t="n"/>
      <c r="F162" s="6" t="n"/>
      <c r="H162" s="6" t="n">
        <v>1</v>
      </c>
      <c r="I162" s="6" t="n">
        <v>1</v>
      </c>
      <c r="J162" s="6" t="n">
        <v>1</v>
      </c>
      <c r="K162" s="6" t="n"/>
      <c r="X162" s="6" t="n"/>
    </row>
    <row r="163">
      <c r="A163" t="inlineStr">
        <is>
          <t>redalert2mod</t>
        </is>
      </c>
      <c r="B163" t="inlineStr">
        <is>
          <t>futuretech_doctrine_equalizerx1</t>
        </is>
      </c>
      <c r="C163" t="inlineStr">
        <is>
          <t>Equalizer X1</t>
        </is>
      </c>
      <c r="D163" s="6" t="inlineStr">
        <is>
          <t>Doctrine</t>
        </is>
      </c>
      <c r="E163" s="6" t="n"/>
      <c r="F163" s="6" t="n"/>
      <c r="H163" s="6" t="n">
        <v>0.5669999999999999</v>
      </c>
      <c r="I163" s="6" t="n">
        <v>1</v>
      </c>
      <c r="J163" s="6" t="n">
        <v>1</v>
      </c>
      <c r="K163" s="6" t="n"/>
      <c r="X163" s="6" t="n">
        <v>5000</v>
      </c>
    </row>
    <row r="164">
      <c r="A164" t="inlineStr">
        <is>
          <t>redalert2mod</t>
        </is>
      </c>
      <c r="B164" t="inlineStr">
        <is>
          <t>futuretech_doctrine_equalizerx2</t>
        </is>
      </c>
      <c r="C164" t="inlineStr">
        <is>
          <t>Equalizer X2</t>
        </is>
      </c>
      <c r="D164" s="6" t="inlineStr">
        <is>
          <t>Doctrine</t>
        </is>
      </c>
      <c r="E164" s="6" t="n"/>
      <c r="F164" s="6" t="n"/>
      <c r="H164" s="6" t="n">
        <v>0.422</v>
      </c>
      <c r="I164" s="6" t="n">
        <v>1</v>
      </c>
      <c r="J164" s="6" t="n">
        <v>1</v>
      </c>
      <c r="K164" s="6" t="n"/>
      <c r="X164" s="6" t="n">
        <v>5000</v>
      </c>
    </row>
    <row r="165">
      <c r="A165" t="inlineStr">
        <is>
          <t>redalert2mod</t>
        </is>
      </c>
      <c r="B165" t="inlineStr">
        <is>
          <t>futuretech_doctrine_equalizerx3</t>
        </is>
      </c>
      <c r="C165" t="inlineStr">
        <is>
          <t>Equalizer X3</t>
        </is>
      </c>
      <c r="D165" s="6" t="inlineStr">
        <is>
          <t>Doctrine</t>
        </is>
      </c>
      <c r="E165" s="6" t="n"/>
      <c r="F165" s="6" t="n"/>
      <c r="H165" s="6" t="n">
        <v>0.305</v>
      </c>
      <c r="I165" s="6" t="n">
        <v>1</v>
      </c>
      <c r="J165" s="6" t="n">
        <v>1</v>
      </c>
      <c r="K165" s="6" t="n"/>
      <c r="X165" s="6" t="n">
        <v>5000</v>
      </c>
    </row>
    <row r="166">
      <c r="A166" s="4" t="inlineStr">
        <is>
          <t>PROMOTIONS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t="inlineStr">
        <is>
          <t>redalert2mod</t>
        </is>
      </c>
      <c r="B167" t="inlineStr">
        <is>
          <t>futuretech_promotion_blackwidow</t>
        </is>
      </c>
      <c r="C167" t="inlineStr">
        <is>
          <t>Unlock Black Widow</t>
        </is>
      </c>
      <c r="D167" s="6" t="inlineStr">
        <is>
          <t>PromotionUpgrade</t>
        </is>
      </c>
      <c r="E167" s="6" t="n"/>
      <c r="F167" s="6" t="n"/>
      <c r="H167" s="6" t="n">
        <v>1</v>
      </c>
      <c r="I167" s="6" t="n">
        <v>1</v>
      </c>
      <c r="J167" s="6" t="n">
        <v>1</v>
      </c>
      <c r="K167" s="6" t="n"/>
      <c r="X167" s="6" t="n"/>
    </row>
    <row r="168">
      <c r="A168" t="inlineStr">
        <is>
          <t>redalert2mod</t>
        </is>
      </c>
      <c r="B168" t="inlineStr">
        <is>
          <t>futuretech_promotion_cannondroid</t>
        </is>
      </c>
      <c r="C168" t="inlineStr">
        <is>
          <t>Unlock Cannon Droid</t>
        </is>
      </c>
      <c r="D168" s="6" t="inlineStr">
        <is>
          <t>PromotionUpgrade</t>
        </is>
      </c>
      <c r="E168" s="6" t="n"/>
      <c r="F168" s="6" t="n"/>
      <c r="H168" s="6" t="n">
        <v>1</v>
      </c>
      <c r="I168" s="6" t="n">
        <v>1</v>
      </c>
      <c r="J168" s="6" t="n">
        <v>1</v>
      </c>
      <c r="K168" s="6" t="n"/>
      <c r="X168" s="6" t="n"/>
    </row>
    <row r="169">
      <c r="A169" t="inlineStr">
        <is>
          <t>redalert2mod</t>
        </is>
      </c>
      <c r="B169" t="inlineStr">
        <is>
          <t>futuretech_promotion_cryocopter</t>
        </is>
      </c>
      <c r="C169" t="inlineStr">
        <is>
          <t>Unlock Cryocopter</t>
        </is>
      </c>
      <c r="D169" s="6" t="inlineStr">
        <is>
          <t>PromotionUpgrade</t>
        </is>
      </c>
      <c r="E169" s="6" t="n"/>
      <c r="F169" s="6" t="n"/>
      <c r="H169" s="6" t="n">
        <v>1</v>
      </c>
      <c r="I169" s="6" t="n">
        <v>1</v>
      </c>
      <c r="J169" s="6" t="n">
        <v>1</v>
      </c>
      <c r="K169" s="6" t="n"/>
      <c r="X169" s="6" t="n"/>
    </row>
    <row r="170">
      <c r="A170" t="inlineStr">
        <is>
          <t>redalert2mod</t>
        </is>
      </c>
      <c r="B170" t="inlineStr">
        <is>
          <t>futuretech_promotion_cryolegionnaire</t>
        </is>
      </c>
      <c r="C170" t="inlineStr">
        <is>
          <t>Unlock Cryo Legionnaire</t>
        </is>
      </c>
      <c r="D170" s="6" t="inlineStr">
        <is>
          <t>PromotionUpgrade</t>
        </is>
      </c>
      <c r="E170" s="6" t="n"/>
      <c r="F170" s="6" t="n"/>
      <c r="H170" s="6" t="n">
        <v>1</v>
      </c>
      <c r="I170" s="6" t="n">
        <v>1</v>
      </c>
      <c r="J170" s="6" t="n">
        <v>1</v>
      </c>
      <c r="K170" s="6" t="n"/>
      <c r="X170" s="6" t="n"/>
    </row>
    <row r="171">
      <c r="A171" t="inlineStr">
        <is>
          <t>redalert2mod</t>
        </is>
      </c>
      <c r="B171" t="inlineStr">
        <is>
          <t>futuretech_promotion_futuretank</t>
        </is>
      </c>
      <c r="C171" t="inlineStr">
        <is>
          <t>Unlock Future Tank</t>
        </is>
      </c>
      <c r="D171" s="6" t="inlineStr">
        <is>
          <t>PromotionUpgrade</t>
        </is>
      </c>
      <c r="E171" s="6" t="n"/>
      <c r="F171" s="6" t="n"/>
      <c r="H171" s="6" t="n">
        <v>1</v>
      </c>
      <c r="I171" s="6" t="n">
        <v>1</v>
      </c>
      <c r="J171" s="6" t="n">
        <v>1</v>
      </c>
      <c r="K171" s="6" t="n"/>
      <c r="X171" s="6" t="n"/>
    </row>
    <row r="172">
      <c r="A172" t="inlineStr">
        <is>
          <t>redalert2mod</t>
        </is>
      </c>
      <c r="B172" t="inlineStr">
        <is>
          <t>futuretech_promotion_harbingergunship</t>
        </is>
      </c>
      <c r="C172" t="inlineStr">
        <is>
          <t>Unlock Harbinger Gunship</t>
        </is>
      </c>
      <c r="D172" s="6" t="inlineStr">
        <is>
          <t>PromotionUpgrade</t>
        </is>
      </c>
      <c r="E172" s="6" t="n"/>
      <c r="F172" s="6" t="n"/>
      <c r="H172" s="6" t="n">
        <v>1</v>
      </c>
      <c r="I172" s="6" t="n">
        <v>1</v>
      </c>
      <c r="J172" s="6" t="n">
        <v>1</v>
      </c>
      <c r="K172" s="6" t="n"/>
      <c r="X172" s="6" t="n"/>
    </row>
    <row r="173">
      <c r="A173" t="inlineStr">
        <is>
          <t>redalert2mod</t>
        </is>
      </c>
      <c r="B173" t="inlineStr">
        <is>
          <t>futuretech_promotion_missiledroid</t>
        </is>
      </c>
      <c r="C173" t="inlineStr">
        <is>
          <t>Unlock Missile Droid</t>
        </is>
      </c>
      <c r="D173" s="6" t="inlineStr">
        <is>
          <t>PromotionUpgrade</t>
        </is>
      </c>
      <c r="E173" s="6" t="n"/>
      <c r="F173" s="6" t="n"/>
      <c r="H173" s="6" t="n">
        <v>1</v>
      </c>
      <c r="I173" s="6" t="n">
        <v>1</v>
      </c>
      <c r="J173" s="6" t="n">
        <v>1</v>
      </c>
      <c r="K173" s="6" t="n"/>
      <c r="X173" s="6" t="n"/>
    </row>
    <row r="174">
      <c r="A174" t="inlineStr">
        <is>
          <t>redalert2mod</t>
        </is>
      </c>
      <c r="B174" t="inlineStr">
        <is>
          <t>futuretech_promotion_oriontank</t>
        </is>
      </c>
      <c r="C174" t="inlineStr">
        <is>
          <t>Unlock Orion Tank</t>
        </is>
      </c>
      <c r="D174" s="6" t="inlineStr">
        <is>
          <t>PromotionUpgrade</t>
        </is>
      </c>
      <c r="E174" s="6" t="n"/>
      <c r="F174" s="6" t="n"/>
      <c r="H174" s="6" t="n">
        <v>1</v>
      </c>
      <c r="I174" s="6" t="n">
        <v>1</v>
      </c>
      <c r="J174" s="6" t="n">
        <v>1</v>
      </c>
      <c r="K174" s="6" t="n"/>
      <c r="X174" s="6" t="n"/>
    </row>
    <row r="175">
      <c r="A175" t="inlineStr">
        <is>
          <t>redalert2mod</t>
        </is>
      </c>
      <c r="B175" t="inlineStr">
        <is>
          <t>futuretech_promotion_prospectormk2</t>
        </is>
      </c>
      <c r="C175" t="inlineStr">
        <is>
          <t>Unlock Prospector MK2</t>
        </is>
      </c>
      <c r="D175" s="6" t="inlineStr">
        <is>
          <t>PromotionUpgrade</t>
        </is>
      </c>
      <c r="E175" s="6" t="n"/>
      <c r="F175" s="6" t="n"/>
      <c r="H175" s="6" t="n">
        <v>1</v>
      </c>
      <c r="I175" s="6" t="n">
        <v>1</v>
      </c>
      <c r="J175" s="6" t="n">
        <v>1</v>
      </c>
      <c r="K175" s="6" t="n"/>
      <c r="X175" s="6" t="n"/>
    </row>
    <row r="176">
      <c r="A176" t="inlineStr">
        <is>
          <t>redalert2mod</t>
        </is>
      </c>
      <c r="B176" t="inlineStr">
        <is>
          <t>futuretech_promotion_robottank</t>
        </is>
      </c>
      <c r="C176" t="inlineStr">
        <is>
          <t>Unlock Robot Tank</t>
        </is>
      </c>
      <c r="D176" s="6" t="inlineStr">
        <is>
          <t>PromotionUpgrade</t>
        </is>
      </c>
      <c r="E176" s="6" t="n"/>
      <c r="F176" s="6" t="n"/>
      <c r="H176" s="6" t="n">
        <v>1</v>
      </c>
      <c r="I176" s="6" t="n">
        <v>1</v>
      </c>
      <c r="J176" s="6" t="n">
        <v>1</v>
      </c>
      <c r="K176" s="6" t="n"/>
      <c r="X176" s="6" t="n"/>
    </row>
    <row r="177">
      <c r="A177" t="inlineStr">
        <is>
          <t>redalert2mod</t>
        </is>
      </c>
      <c r="B177" t="inlineStr">
        <is>
          <t>futuretech_promotion_salamanderifv</t>
        </is>
      </c>
      <c r="C177" t="inlineStr">
        <is>
          <t>Unlock Salamander IFV</t>
        </is>
      </c>
      <c r="D177" s="6" t="inlineStr">
        <is>
          <t>PromotionUpgrade</t>
        </is>
      </c>
      <c r="E177" s="6" t="n"/>
      <c r="F177" s="6" t="n"/>
      <c r="H177" s="6" t="n">
        <v>1</v>
      </c>
      <c r="I177" s="6" t="n">
        <v>1</v>
      </c>
      <c r="J177" s="6" t="n">
        <v>1</v>
      </c>
      <c r="K177" s="6" t="n"/>
      <c r="X177" s="6" t="n"/>
    </row>
    <row r="178">
      <c r="A178" t="inlineStr">
        <is>
          <t>redalert2mod</t>
        </is>
      </c>
      <c r="B178" t="inlineStr">
        <is>
          <t>futuretech_promotion_shotgundroid</t>
        </is>
      </c>
      <c r="C178" t="inlineStr">
        <is>
          <t>Unlock Shotgun Droid</t>
        </is>
      </c>
      <c r="D178" s="6" t="inlineStr">
        <is>
          <t>PromotionUpgrade</t>
        </is>
      </c>
      <c r="E178" s="6" t="n"/>
      <c r="F178" s="6" t="n"/>
      <c r="H178" s="6" t="n">
        <v>1</v>
      </c>
      <c r="I178" s="6" t="n">
        <v>1</v>
      </c>
      <c r="J178" s="6" t="n">
        <v>1</v>
      </c>
      <c r="K178" s="6" t="n"/>
      <c r="X178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7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redalert2mod</t>
        </is>
      </c>
      <c r="B3" t="inlineStr">
        <is>
          <t>tkm_engineer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P3">
        <f>MAX(P6,P8)</f>
        <v/>
      </c>
      <c r="S3">
        <f>S6+S8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(((E3/5000)+(F3/50)+(S3/0)+((P3/0)*J3))*500/4+(((E3/5000)*(F3/50))+(((P3/0)*J3)*(S3/0)))*500/2+((E3/5000)*(F3/50)*((P3/0)*J3)*(S3/0))*500)*(H3/1.0)/3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IFERROR(ROUND(((3*X3-(((E3/5000)+(F3/50)+(S3/0))*500/4+((E3/5000)*(F3/50))*500/2)*(H3/1.0))/(500/4+((S3/0))*500/2+((E3/5000)*(F3/50)*(S3/0))*500)*(H3/1.0)*0)/J3,-1),"")</f>
        <v/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L4" s="6" t="n"/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L5" s="6" t="n"/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/>
    </row>
    <row r="6">
      <c r="B6" s="7" t="inlineStr">
        <is>
          <t xml:space="preserve">  ↳ Heal</t>
        </is>
      </c>
      <c r="C6" s="7" t="inlineStr">
        <is>
          <t>Armament@HEAL</t>
        </is>
      </c>
      <c r="L6" s="6" t="n">
        <v>-3000</v>
      </c>
      <c r="M6" s="6" t="n">
        <v>75</v>
      </c>
      <c r="N6" s="6" t="n">
        <v>1</v>
      </c>
      <c r="O6" s="6" t="n"/>
      <c r="P6" s="6" t="n">
        <v>5000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^HealingWeapon</t>
        </is>
      </c>
    </row>
    <row r="7">
      <c r="B7" s="7" t="inlineStr">
        <is>
          <t xml:space="preserve">  ↳ Heal</t>
        </is>
      </c>
      <c r="C7" s="7" t="inlineStr">
        <is>
          <t>Armament@GARRISONEDHEAL</t>
        </is>
      </c>
      <c r="L7" s="6" t="n">
        <v>-3000</v>
      </c>
      <c r="M7" s="6" t="n">
        <v>75</v>
      </c>
      <c r="N7" s="6" t="n">
        <v>1</v>
      </c>
      <c r="O7" s="6" t="n"/>
      <c r="P7" s="6" t="n">
        <v>5000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^HealingWeapon</t>
        </is>
      </c>
    </row>
    <row r="8">
      <c r="B8" s="7" t="inlineStr">
        <is>
          <t xml:space="preserve">  ↳ Repair</t>
        </is>
      </c>
      <c r="C8" s="7" t="inlineStr">
        <is>
          <t>Armament@REPAIR</t>
        </is>
      </c>
      <c r="L8" s="6" t="n">
        <v>-3000</v>
      </c>
      <c r="M8" s="6" t="n">
        <v>75</v>
      </c>
      <c r="N8" s="6" t="n">
        <v>10</v>
      </c>
      <c r="O8" s="6" t="n">
        <v>1</v>
      </c>
      <c r="P8" s="6" t="n">
        <v>5000</v>
      </c>
      <c r="Q8" s="6" t="n">
        <v>1</v>
      </c>
      <c r="R8">
        <f>M8+IF(N8&gt;1,N(O8)*(N8-1),0)</f>
        <v/>
      </c>
      <c r="S8">
        <f>IFERROR(L8*MAX(N8,1)/R8*IF(ISBLANK(K3),1,K3),0)</f>
        <v/>
      </c>
      <c r="AB8" s="7" t="inlineStr">
        <is>
          <t>^RepairWeapon</t>
        </is>
      </c>
    </row>
    <row r="9">
      <c r="B9" s="7" t="inlineStr">
        <is>
          <t xml:space="preserve">  ↳ Repair</t>
        </is>
      </c>
      <c r="C9" s="7" t="inlineStr">
        <is>
          <t>Armament@GARRISONEDREPAIR</t>
        </is>
      </c>
      <c r="L9" s="6" t="n">
        <v>-3000</v>
      </c>
      <c r="M9" s="6" t="n">
        <v>75</v>
      </c>
      <c r="N9" s="6" t="n">
        <v>10</v>
      </c>
      <c r="O9" s="6" t="n">
        <v>1</v>
      </c>
      <c r="P9" s="6" t="n">
        <v>5000</v>
      </c>
      <c r="Q9" s="6" t="n">
        <v>1</v>
      </c>
      <c r="R9">
        <f>M9+IF(N9&gt;1,N(O9)*(N9-1),0)</f>
        <v/>
      </c>
      <c r="S9">
        <f>IFERROR(L9*MAX(N9,1)/R9*IF(ISBLANK(K3),1,K3),0)</f>
        <v/>
      </c>
      <c r="AB9" s="7" t="inlineStr">
        <is>
          <t>^RepairWeapon</t>
        </is>
      </c>
    </row>
    <row r="10">
      <c r="A10" t="inlineStr">
        <is>
          <t>redalert2mod</t>
        </is>
      </c>
      <c r="B10" t="inlineStr">
        <is>
          <t>tkm_juggernaut</t>
        </is>
      </c>
      <c r="C10" t="inlineStr">
        <is>
          <t>Juggernaut</t>
        </is>
      </c>
      <c r="D10" s="6" t="inlineStr">
        <is>
          <t>HeavyInfantry</t>
        </is>
      </c>
      <c r="E10" s="6" t="n">
        <v>36000</v>
      </c>
      <c r="F10" s="6" t="n">
        <v>45</v>
      </c>
      <c r="G10" t="inlineStr">
        <is>
          <t>Plate</t>
        </is>
      </c>
      <c r="H10" s="6" t="n">
        <v>0.6522</v>
      </c>
      <c r="I10" s="6" t="n">
        <v>1</v>
      </c>
      <c r="J10" s="6" t="n">
        <v>1</v>
      </c>
      <c r="K10" s="6" t="n"/>
      <c r="P10">
        <f>MAX(P11,P12)</f>
        <v/>
      </c>
      <c r="S10">
        <f>S11+S12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650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tkm_juggernaut</t>
        </is>
      </c>
      <c r="C11" s="7" t="inlineStr">
        <is>
          <t>Armament@PRIMARY</t>
        </is>
      </c>
      <c r="L11" s="6" t="n">
        <v>4000</v>
      </c>
      <c r="M11" s="6" t="n">
        <v>8</v>
      </c>
      <c r="N11" s="6" t="n">
        <v>1</v>
      </c>
      <c r="O11" s="6" t="n"/>
      <c r="P11" s="6" t="n">
        <v>4490</v>
      </c>
      <c r="Q11" s="6" t="n">
        <v>1</v>
      </c>
      <c r="R11">
        <f>M11+IF(N11&gt;1,N(O11)*(N11-1),0)</f>
        <v/>
      </c>
      <c r="S11">
        <f>IFERROR(L11*MAX(N11,1)/R11*IF(ISBLANK(K10),1,K10),0)</f>
        <v/>
      </c>
      <c r="AB11" s="7" t="inlineStr">
        <is>
          <t>^Warhead_Bullet_Medium</t>
        </is>
      </c>
    </row>
    <row r="12">
      <c r="B12" s="7" t="inlineStr">
        <is>
          <t xml:space="preserve">  ↳ tkmjuggap</t>
        </is>
      </c>
      <c r="C12" s="7" t="inlineStr">
        <is>
          <t>Armament@PRIMARYUPGRADE</t>
        </is>
      </c>
      <c r="L12" s="6" t="n">
        <v>8000</v>
      </c>
      <c r="M12" s="6" t="n">
        <v>9</v>
      </c>
      <c r="N12" s="6" t="n">
        <v>3</v>
      </c>
      <c r="O12" s="6" t="n">
        <v>6</v>
      </c>
      <c r="P12" s="6" t="n">
        <v>4792</v>
      </c>
      <c r="Q12" s="6" t="n">
        <v>0.75</v>
      </c>
      <c r="R12">
        <f>M12+IF(N12&gt;1,N(O12)*(N12-1),0)</f>
        <v/>
      </c>
      <c r="S12">
        <f>IFERROR(L12*MAX(N12,1)/R12*IF(ISBLANK(K10),1,K10),0)</f>
        <v/>
      </c>
      <c r="AB12" s="7" t="inlineStr">
        <is>
          <t>^Warhead_Bullet_Light, ^Warhead_Demolition_Light</t>
        </is>
      </c>
    </row>
    <row r="13">
      <c r="B13" s="7" t="inlineStr">
        <is>
          <t xml:space="preserve">  ↳ tkm_juggernaut</t>
        </is>
      </c>
      <c r="C13" s="7" t="inlineStr">
        <is>
          <t>Armament@GARRISONED</t>
        </is>
      </c>
      <c r="L13" s="6" t="n">
        <v>4000</v>
      </c>
      <c r="M13" s="6" t="n">
        <v>8</v>
      </c>
      <c r="N13" s="6" t="n">
        <v>1</v>
      </c>
      <c r="O13" s="6" t="n"/>
      <c r="P13" s="6" t="n">
        <v>4490</v>
      </c>
      <c r="Q13" s="6" t="n">
        <v>1</v>
      </c>
      <c r="R13">
        <f>M13+IF(N13&gt;1,N(O13)*(N13-1),0)</f>
        <v/>
      </c>
      <c r="S13">
        <f>IFERROR(L13*MAX(N13,1)/R13*IF(ISBLANK(K10),1,K10),0)</f>
        <v/>
      </c>
      <c r="AB13" s="7" t="inlineStr">
        <is>
          <t>^Warhead_Bullet_Medium</t>
        </is>
      </c>
    </row>
    <row r="14">
      <c r="B14" s="7" t="inlineStr">
        <is>
          <t xml:space="preserve">  ↳ tkmjuggap</t>
        </is>
      </c>
      <c r="C14" s="7" t="inlineStr">
        <is>
          <t>Armament@GARRISONEDUPGRADE</t>
        </is>
      </c>
      <c r="L14" s="6" t="n">
        <v>8000</v>
      </c>
      <c r="M14" s="6" t="n">
        <v>9</v>
      </c>
      <c r="N14" s="6" t="n">
        <v>3</v>
      </c>
      <c r="O14" s="6" t="n">
        <v>6</v>
      </c>
      <c r="P14" s="6" t="n">
        <v>4792</v>
      </c>
      <c r="Q14" s="6" t="n">
        <v>0.75</v>
      </c>
      <c r="R14">
        <f>M14+IF(N14&gt;1,N(O14)*(N14-1),0)</f>
        <v/>
      </c>
      <c r="S14">
        <f>IFERROR(L14*MAX(N14,1)/R14*IF(ISBLANK(K10),1,K10),0)</f>
        <v/>
      </c>
      <c r="AB14" s="7" t="inlineStr">
        <is>
          <t>^Warhead_Bullet_Light, ^Warhead_Demolition_Light</t>
        </is>
      </c>
    </row>
    <row r="15">
      <c r="A15" t="inlineStr">
        <is>
          <t>redalert2mod</t>
        </is>
      </c>
      <c r="B15" t="inlineStr">
        <is>
          <t>tkm_marine</t>
        </is>
      </c>
      <c r="C15" t="inlineStr">
        <is>
          <t>Marine</t>
        </is>
      </c>
      <c r="D15" s="6" t="inlineStr">
        <is>
          <t>ScoutInfantry</t>
        </is>
      </c>
      <c r="E15" s="6" t="n">
        <v>20000</v>
      </c>
      <c r="F15" s="6" t="n">
        <v>60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K15" s="6" t="n"/>
      <c r="P15">
        <f>MAX(P16,P17)</f>
        <v/>
      </c>
      <c r="S15">
        <f>S16+S17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(((E15/20000)+(F15/60)+(S15/60)+((P15/5000)*J15))*100/4+(((E15/20000)*(F15/60))+(((P15/5000)*J15)*(S15/60)))*100/2+((E15/20000)*(F15/60)*((P15/5000)*J15)*(S15/60))*100)*(H15/1.0)/3</f>
        <v/>
      </c>
      <c r="X15" s="6" t="n">
        <v>300</v>
      </c>
      <c r="Y15">
        <f>IFERROR(W15-X15,"")</f>
        <v/>
      </c>
      <c r="Z15">
        <f>IFERROR(ABS(Y15)/MAX(X15,1),"")</f>
        <v/>
      </c>
      <c r="AA15">
        <f>IFERROR(ROUND(((3*X15-(((E15/20000)+(F15/60)+(S15/60))*100/4+((E15/20000)*(F15/60))*100/2)*(H15/1.0))/(100/4+((S15/60))*100/2+((E15/20000)*(F15/60)*(S15/60))*100)*(H15/1.0)*5000)/J15,-1),"")</f>
        <v/>
      </c>
    </row>
    <row r="16">
      <c r="B16" s="7" t="inlineStr">
        <is>
          <t xml:space="preserve">  ↳ tkmm16</t>
        </is>
      </c>
      <c r="C16" s="7" t="inlineStr">
        <is>
          <t>Armament@PRIMARY</t>
        </is>
      </c>
      <c r="L16" s="6" t="n">
        <v>2000</v>
      </c>
      <c r="M16" s="6" t="n">
        <v>16</v>
      </c>
      <c r="N16" s="6" t="n">
        <v>5</v>
      </c>
      <c r="O16" s="6" t="n">
        <v>1</v>
      </c>
      <c r="P16" s="6" t="n">
        <v>5385</v>
      </c>
      <c r="Q16" s="6" t="n">
        <v>0.75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^Warhead_Bullet_Light</t>
        </is>
      </c>
    </row>
    <row r="17">
      <c r="B17" s="7" t="inlineStr">
        <is>
          <t xml:space="preserve">  ↳ tkmm16ap</t>
        </is>
      </c>
      <c r="C17" s="7" t="inlineStr">
        <is>
          <t>Armament@PRIMARYUPGRADE</t>
        </is>
      </c>
      <c r="L17" s="6" t="n">
        <v>2000</v>
      </c>
      <c r="M17" s="6" t="n">
        <v>16</v>
      </c>
      <c r="N17" s="6" t="n">
        <v>5</v>
      </c>
      <c r="O17" s="6" t="n">
        <v>1</v>
      </c>
      <c r="P17" s="6" t="n">
        <v>5385</v>
      </c>
      <c r="Q17" s="6" t="n">
        <v>1</v>
      </c>
      <c r="R17">
        <f>M17+IF(N17&gt;1,N(O17)*(N17-1),0)</f>
        <v/>
      </c>
      <c r="S17">
        <f>IFERROR(L17*MAX(N17,1)/R17*IF(ISBLANK(K15),1,K15),0)</f>
        <v/>
      </c>
      <c r="AB17" s="7" t="inlineStr">
        <is>
          <t>^Warhead_Bullet_Medium</t>
        </is>
      </c>
    </row>
    <row r="18">
      <c r="B18" s="7" t="inlineStr">
        <is>
          <t xml:space="preserve">  ↳ tkmm16</t>
        </is>
      </c>
      <c r="C18" s="7" t="inlineStr">
        <is>
          <t>Armament@GARRISONED</t>
        </is>
      </c>
      <c r="L18" s="6" t="n">
        <v>2000</v>
      </c>
      <c r="M18" s="6" t="n">
        <v>16</v>
      </c>
      <c r="N18" s="6" t="n">
        <v>5</v>
      </c>
      <c r="O18" s="6" t="n">
        <v>1</v>
      </c>
      <c r="P18" s="6" t="n">
        <v>5385</v>
      </c>
      <c r="Q18" s="6" t="n">
        <v>0.75</v>
      </c>
      <c r="R18">
        <f>M18+IF(N18&gt;1,N(O18)*(N18-1),0)</f>
        <v/>
      </c>
      <c r="S18">
        <f>IFERROR(L18*MAX(N18,1)/R18*IF(ISBLANK(K15),1,K15),0)</f>
        <v/>
      </c>
      <c r="AB18" s="7" t="inlineStr">
        <is>
          <t>^Warhead_Bullet_Light</t>
        </is>
      </c>
    </row>
    <row r="19">
      <c r="B19" s="7" t="inlineStr">
        <is>
          <t xml:space="preserve">  ↳ tkmm16ap</t>
        </is>
      </c>
      <c r="C19" s="7" t="inlineStr">
        <is>
          <t>Armament@GARRISONEDUPGRADE</t>
        </is>
      </c>
      <c r="L19" s="6" t="n">
        <v>2000</v>
      </c>
      <c r="M19" s="6" t="n">
        <v>16</v>
      </c>
      <c r="N19" s="6" t="n">
        <v>5</v>
      </c>
      <c r="O19" s="6" t="n">
        <v>1</v>
      </c>
      <c r="P19" s="6" t="n">
        <v>5385</v>
      </c>
      <c r="Q19" s="6" t="n">
        <v>1</v>
      </c>
      <c r="R19">
        <f>M19+IF(N19&gt;1,N(O19)*(N19-1),0)</f>
        <v/>
      </c>
      <c r="S19">
        <f>IFERROR(L19*MAX(N19,1)/R19*IF(ISBLANK(K15),1,K15),0)</f>
        <v/>
      </c>
      <c r="AB19" s="7" t="inlineStr">
        <is>
          <t>^Warhead_Bullet_Medium</t>
        </is>
      </c>
    </row>
    <row r="20">
      <c r="A20" t="inlineStr">
        <is>
          <t>redalert2mod</t>
        </is>
      </c>
      <c r="B20" t="inlineStr">
        <is>
          <t>tkm_rifleman</t>
        </is>
      </c>
      <c r="C20" t="inlineStr">
        <is>
          <t>Rifleman</t>
        </is>
      </c>
      <c r="D20" s="6" t="inlineStr">
        <is>
          <t>ScoutInfantry</t>
        </is>
      </c>
      <c r="E20" s="6" t="n">
        <v>29000</v>
      </c>
      <c r="F20" s="6" t="n">
        <v>61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K20" s="6" t="n">
        <v>0.0089</v>
      </c>
      <c r="P20">
        <f>MAX(P21,P22)</f>
        <v/>
      </c>
      <c r="S20">
        <f>S21+S22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(((E20/20000)+(F20/60)+(S20/60)+((P20/5000)*J20))*100/4+(((E20/20000)*(F20/60))+(((P20/5000)*J20)*(S20/60)))*100/2+((E20/20000)*(F20/60)*((P20/5000)*J20)*(S20/60))*100)*(H20/1.0)/3</f>
        <v/>
      </c>
      <c r="X20" s="6" t="n">
        <v>120</v>
      </c>
      <c r="Y20">
        <f>IFERROR(W20-X20,"")</f>
        <v/>
      </c>
      <c r="Z20">
        <f>IFERROR(ABS(Y20)/MAX(X20,1),"")</f>
        <v/>
      </c>
      <c r="AA20">
        <f>IFERROR(ROUND(((3*X20-(((E20/20000)+(F20/60)+(S20/60))*100/4+((E20/20000)*(F20/60))*100/2)*(H20/1.0))/(100/4+((S20/60))*100/2+((E20/20000)*(F20/60)*(S20/60))*100)*(H20/1.0)*5000)/J20,-1),"")</f>
        <v/>
      </c>
    </row>
    <row r="21">
      <c r="B21" s="7" t="inlineStr">
        <is>
          <t xml:space="preserve">  ↳ tkm_rifleman_rifle</t>
        </is>
      </c>
      <c r="C21" s="7" t="inlineStr">
        <is>
          <t>Armament@PRIMARY</t>
        </is>
      </c>
      <c r="L21" s="6" t="n">
        <v>6000</v>
      </c>
      <c r="M21" s="6" t="n">
        <v>75</v>
      </c>
      <c r="N21" s="6" t="n">
        <v>1</v>
      </c>
      <c r="O21" s="6" t="n"/>
      <c r="P21" s="6" t="n">
        <v>5042</v>
      </c>
      <c r="Q21" s="6" t="n">
        <v>0.75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</t>
        </is>
      </c>
    </row>
    <row r="22">
      <c r="B22" s="7" t="inlineStr">
        <is>
          <t xml:space="preserve">  ↳ tkm_rifleman_semiautorifle</t>
        </is>
      </c>
      <c r="C22" s="7" t="inlineStr">
        <is>
          <t>Armament@PRIMARYUPGRADE</t>
        </is>
      </c>
      <c r="L22" s="6" t="n">
        <v>10000</v>
      </c>
      <c r="M22" s="6" t="n">
        <v>25</v>
      </c>
      <c r="N22" s="6" t="n">
        <v>1</v>
      </c>
      <c r="O22" s="6" t="n"/>
      <c r="P22" s="6" t="n">
        <v>5500</v>
      </c>
      <c r="Q22" s="6" t="n">
        <v>0.75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^Warhead_Bullet_Light</t>
        </is>
      </c>
    </row>
    <row r="23">
      <c r="B23" s="7" t="inlineStr">
        <is>
          <t xml:space="preserve">  ↳ tkm_rifleman_rifle</t>
        </is>
      </c>
      <c r="C23" s="7" t="inlineStr">
        <is>
          <t>Armament@GARRISONED</t>
        </is>
      </c>
      <c r="L23" s="6" t="n">
        <v>6000</v>
      </c>
      <c r="M23" s="6" t="n">
        <v>75</v>
      </c>
      <c r="N23" s="6" t="n">
        <v>1</v>
      </c>
      <c r="O23" s="6" t="n"/>
      <c r="P23" s="6" t="n">
        <v>5042</v>
      </c>
      <c r="Q23" s="6" t="n">
        <v>0.75</v>
      </c>
      <c r="R23">
        <f>M23+IF(N23&gt;1,N(O23)*(N23-1),0)</f>
        <v/>
      </c>
      <c r="S23">
        <f>IFERROR(L23*MAX(N23,1)/R23*IF(ISBLANK(K20),1,K20),0)</f>
        <v/>
      </c>
      <c r="AB23" s="7" t="inlineStr">
        <is>
          <t>^Warhead_Bullet_Light</t>
        </is>
      </c>
    </row>
    <row r="24">
      <c r="A24" t="inlineStr">
        <is>
          <t>redalert2mod</t>
        </is>
      </c>
      <c r="B24" t="inlineStr">
        <is>
          <t>tkm_rocketeer</t>
        </is>
      </c>
      <c r="C24" t="inlineStr">
        <is>
          <t>Rocketeer</t>
        </is>
      </c>
      <c r="D24" s="6" t="inlineStr">
        <is>
          <t>AntiTankAntiAirInfantry</t>
        </is>
      </c>
      <c r="E24" s="6" t="n">
        <v>9000</v>
      </c>
      <c r="F24" s="6" t="n">
        <v>60</v>
      </c>
      <c r="G24" t="inlineStr">
        <is>
          <t>Flak</t>
        </is>
      </c>
      <c r="H24" s="6" t="n">
        <v>1</v>
      </c>
      <c r="I24" s="6" t="n">
        <v>1</v>
      </c>
      <c r="J24" s="6" t="n">
        <v>1</v>
      </c>
      <c r="K24" s="6" t="n"/>
      <c r="P24">
        <f>MAX(P25,P26,P27,P28)</f>
        <v/>
      </c>
      <c r="S24">
        <f>S25+S26+S27+S28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200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tkmrockets</t>
        </is>
      </c>
      <c r="C25" s="7" t="inlineStr">
        <is>
          <t>Armament@PRIMARY</t>
        </is>
      </c>
      <c r="L25" s="6" t="n">
        <v>18000</v>
      </c>
      <c r="M25" s="6" t="n">
        <v>64</v>
      </c>
      <c r="N25" s="6" t="n">
        <v>1</v>
      </c>
      <c r="O25" s="6" t="n"/>
      <c r="P25" s="6" t="n">
        <v>6214</v>
      </c>
      <c r="Q25" s="6" t="n">
        <v>0.75</v>
      </c>
      <c r="R25">
        <f>M25+IF(N25&gt;1,N(O25)*(N25-1),0)</f>
        <v/>
      </c>
      <c r="S25">
        <f>IFERROR(L25*MAX(N25,1)/R25*IF(ISBLANK(K24),1,K24),0)</f>
        <v/>
      </c>
      <c r="AB25" s="7" t="inlineStr">
        <is>
          <t>^Warhead_MissileAP_Light</t>
        </is>
      </c>
    </row>
    <row r="26">
      <c r="B26" s="7" t="inlineStr">
        <is>
          <t xml:space="preserve">  ↳ tkmcryorockets</t>
        </is>
      </c>
      <c r="C26" s="7" t="inlineStr">
        <is>
          <t>Armament@PRIMARYNATO</t>
        </is>
      </c>
      <c r="L26" s="6" t="n">
        <v>18000</v>
      </c>
      <c r="M26" s="6" t="n">
        <v>64</v>
      </c>
      <c r="N26" s="6" t="n">
        <v>1</v>
      </c>
      <c r="O26" s="6" t="n"/>
      <c r="P26" s="6" t="n">
        <v>6214</v>
      </c>
      <c r="Q26" s="6" t="n">
        <v>0.75</v>
      </c>
      <c r="R26">
        <f>M26+IF(N26&gt;1,N(O26)*(N26-1),0)</f>
        <v/>
      </c>
      <c r="S26">
        <f>IFERROR(L26*MAX(N26,1)/R26*IF(ISBLANK(K24),1,K24),0)</f>
        <v/>
      </c>
      <c r="AB26" s="7" t="inlineStr">
        <is>
          <t>^Warhead_MissileAP_Light</t>
        </is>
      </c>
    </row>
    <row r="27">
      <c r="B27" s="7" t="inlineStr">
        <is>
          <t xml:space="preserve">  ↳ tkmtwinrockets</t>
        </is>
      </c>
      <c r="C27" s="7" t="inlineStr">
        <is>
          <t>Armament@PRIMARYBEREZKA</t>
        </is>
      </c>
      <c r="L27" s="6" t="n">
        <v>18000</v>
      </c>
      <c r="M27" s="6" t="n">
        <v>64</v>
      </c>
      <c r="N27" s="6" t="n">
        <v>2</v>
      </c>
      <c r="O27" s="6" t="n"/>
      <c r="P27" s="6" t="n">
        <v>7214</v>
      </c>
      <c r="Q27" s="6" t="n">
        <v>0.75</v>
      </c>
      <c r="R27">
        <f>M27+IF(N27&gt;1,N(O27)*(N27-1),0)</f>
        <v/>
      </c>
      <c r="S27">
        <f>IFERROR(L27*MAX(N27,1)/R27*IF(ISBLANK(K24),1,K24),0)</f>
        <v/>
      </c>
      <c r="AB27" s="7" t="inlineStr">
        <is>
          <t>^Warhead_MissileAP_Light</t>
        </is>
      </c>
    </row>
    <row r="28">
      <c r="B28" s="7" t="inlineStr">
        <is>
          <t xml:space="preserve">  ↳ tkmfirerockets</t>
        </is>
      </c>
      <c r="C28" s="7" t="inlineStr">
        <is>
          <t>Armament@PRIMARYTITAN</t>
        </is>
      </c>
      <c r="L28" s="6" t="n">
        <v>22000</v>
      </c>
      <c r="M28" s="6" t="n">
        <v>64</v>
      </c>
      <c r="N28" s="6" t="n">
        <v>1</v>
      </c>
      <c r="O28" s="6" t="n"/>
      <c r="P28" s="6" t="n">
        <v>6214</v>
      </c>
      <c r="Q28" s="6" t="n">
        <v>0.75</v>
      </c>
      <c r="R28">
        <f>M28+IF(N28&gt;1,N(O28)*(N28-1),0)</f>
        <v/>
      </c>
      <c r="S28">
        <f>IFERROR(L28*MAX(N28,1)/R28*IF(ISBLANK(K24),1,K24),0)</f>
        <v/>
      </c>
      <c r="AB28" s="7" t="inlineStr">
        <is>
          <t>^Warhead_MissileAP_Light, ^Warhead_Flame_Light</t>
        </is>
      </c>
    </row>
    <row r="29">
      <c r="B29" s="7" t="inlineStr">
        <is>
          <t xml:space="preserve">  ↳ Rockets</t>
        </is>
      </c>
      <c r="C29" s="7" t="inlineStr">
        <is>
          <t>Armament@GARRISONED</t>
        </is>
      </c>
      <c r="L29" s="6" t="n">
        <v>18000</v>
      </c>
      <c r="M29" s="6" t="n">
        <v>63</v>
      </c>
      <c r="N29" s="6" t="n">
        <v>1</v>
      </c>
      <c r="O29" s="6" t="n"/>
      <c r="P29" s="6" t="n">
        <v>6368</v>
      </c>
      <c r="Q29" s="6" t="n">
        <v>0.75</v>
      </c>
      <c r="R29">
        <f>M29+IF(N29&gt;1,N(O29)*(N29-1),0)</f>
        <v/>
      </c>
      <c r="S29">
        <f>IFERROR(L29*MAX(N29,1)/R29*IF(ISBLANK(K24),1,K24),0)</f>
        <v/>
      </c>
      <c r="AB29" s="7" t="inlineStr">
        <is>
          <t>^Warhead_MissileAP_Light</t>
        </is>
      </c>
    </row>
    <row r="30">
      <c r="B30" s="7" t="inlineStr">
        <is>
          <t xml:space="preserve">  ↳ tkmcryorockets</t>
        </is>
      </c>
      <c r="C30" s="7" t="inlineStr">
        <is>
          <t>Armament@GARRISONEDTITAN</t>
        </is>
      </c>
      <c r="L30" s="6" t="n">
        <v>18000</v>
      </c>
      <c r="M30" s="6" t="n">
        <v>64</v>
      </c>
      <c r="N30" s="6" t="n">
        <v>1</v>
      </c>
      <c r="O30" s="6" t="n"/>
      <c r="P30" s="6" t="n">
        <v>6214</v>
      </c>
      <c r="Q30" s="6" t="n">
        <v>0.75</v>
      </c>
      <c r="R30">
        <f>M30+IF(N30&gt;1,N(O30)*(N30-1),0)</f>
        <v/>
      </c>
      <c r="S30">
        <f>IFERROR(L30*MAX(N30,1)/R30*IF(ISBLANK(K24),1,K24),0)</f>
        <v/>
      </c>
      <c r="AB30" s="7" t="inlineStr">
        <is>
          <t>^Warhead_MissileAP_Light</t>
        </is>
      </c>
    </row>
    <row r="31">
      <c r="B31" s="7" t="inlineStr">
        <is>
          <t xml:space="preserve">  ↳ tkmtwinrockets</t>
        </is>
      </c>
      <c r="C31" s="7" t="inlineStr">
        <is>
          <t>Armament@GARRISONEDBEREZKA</t>
        </is>
      </c>
      <c r="L31" s="6" t="n">
        <v>18000</v>
      </c>
      <c r="M31" s="6" t="n">
        <v>64</v>
      </c>
      <c r="N31" s="6" t="n">
        <v>2</v>
      </c>
      <c r="O31" s="6" t="n"/>
      <c r="P31" s="6" t="n">
        <v>7214</v>
      </c>
      <c r="Q31" s="6" t="n">
        <v>0.75</v>
      </c>
      <c r="R31">
        <f>M31+IF(N31&gt;1,N(O31)*(N31-1),0)</f>
        <v/>
      </c>
      <c r="S31">
        <f>IFERROR(L31*MAX(N31,1)/R31*IF(ISBLANK(K24),1,K24),0)</f>
        <v/>
      </c>
      <c r="AB31" s="7" t="inlineStr">
        <is>
          <t>^Warhead_MissileAP_Light</t>
        </is>
      </c>
    </row>
    <row r="32">
      <c r="B32" s="7" t="inlineStr">
        <is>
          <t xml:space="preserve">  ↳ tkmfirerockets</t>
        </is>
      </c>
      <c r="C32" s="7" t="inlineStr">
        <is>
          <t>Armament@GARRISONEDNATO</t>
        </is>
      </c>
      <c r="L32" s="6" t="n">
        <v>22000</v>
      </c>
      <c r="M32" s="6" t="n">
        <v>64</v>
      </c>
      <c r="N32" s="6" t="n">
        <v>1</v>
      </c>
      <c r="O32" s="6" t="n"/>
      <c r="P32" s="6" t="n">
        <v>6214</v>
      </c>
      <c r="Q32" s="6" t="n">
        <v>0.75</v>
      </c>
      <c r="R32">
        <f>M32+IF(N32&gt;1,N(O32)*(N32-1),0)</f>
        <v/>
      </c>
      <c r="S32">
        <f>IFERROR(L32*MAX(N32,1)/R32*IF(ISBLANK(K24),1,K24),0)</f>
        <v/>
      </c>
      <c r="AB32" s="7" t="inlineStr">
        <is>
          <t>^Warhead_MissileAP_Light, ^Warhead_Flame_Light</t>
        </is>
      </c>
    </row>
    <row r="33">
      <c r="A33" t="inlineStr">
        <is>
          <t>redalert2mod</t>
        </is>
      </c>
      <c r="B33" t="inlineStr">
        <is>
          <t>tkm_sniper</t>
        </is>
      </c>
      <c r="C33" t="inlineStr">
        <is>
          <t>Sniper</t>
        </is>
      </c>
      <c r="D33" s="6" t="inlineStr">
        <is>
          <t>SniperInfantry</t>
        </is>
      </c>
      <c r="E33" s="6" t="n">
        <v>20000</v>
      </c>
      <c r="F33" s="6" t="n">
        <v>60</v>
      </c>
      <c r="G33" t="inlineStr">
        <is>
          <t>Flak</t>
        </is>
      </c>
      <c r="H33" s="6" t="n">
        <v>0.6522</v>
      </c>
      <c r="I33" s="6" t="n">
        <v>1</v>
      </c>
      <c r="J33" s="6" t="n">
        <v>1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600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tkmawp</t>
        </is>
      </c>
      <c r="C34" s="7" t="inlineStr">
        <is>
          <t>Armament@PRIMARY</t>
        </is>
      </c>
      <c r="L34" s="6" t="n">
        <v>44000</v>
      </c>
      <c r="M34" s="6" t="n">
        <v>55</v>
      </c>
      <c r="N34" s="6" t="n">
        <v>1</v>
      </c>
      <c r="O34" s="6" t="n"/>
      <c r="P34" s="6" t="n">
        <v>10021</v>
      </c>
      <c r="Q34" s="6" t="n">
        <v>0.75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^Warhead_Sniper_Light</t>
        </is>
      </c>
    </row>
    <row r="35">
      <c r="B35" s="7" t="inlineStr">
        <is>
          <t xml:space="preserve">  ↳ tkmawp</t>
        </is>
      </c>
      <c r="C35" s="7" t="inlineStr">
        <is>
          <t>Armament@GARRISONED</t>
        </is>
      </c>
      <c r="L35" s="6" t="n">
        <v>44000</v>
      </c>
      <c r="M35" s="6" t="n">
        <v>55</v>
      </c>
      <c r="N35" s="6" t="n">
        <v>1</v>
      </c>
      <c r="O35" s="6" t="n"/>
      <c r="P35" s="6" t="n">
        <v>10021</v>
      </c>
      <c r="Q35" s="6" t="n">
        <v>0.75</v>
      </c>
      <c r="R35">
        <f>M35+IF(N35&gt;1,N(O35)*(N35-1),0)</f>
        <v/>
      </c>
      <c r="S35">
        <f>IFERROR(L35*MAX(N35,1)/R35*IF(ISBLANK(K33),1,K33),0)</f>
        <v/>
      </c>
      <c r="AB35" s="7" t="inlineStr">
        <is>
          <t>^Warhead_Sniper_Light</t>
        </is>
      </c>
    </row>
    <row r="36">
      <c r="A36" t="inlineStr">
        <is>
          <t>redalert2mod</t>
        </is>
      </c>
      <c r="B36" t="inlineStr">
        <is>
          <t>tkm_spetsnaz</t>
        </is>
      </c>
      <c r="C36" t="inlineStr">
        <is>
          <t>Spetsnaz</t>
        </is>
      </c>
      <c r="D36" s="6" t="inlineStr">
        <is>
          <t>MeleeInfantry</t>
        </is>
      </c>
      <c r="E36" s="6" t="n">
        <v>50000</v>
      </c>
      <c r="F36" s="6" t="n">
        <v>100</v>
      </c>
      <c r="G36" t="inlineStr">
        <is>
          <t>Plate</t>
        </is>
      </c>
      <c r="H36" s="6" t="n">
        <v>0.6522</v>
      </c>
      <c r="I36" s="6" t="n">
        <v>1</v>
      </c>
      <c r="J36" s="6" t="n">
        <v>1</v>
      </c>
      <c r="K36" s="6" t="n"/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900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tkmsmg</t>
        </is>
      </c>
      <c r="C37" s="7" t="inlineStr">
        <is>
          <t>Armament@PRIMARY</t>
        </is>
      </c>
      <c r="L37" s="6" t="n">
        <v>2000</v>
      </c>
      <c r="M37" s="6" t="n">
        <v>10</v>
      </c>
      <c r="N37" s="6" t="n">
        <v>5</v>
      </c>
      <c r="O37" s="6" t="n">
        <v>2</v>
      </c>
      <c r="P37" s="6" t="n">
        <v>5750</v>
      </c>
      <c r="Q37" s="6" t="n">
        <v>0.75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^Warhead_Sniper_Light</t>
        </is>
      </c>
    </row>
    <row r="38">
      <c r="B38" s="7" t="inlineStr">
        <is>
          <t xml:space="preserve">  ↳ tkmsmg</t>
        </is>
      </c>
      <c r="C38" s="7" t="inlineStr">
        <is>
          <t>Armament@GARRISONED</t>
        </is>
      </c>
      <c r="L38" s="6" t="n">
        <v>2000</v>
      </c>
      <c r="M38" s="6" t="n">
        <v>10</v>
      </c>
      <c r="N38" s="6" t="n">
        <v>5</v>
      </c>
      <c r="O38" s="6" t="n">
        <v>2</v>
      </c>
      <c r="P38" s="6" t="n">
        <v>5750</v>
      </c>
      <c r="Q38" s="6" t="n">
        <v>0.75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^Warhead_Sniper_Light</t>
        </is>
      </c>
    </row>
    <row r="39">
      <c r="B39" s="7" t="inlineStr">
        <is>
          <t xml:space="preserve">  ↳ SEALAttach</t>
        </is>
      </c>
      <c r="C39" s="7" t="inlineStr">
        <is>
          <t>Armament@shipc4</t>
        </is>
      </c>
      <c r="L39" s="6" t="n"/>
      <c r="M39" s="6" t="n">
        <v>20</v>
      </c>
      <c r="N39" s="6" t="n">
        <v>1</v>
      </c>
      <c r="O39" s="6" t="n"/>
      <c r="P39" s="6" t="n">
        <v>2000</v>
      </c>
      <c r="Q39" s="6" t="n">
        <v>1</v>
      </c>
      <c r="R39">
        <f>M39+IF(N39&gt;1,N(O39)*(N39-1),0)</f>
        <v/>
      </c>
      <c r="S39">
        <f>IFERROR(L39*MAX(N39,1)/R39*IF(ISBLANK(K36),1,K36),0)</f>
        <v/>
      </c>
      <c r="AB39" s="7" t="inlineStr">
        <is>
          <t>TanyaAttach</t>
        </is>
      </c>
    </row>
    <row r="40">
      <c r="A40" t="inlineStr">
        <is>
          <t>redalert2mod</t>
        </is>
      </c>
      <c r="B40" t="inlineStr">
        <is>
          <t>tkm_thermonaut</t>
        </is>
      </c>
      <c r="C40" t="inlineStr">
        <is>
          <t>Thermonaut</t>
        </is>
      </c>
      <c r="D40" s="6" t="inlineStr">
        <is>
          <t>MeleeInfantry</t>
        </is>
      </c>
      <c r="E40" s="6" t="n">
        <v>60000</v>
      </c>
      <c r="F40" s="6" t="n">
        <v>60</v>
      </c>
      <c r="G40" t="inlineStr">
        <is>
          <t>Plate</t>
        </is>
      </c>
      <c r="H40" s="6" t="n">
        <v>0.6522</v>
      </c>
      <c r="I40" s="6" t="n">
        <v>1</v>
      </c>
      <c r="J40" s="6" t="n">
        <v>1</v>
      </c>
      <c r="K40" s="6" t="n"/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500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ThermoF</t>
        </is>
      </c>
      <c r="C41" s="7" t="inlineStr">
        <is>
          <t>Armament@PRIMARY</t>
        </is>
      </c>
      <c r="L41" s="6" t="n">
        <v>2000</v>
      </c>
      <c r="M41" s="6" t="n">
        <v>32</v>
      </c>
      <c r="N41" s="6" t="n">
        <v>13</v>
      </c>
      <c r="O41" s="6" t="n">
        <v>2</v>
      </c>
      <c r="P41" s="6" t="n">
        <v>3204</v>
      </c>
      <c r="Q41" s="6" t="n">
        <v>1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^Warhead_Flame_Medium</t>
        </is>
      </c>
    </row>
    <row r="42">
      <c r="B42" s="7" t="inlineStr">
        <is>
          <t xml:space="preserve">  ↳ ThermoF</t>
        </is>
      </c>
      <c r="C42" s="7" t="inlineStr">
        <is>
          <t>Armament@GARRISONED</t>
        </is>
      </c>
      <c r="L42" s="6" t="n">
        <v>2000</v>
      </c>
      <c r="M42" s="6" t="n">
        <v>32</v>
      </c>
      <c r="N42" s="6" t="n">
        <v>13</v>
      </c>
      <c r="O42" s="6" t="n">
        <v>2</v>
      </c>
      <c r="P42" s="6" t="n">
        <v>3204</v>
      </c>
      <c r="Q42" s="6" t="n">
        <v>1</v>
      </c>
      <c r="R42">
        <f>M42+IF(N42&gt;1,N(O42)*(N42-1),0)</f>
        <v/>
      </c>
      <c r="S42">
        <f>IFERROR(L42*MAX(N42,1)/R42*IF(ISBLANK(K40),1,K40),0)</f>
        <v/>
      </c>
      <c r="AB42" s="7" t="inlineStr">
        <is>
          <t>^Warhead_Flame_Medium</t>
        </is>
      </c>
    </row>
    <row r="43">
      <c r="A43" t="inlineStr">
        <is>
          <t>redalert2mod</t>
        </is>
      </c>
      <c r="B43" t="inlineStr">
        <is>
          <t>tkm_trooper</t>
        </is>
      </c>
      <c r="C43" t="inlineStr">
        <is>
          <t>Trooper</t>
        </is>
      </c>
      <c r="D43" s="6" t="inlineStr">
        <is>
          <t>SpecialForcesInfantry</t>
        </is>
      </c>
      <c r="E43" s="6" t="n">
        <v>33000</v>
      </c>
      <c r="F43" s="6" t="n">
        <v>59</v>
      </c>
      <c r="G43" t="inlineStr">
        <is>
          <t>Flak</t>
        </is>
      </c>
      <c r="H43" s="6" t="n">
        <v>1</v>
      </c>
      <c r="I43" s="6" t="n">
        <v>1</v>
      </c>
      <c r="J43" s="6" t="n">
        <v>1</v>
      </c>
      <c r="K43" s="6" t="n">
        <v>0.0037</v>
      </c>
      <c r="P43">
        <f>MAX(P44,P46)</f>
        <v/>
      </c>
      <c r="S43">
        <f>S44+S46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(((E43/15000)+(F43/50)+(S43/240)+((P43/6000)*J43))*200/4+(((E43/15000)*(F43/50))+(((P43/6000)*J43)*(S43/240)))*200/2+((E43/15000)*(F43/50)*((P43/6000)*J43)*(S43/240))*200)*(H43/1.0)/3</f>
        <v/>
      </c>
      <c r="X43" s="6" t="n">
        <v>200</v>
      </c>
      <c r="Y43">
        <f>IFERROR(W43-X43,"")</f>
        <v/>
      </c>
      <c r="Z43">
        <f>IFERROR(ABS(Y43)/MAX(X43,1),"")</f>
        <v/>
      </c>
      <c r="AA43">
        <f>IFERROR(ROUND(((3*X43-(((E43/15000)+(F43/50)+(S43/240))*200/4+((E43/15000)*(F43/50))*200/2)*(H43/1.0))/(200/4+((S43/240))*200/2+((E43/15000)*(F43/50)*(S43/240))*200)*(H43/1.0)*6000)/J43,-1),"")</f>
        <v/>
      </c>
    </row>
    <row r="44">
      <c r="B44" s="7" t="inlineStr">
        <is>
          <t xml:space="preserve">  ↳ tkm_trooper_ak</t>
        </is>
      </c>
      <c r="C44" s="7" t="inlineStr">
        <is>
          <t>Armament@PRIMARY</t>
        </is>
      </c>
      <c r="L44" s="6" t="n">
        <v>2000</v>
      </c>
      <c r="M44" s="6" t="n">
        <v>31</v>
      </c>
      <c r="N44" s="6" t="n">
        <v>5</v>
      </c>
      <c r="O44" s="6" t="n">
        <v>1</v>
      </c>
      <c r="P44" s="6" t="n">
        <v>5191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^Warhead_Bullet_Light</t>
        </is>
      </c>
    </row>
    <row r="45">
      <c r="B45" s="7" t="inlineStr">
        <is>
          <t xml:space="preserve">  ↳ tkm_trooper_ak</t>
        </is>
      </c>
      <c r="C45" s="7" t="inlineStr">
        <is>
          <t>Armament@GARRISONED</t>
        </is>
      </c>
      <c r="L45" s="6" t="n">
        <v>2000</v>
      </c>
      <c r="M45" s="6" t="n">
        <v>31</v>
      </c>
      <c r="N45" s="6" t="n">
        <v>5</v>
      </c>
      <c r="O45" s="6" t="n">
        <v>1</v>
      </c>
      <c r="P45" s="6" t="n">
        <v>5191</v>
      </c>
      <c r="Q45" s="6" t="n">
        <v>1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^Warhead_Bullet_Light</t>
        </is>
      </c>
    </row>
    <row r="46">
      <c r="B46" s="7" t="inlineStr">
        <is>
          <t xml:space="preserve">  ↳ tkm_trooper_gp25</t>
        </is>
      </c>
      <c r="C46" s="7" t="inlineStr">
        <is>
          <t>Armament@gp25</t>
        </is>
      </c>
      <c r="L46" s="6" t="n">
        <v>12000</v>
      </c>
      <c r="M46" s="6" t="n">
        <v>80</v>
      </c>
      <c r="N46" s="6" t="n">
        <v>1</v>
      </c>
      <c r="O46" s="6" t="n"/>
      <c r="P46" s="6" t="n">
        <v>5500</v>
      </c>
      <c r="Q46" s="6" t="n">
        <v>1</v>
      </c>
      <c r="R46">
        <f>M46+IF(N46&gt;1,N(O46)*(N46-1),0)</f>
        <v/>
      </c>
      <c r="S46">
        <f>IFERROR(L46*MAX(N46,1)/R46*IF(ISBLANK(K43),1,K43),0)</f>
        <v/>
      </c>
      <c r="AB46" s="7" t="inlineStr">
        <is>
          <t>^Warhead_Demolition_Light, ^Warhead_Flame_Light</t>
        </is>
      </c>
    </row>
    <row r="47">
      <c r="B47" s="7" t="inlineStr">
        <is>
          <t xml:space="preserve">  ↳ tkm_trooper_gp25</t>
        </is>
      </c>
      <c r="C47" s="7" t="inlineStr">
        <is>
          <t>Armament@GARRISONEDM203</t>
        </is>
      </c>
      <c r="L47" s="6" t="n">
        <v>12000</v>
      </c>
      <c r="M47" s="6" t="n">
        <v>80</v>
      </c>
      <c r="N47" s="6" t="n">
        <v>1</v>
      </c>
      <c r="O47" s="6" t="n"/>
      <c r="P47" s="6" t="n">
        <v>5500</v>
      </c>
      <c r="Q47" s="6" t="n">
        <v>1</v>
      </c>
      <c r="R47">
        <f>M47+IF(N47&gt;1,N(O47)*(N47-1),0)</f>
        <v/>
      </c>
      <c r="S47">
        <f>IFERROR(L47*MAX(N47,1)/R47*IF(ISBLANK(K43),1,K43),0)</f>
        <v/>
      </c>
      <c r="AB47" s="7" t="inlineStr">
        <is>
          <t>^Warhead_Demolition_Light, ^Warhead_Flame_Light</t>
        </is>
      </c>
    </row>
    <row r="48">
      <c r="A48" t="inlineStr">
        <is>
          <t>redalert2mod</t>
        </is>
      </c>
      <c r="B48" t="inlineStr">
        <is>
          <t>tkm_von</t>
        </is>
      </c>
      <c r="C48" t="inlineStr">
        <is>
          <t>Von</t>
        </is>
      </c>
      <c r="D48" s="6" t="inlineStr">
        <is>
          <t>HeroInfantry</t>
        </is>
      </c>
      <c r="E48" s="6" t="n">
        <v>50000</v>
      </c>
      <c r="F48" s="6" t="n">
        <v>75</v>
      </c>
      <c r="G48" t="inlineStr">
        <is>
          <t>Heroic</t>
        </is>
      </c>
      <c r="H48" s="6" t="n">
        <v>0.75</v>
      </c>
      <c r="I48" s="6" t="n">
        <v>1</v>
      </c>
      <c r="J48" s="6" t="n">
        <v>1.25</v>
      </c>
      <c r="K48" s="6" t="n"/>
      <c r="P48">
        <f>MAX(P49,P50,P51)</f>
        <v/>
      </c>
      <c r="S48">
        <f>S49+S50+S51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3000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VonSniperLockdown</t>
        </is>
      </c>
      <c r="C49" s="7" t="inlineStr">
        <is>
          <t>Armament@lockdown</t>
        </is>
      </c>
      <c r="L49" s="6" t="n">
        <v>204000</v>
      </c>
      <c r="M49" s="6" t="n">
        <v>100</v>
      </c>
      <c r="N49" s="6" t="n">
        <v>1</v>
      </c>
      <c r="O49" s="6" t="n"/>
      <c r="P49" s="6" t="n">
        <v>7879</v>
      </c>
      <c r="Q49" s="6" t="n">
        <v>1.25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^Warhead_Tesla_Super, ^Warhead_CannonHE_Heavy</t>
        </is>
      </c>
    </row>
    <row r="50">
      <c r="B50" s="7" t="inlineStr">
        <is>
          <t xml:space="preserve">  ↳ VonSniper</t>
        </is>
      </c>
      <c r="C50" s="7" t="inlineStr">
        <is>
          <t>Armament@PRIMARY</t>
        </is>
      </c>
      <c r="L50" s="6" t="n">
        <v>30000</v>
      </c>
      <c r="M50" s="6" t="n">
        <v>25</v>
      </c>
      <c r="N50" s="6" t="n">
        <v>1</v>
      </c>
      <c r="O50" s="6" t="n"/>
      <c r="P50" s="6" t="n">
        <v>7879</v>
      </c>
      <c r="Q50" s="6" t="n">
        <v>1.25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^Warhead_CannonHE_Heavy</t>
        </is>
      </c>
    </row>
    <row r="51">
      <c r="B51" s="7" t="inlineStr">
        <is>
          <t xml:space="preserve">  ↳ VonSniperAP</t>
        </is>
      </c>
      <c r="C51" s="7" t="inlineStr">
        <is>
          <t>Armament@PRIMARYUPGRADE</t>
        </is>
      </c>
      <c r="L51" s="6" t="n">
        <v>92000</v>
      </c>
      <c r="M51" s="6" t="n">
        <v>50</v>
      </c>
      <c r="N51" s="6" t="n">
        <v>1</v>
      </c>
      <c r="O51" s="6" t="n"/>
      <c r="P51" s="6" t="n">
        <v>7879</v>
      </c>
      <c r="Q51" s="6" t="n">
        <v>1.25</v>
      </c>
      <c r="R51">
        <f>M51+IF(N51&gt;1,N(O51)*(N51-1),0)</f>
        <v/>
      </c>
      <c r="S51">
        <f>IFERROR(L51*MAX(N51,1)/R51*IF(ISBLANK(K48),1,K48),0)</f>
        <v/>
      </c>
      <c r="AB51" s="7" t="inlineStr">
        <is>
          <t>^Warhead_CannonHE_Heavy</t>
        </is>
      </c>
    </row>
    <row r="52">
      <c r="B52" s="7" t="inlineStr">
        <is>
          <t xml:space="preserve">  ↳ VonSniper</t>
        </is>
      </c>
      <c r="C52" s="7" t="inlineStr">
        <is>
          <t>Armament@GARRISONED</t>
        </is>
      </c>
      <c r="L52" s="6" t="n">
        <v>30000</v>
      </c>
      <c r="M52" s="6" t="n">
        <v>25</v>
      </c>
      <c r="N52" s="6" t="n">
        <v>1</v>
      </c>
      <c r="O52" s="6" t="n"/>
      <c r="P52" s="6" t="n">
        <v>7879</v>
      </c>
      <c r="Q52" s="6" t="n">
        <v>1.25</v>
      </c>
      <c r="R52">
        <f>M52+IF(N52&gt;1,N(O52)*(N52-1),0)</f>
        <v/>
      </c>
      <c r="S52">
        <f>IFERROR(L52*MAX(N52,1)/R52*IF(ISBLANK(K48),1,K48),0)</f>
        <v/>
      </c>
      <c r="AB52" s="7" t="inlineStr">
        <is>
          <t>^Warhead_CannonHE_Heavy</t>
        </is>
      </c>
    </row>
    <row r="53">
      <c r="B53" s="7" t="inlineStr">
        <is>
          <t xml:space="preserve">  ↳ VonSniperAP</t>
        </is>
      </c>
      <c r="C53" s="7" t="inlineStr">
        <is>
          <t>Armament@GARRISONEDUPGRADE</t>
        </is>
      </c>
      <c r="L53" s="6" t="n">
        <v>92000</v>
      </c>
      <c r="M53" s="6" t="n">
        <v>50</v>
      </c>
      <c r="N53" s="6" t="n">
        <v>1</v>
      </c>
      <c r="O53" s="6" t="n"/>
      <c r="P53" s="6" t="n">
        <v>7879</v>
      </c>
      <c r="Q53" s="6" t="n">
        <v>1.25</v>
      </c>
      <c r="R53">
        <f>M53+IF(N53&gt;1,N(O53)*(N53-1),0)</f>
        <v/>
      </c>
      <c r="S53">
        <f>IFERROR(L53*MAX(N53,1)/R53*IF(ISBLANK(K48),1,K48),0)</f>
        <v/>
      </c>
      <c r="AB53" s="7" t="inlineStr">
        <is>
          <t>^Warhead_CannonHE_Heavy</t>
        </is>
      </c>
    </row>
    <row r="54">
      <c r="A54" t="inlineStr">
        <is>
          <t>redalert2mod</t>
        </is>
      </c>
      <c r="B54" t="inlineStr">
        <is>
          <t>tkmvan</t>
        </is>
      </c>
      <c r="C54" t="inlineStr">
        <is>
          <t>Van</t>
        </is>
      </c>
      <c r="D54" s="6" t="inlineStr">
        <is>
          <t>HeroInfantry</t>
        </is>
      </c>
      <c r="E54" s="6" t="n">
        <v>40000</v>
      </c>
      <c r="F54" s="6" t="n">
        <v>75</v>
      </c>
      <c r="G54" t="inlineStr">
        <is>
          <t>Heroic</t>
        </is>
      </c>
      <c r="H54" s="6" t="n">
        <v>1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3500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VanSniper</t>
        </is>
      </c>
      <c r="C55" s="7" t="inlineStr">
        <is>
          <t>Armament@PRIMARY</t>
        </is>
      </c>
      <c r="L55" s="6" t="n">
        <v>80000</v>
      </c>
      <c r="M55" s="6" t="n">
        <v>30</v>
      </c>
      <c r="N55" s="6" t="n">
        <v>1</v>
      </c>
      <c r="O55" s="6" t="n"/>
      <c r="P55" s="6" t="n">
        <v>12402</v>
      </c>
      <c r="Q55" s="6" t="n">
        <v>0.75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^Warhead_Sniper_Light</t>
        </is>
      </c>
    </row>
    <row r="56">
      <c r="B56" s="7" t="inlineStr">
        <is>
          <t xml:space="preserve">  ↳ VanSniper</t>
        </is>
      </c>
      <c r="C56" s="7" t="inlineStr">
        <is>
          <t>Armament@GARRISONED</t>
        </is>
      </c>
      <c r="L56" s="6" t="n">
        <v>80000</v>
      </c>
      <c r="M56" s="6" t="n">
        <v>30</v>
      </c>
      <c r="N56" s="6" t="n">
        <v>1</v>
      </c>
      <c r="O56" s="6" t="n"/>
      <c r="P56" s="6" t="n">
        <v>12402</v>
      </c>
      <c r="Q56" s="6" t="n">
        <v>0.75</v>
      </c>
      <c r="R56">
        <f>M56+IF(N56&gt;1,N(O56)*(N56-1),0)</f>
        <v/>
      </c>
      <c r="S56">
        <f>IFERROR(L56*MAX(N56,1)/R56*IF(ISBLANK(K54),1,K54),0)</f>
        <v/>
      </c>
      <c r="AB56" s="7" t="inlineStr">
        <is>
          <t>^Warhead_Sniper_Light</t>
        </is>
      </c>
    </row>
    <row r="57">
      <c r="A57" t="inlineStr">
        <is>
          <t>redalert2mod</t>
        </is>
      </c>
      <c r="B57" t="inlineStr">
        <is>
          <t>tkmworker</t>
        </is>
      </c>
      <c r="C57" t="inlineStr">
        <is>
          <t>Worker</t>
        </is>
      </c>
      <c r="D57" s="6" t="inlineStr">
        <is>
          <t>MeleeInfantry</t>
        </is>
      </c>
      <c r="E57" s="6" t="n">
        <v>10000</v>
      </c>
      <c r="F57" s="6" t="n">
        <v>60</v>
      </c>
      <c r="G57" t="inlineStr">
        <is>
          <t>Plate</t>
        </is>
      </c>
      <c r="H57" s="6" t="n">
        <v>1</v>
      </c>
      <c r="I57" s="6" t="n">
        <v>1</v>
      </c>
      <c r="J57" s="6" t="n">
        <v>1</v>
      </c>
      <c r="K57" s="6" t="n"/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250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RA2Shovel</t>
        </is>
      </c>
      <c r="C58" s="7" t="inlineStr">
        <is>
          <t>Armament@PRIMARY</t>
        </is>
      </c>
      <c r="L58" s="6" t="n">
        <v>2000</v>
      </c>
      <c r="M58" s="6" t="n">
        <v>30</v>
      </c>
      <c r="N58" s="6" t="n">
        <v>1</v>
      </c>
      <c r="O58" s="6" t="n"/>
      <c r="P58" s="6" t="n">
        <v>1500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^Warhead_Melee_Medium</t>
        </is>
      </c>
    </row>
    <row r="59">
      <c r="B59" s="7" t="inlineStr">
        <is>
          <t xml:space="preserve">  ↳ RA2Shovel</t>
        </is>
      </c>
      <c r="C59" s="7" t="inlineStr">
        <is>
          <t>Armament@GARRISONED</t>
        </is>
      </c>
      <c r="L59" s="6" t="n">
        <v>2000</v>
      </c>
      <c r="M59" s="6" t="n">
        <v>30</v>
      </c>
      <c r="N59" s="6" t="n">
        <v>1</v>
      </c>
      <c r="O59" s="6" t="n"/>
      <c r="P59" s="6" t="n">
        <v>1500</v>
      </c>
      <c r="Q59" s="6" t="n">
        <v>1</v>
      </c>
      <c r="R59">
        <f>M59+IF(N59&gt;1,N(O59)*(N59-1),0)</f>
        <v/>
      </c>
      <c r="S59">
        <f>IFERROR(L59*MAX(N59,1)/R59*IF(ISBLANK(K57),1,K57),0)</f>
        <v/>
      </c>
      <c r="AB59" s="7" t="inlineStr">
        <is>
          <t>^Warhead_Melee_Medium</t>
        </is>
      </c>
    </row>
    <row r="60">
      <c r="A60" s="4" t="inlineStr">
        <is>
          <t>VEHICLES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redalert2mod</t>
        </is>
      </c>
      <c r="B61" t="inlineStr">
        <is>
          <t>tkm_abrams</t>
        </is>
      </c>
      <c r="C61" t="inlineStr">
        <is>
          <t>Abrams</t>
        </is>
      </c>
      <c r="D61" s="6" t="inlineStr">
        <is>
          <t>MainBattleTank</t>
        </is>
      </c>
      <c r="E61" s="6" t="n">
        <v>120000</v>
      </c>
      <c r="F61" s="6" t="n">
        <v>80</v>
      </c>
      <c r="G61" t="inlineStr">
        <is>
          <t>Heavy</t>
        </is>
      </c>
      <c r="H61" s="6" t="n">
        <v>0.7082000000000001</v>
      </c>
      <c r="I61" s="6" t="n">
        <v>1</v>
      </c>
      <c r="J61" s="6" t="n">
        <v>1</v>
      </c>
      <c r="K61" s="6" t="n"/>
      <c r="P61">
        <f>MAX(P62)</f>
        <v/>
      </c>
      <c r="S61">
        <f>S62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(((E61/240000)+(F61/95)+(S61/600)+((P61/5500)*J61))*800/4+(((E61/240000)*(F61/95))+(((P61/5500)*J61)*(S61/600)))*800/2+((E61/240000)*(F61/95)*((P61/5500)*J61)*(S61/600))*800)*(H61/1.0)/3</f>
        <v/>
      </c>
      <c r="X61" s="6" t="n">
        <v>1000</v>
      </c>
      <c r="Y61">
        <f>IFERROR(W61-X61,"")</f>
        <v/>
      </c>
      <c r="Z61">
        <f>IFERROR(ABS(Y61)/MAX(X61,1),"")</f>
        <v/>
      </c>
      <c r="AA61">
        <f>IFERROR(ROUND(((3*X61-(((E61/240000)+(F61/95)+(S61/600))*800/4+((E61/240000)*(F61/95))*800/2)*(H61/1.0))/(800/4+((S61/600))*800/2+((E61/240000)*(F61/95)*(S61/600))*800)*(H61/1.0)*5500)/J61,-1),"")</f>
        <v/>
      </c>
    </row>
    <row r="62">
      <c r="B62" s="7" t="inlineStr">
        <is>
          <t xml:space="preserve">  ↳ tkmrh120gun</t>
        </is>
      </c>
      <c r="C62" s="7" t="inlineStr">
        <is>
          <t>Armament@cannon</t>
        </is>
      </c>
      <c r="L62" s="6" t="n">
        <v>12000</v>
      </c>
      <c r="M62" s="6" t="n">
        <v>46</v>
      </c>
      <c r="N62" s="6" t="n">
        <v>1</v>
      </c>
      <c r="O62" s="6" t="n"/>
      <c r="P62" s="6" t="n">
        <v>5672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^Warhead_CannonHE_Medium</t>
        </is>
      </c>
    </row>
    <row r="63">
      <c r="A63" t="inlineStr">
        <is>
          <t>redalert2mod</t>
        </is>
      </c>
      <c r="B63" t="inlineStr">
        <is>
          <t>tkm_as42</t>
        </is>
      </c>
      <c r="C63" t="inlineStr">
        <is>
          <t>TKM AS42</t>
        </is>
      </c>
      <c r="D63" s="6" t="inlineStr">
        <is>
          <t>ScoutVehicle</t>
        </is>
      </c>
      <c r="E63" s="6" t="n">
        <v>27500</v>
      </c>
      <c r="F63" s="6" t="n">
        <v>150</v>
      </c>
      <c r="G63" t="inlineStr">
        <is>
          <t>Scout</t>
        </is>
      </c>
      <c r="H63" s="6" t="n">
        <v>0.9016</v>
      </c>
      <c r="I63" s="6" t="n">
        <v>1</v>
      </c>
      <c r="J63" s="6" t="n">
        <v>1</v>
      </c>
      <c r="K63" s="6" t="n"/>
      <c r="P63">
        <f>MAX(P64,P65,P66,P67)</f>
        <v/>
      </c>
      <c r="S63">
        <f>S64+S65+S66+S67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(((E63/30000)+(F63/200)+(S63/450)+((P63/4500)*J63))*300/4+(((E63/30000)*(F63/200))+(((P63/4500)*J63)*(S63/450)))*300/2+((E63/30000)*(F63/200)*((P63/4500)*J63)*(S63/450))*300)*(H63/1.0)/3</f>
        <v/>
      </c>
      <c r="X63" s="6" t="n">
        <v>400</v>
      </c>
      <c r="Y63">
        <f>IFERROR(W63-X63,"")</f>
        <v/>
      </c>
      <c r="Z63">
        <f>IFERROR(ABS(Y63)/MAX(X63,1),"")</f>
        <v/>
      </c>
      <c r="AA63">
        <f>IFERROR(ROUND(((3*X63-(((E63/30000)+(F63/200)+(S63/450))*300/4+((E63/30000)*(F63/200))*300/2)*(H63/1.0))/(300/4+((S63/450))*300/2+((E63/30000)*(F63/200)*(S63/450))*300)*(H63/1.0)*4500)/J63,-1),"")</f>
        <v/>
      </c>
    </row>
    <row r="64">
      <c r="B64" s="7" t="inlineStr">
        <is>
          <t xml:space="preserve">  ↳ as42rockets</t>
        </is>
      </c>
      <c r="C64" s="7" t="inlineStr">
        <is>
          <t>Armament@Missiles</t>
        </is>
      </c>
      <c r="L64" s="6" t="n">
        <v>20000</v>
      </c>
      <c r="M64" s="6" t="n">
        <v>30</v>
      </c>
      <c r="N64" s="6" t="n">
        <v>1</v>
      </c>
      <c r="O64" s="6" t="n"/>
      <c r="P64" s="6" t="n">
        <v>6379</v>
      </c>
      <c r="Q64" s="6" t="n">
        <v>0.75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^Warhead_MissileAP_Light</t>
        </is>
      </c>
    </row>
    <row r="65">
      <c r="B65" s="7" t="inlineStr">
        <is>
          <t xml:space="preserve">  ↳ tkmcryorockets</t>
        </is>
      </c>
      <c r="C65" s="7" t="inlineStr">
        <is>
          <t>Armament@PRIMARYNATO</t>
        </is>
      </c>
      <c r="L65" s="6" t="n">
        <v>18000</v>
      </c>
      <c r="M65" s="6" t="n">
        <v>64</v>
      </c>
      <c r="N65" s="6" t="n">
        <v>1</v>
      </c>
      <c r="O65" s="6" t="n"/>
      <c r="P65" s="6" t="n">
        <v>6214</v>
      </c>
      <c r="Q65" s="6" t="n">
        <v>0.75</v>
      </c>
      <c r="R65">
        <f>M65+IF(N65&gt;1,N(O65)*(N65-1),0)</f>
        <v/>
      </c>
      <c r="S65">
        <f>IFERROR(L65*MAX(N65,1)/R65*IF(ISBLANK(K63),1,K63),0)</f>
        <v/>
      </c>
      <c r="AB65" s="7" t="inlineStr">
        <is>
          <t>^Warhead_MissileAP_Light</t>
        </is>
      </c>
    </row>
    <row r="66">
      <c r="B66" s="7" t="inlineStr">
        <is>
          <t xml:space="preserve">  ↳ tkmtwinrockets</t>
        </is>
      </c>
      <c r="C66" s="7" t="inlineStr">
        <is>
          <t>Armament@PRIMARYBEREZKA</t>
        </is>
      </c>
      <c r="L66" s="6" t="n">
        <v>18000</v>
      </c>
      <c r="M66" s="6" t="n">
        <v>64</v>
      </c>
      <c r="N66" s="6" t="n">
        <v>2</v>
      </c>
      <c r="O66" s="6" t="n"/>
      <c r="P66" s="6" t="n">
        <v>7214</v>
      </c>
      <c r="Q66" s="6" t="n">
        <v>0.75</v>
      </c>
      <c r="R66">
        <f>M66+IF(N66&gt;1,N(O66)*(N66-1),0)</f>
        <v/>
      </c>
      <c r="S66">
        <f>IFERROR(L66*MAX(N66,1)/R66*IF(ISBLANK(K63),1,K63),0)</f>
        <v/>
      </c>
      <c r="AB66" s="7" t="inlineStr">
        <is>
          <t>^Warhead_MissileAP_Light</t>
        </is>
      </c>
    </row>
    <row r="67">
      <c r="B67" s="7" t="inlineStr">
        <is>
          <t xml:space="preserve">  ↳ tkmfirerockets</t>
        </is>
      </c>
      <c r="C67" s="7" t="inlineStr">
        <is>
          <t>Armament@PRIMARYTITAN</t>
        </is>
      </c>
      <c r="L67" s="6" t="n">
        <v>22000</v>
      </c>
      <c r="M67" s="6" t="n">
        <v>64</v>
      </c>
      <c r="N67" s="6" t="n">
        <v>1</v>
      </c>
      <c r="O67" s="6" t="n"/>
      <c r="P67" s="6" t="n">
        <v>6214</v>
      </c>
      <c r="Q67" s="6" t="n">
        <v>0.75</v>
      </c>
      <c r="R67">
        <f>M67+IF(N67&gt;1,N(O67)*(N67-1),0)</f>
        <v/>
      </c>
      <c r="S67">
        <f>IFERROR(L67*MAX(N67,1)/R67*IF(ISBLANK(K63),1,K63),0)</f>
        <v/>
      </c>
      <c r="AB67" s="7" t="inlineStr">
        <is>
          <t>^Warhead_MissileAP_Light, ^Warhead_Flame_Light</t>
        </is>
      </c>
    </row>
    <row r="68">
      <c r="A68" t="inlineStr">
        <is>
          <t>redalert2mod</t>
        </is>
      </c>
      <c r="B68" t="inlineStr">
        <is>
          <t>tkm_battlebus</t>
        </is>
      </c>
      <c r="C68" t="inlineStr">
        <is>
          <t>Battle Bus</t>
        </is>
      </c>
      <c r="D68" s="6" t="inlineStr">
        <is>
          <t>LineBreaker</t>
        </is>
      </c>
      <c r="E68" s="6" t="n">
        <v>50000</v>
      </c>
      <c r="F68" s="6" t="n">
        <v>100</v>
      </c>
      <c r="G68" t="inlineStr">
        <is>
          <t>Superheavy</t>
        </is>
      </c>
      <c r="H68" s="6" t="n">
        <v>0.4955</v>
      </c>
      <c r="I68" s="6" t="n">
        <v>1</v>
      </c>
      <c r="J68" s="6" t="n">
        <v>1</v>
      </c>
      <c r="K68" s="6" t="n"/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(((E68/750000)+(F68/80)+(S68/1600)+((P68/2500)*J68))*1600/4+(((E68/750000)*(F68/80))+(((P68/2500)*J68)*(S68/1600)))*1600/2+((E68/750000)*(F68/80)*((P68/2500)*J68)*(S68/1600))*1600)*(H68/1.0)/3</f>
        <v/>
      </c>
      <c r="X68" s="6" t="n">
        <v>1250</v>
      </c>
      <c r="Y68">
        <f>IFERROR(W68-X68,"")</f>
        <v/>
      </c>
      <c r="Z68">
        <f>IFERROR(ABS(Y68)/MAX(X68,1),"")</f>
        <v/>
      </c>
      <c r="AA68">
        <f>IFERROR(ROUND(((3*X68-(((E68/750000)+(F68/80)+(S68/1600))*1600/4+((E68/750000)*(F68/80))*1600/2)*(H68/1.0))/(1600/4+((S68/1600))*1600/2+((E68/750000)*(F68/80)*(S68/1600))*1600)*(H68/1.0)*2500)/J68,-1),"")</f>
        <v/>
      </c>
    </row>
    <row r="69">
      <c r="B69" s="7" t="inlineStr">
        <is>
          <t xml:space="preserve">  ↳ TKMMedicHeal</t>
        </is>
      </c>
      <c r="C69" s="7" t="inlineStr">
        <is>
          <t>Armament</t>
        </is>
      </c>
      <c r="L69" s="6" t="n">
        <v>-3000</v>
      </c>
      <c r="M69" s="6" t="n">
        <v>5</v>
      </c>
      <c r="N69" s="6" t="n">
        <v>1</v>
      </c>
      <c r="O69" s="6" t="n"/>
      <c r="P69" s="6" t="n">
        <v>4831</v>
      </c>
      <c r="Q69" s="6" t="n">
        <v>1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^HealingWeapon</t>
        </is>
      </c>
    </row>
    <row r="70">
      <c r="A70" t="inlineStr">
        <is>
          <t>redalert2mod</t>
        </is>
      </c>
      <c r="B70" t="inlineStr">
        <is>
          <t>tkm_bigshiee</t>
        </is>
      </c>
      <c r="C70" t="inlineStr">
        <is>
          <t>Big Shiee</t>
        </is>
      </c>
      <c r="D70" s="6" t="inlineStr">
        <is>
          <t>EpicVehicle</t>
        </is>
      </c>
      <c r="E70" s="6" t="n">
        <v>500000</v>
      </c>
      <c r="F70" s="6" t="n">
        <v>50</v>
      </c>
      <c r="G70" t="inlineStr">
        <is>
          <t>Superheavy</t>
        </is>
      </c>
      <c r="H70" s="6" t="n">
        <v>0.4955</v>
      </c>
      <c r="I70" s="6" t="n">
        <v>1</v>
      </c>
      <c r="J70" s="6" t="n">
        <v>1</v>
      </c>
      <c r="K70" s="6" t="n"/>
      <c r="P70">
        <f>MAX(P71,P72,P73,P74,P75,P76,P77,P78)</f>
        <v/>
      </c>
      <c r="S70">
        <f>S71+S72+S73+S74+S75+S76+S77+S78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(((E70/4000000)+(F70/60)+(S70/20000)+((P70/8500)*J70))*10000/4+(((E70/4000000)*(F70/60))+(((P70/8500)*J70)*(S70/20000)))*10000/2+((E70/4000000)*(F70/60)*((P70/8500)*J70)*(S70/20000))*10000)*(H70/0.75)/3</f>
        <v/>
      </c>
      <c r="X70" s="6" t="n">
        <v>5000</v>
      </c>
      <c r="Y70">
        <f>IFERROR(W70-X70,"")</f>
        <v/>
      </c>
      <c r="Z70">
        <f>IFERROR(ABS(Y70)/MAX(X70,1),"")</f>
        <v/>
      </c>
      <c r="AA70">
        <f>IFERROR(ROUND(((3*X70-(((E70/4000000)+(F70/60)+(S70/20000))*10000/4+((E70/4000000)*(F70/60))*10000/2)*(H70/0.75))/(10000/4+((S70/20000))*10000/2+((E70/4000000)*(F70/60)*(S70/20000))*10000)*(H70/0.75)*8500)/J70,-1),"")</f>
        <v/>
      </c>
    </row>
    <row r="71">
      <c r="B71" s="7" t="inlineStr">
        <is>
          <t xml:space="preserve">  ↳ BigShieeTusk</t>
        </is>
      </c>
      <c r="C71" s="7" t="inlineStr">
        <is>
          <t>Armament@PRIMARY</t>
        </is>
      </c>
      <c r="L71" s="6" t="n">
        <v>80000</v>
      </c>
      <c r="M71" s="6" t="n">
        <v>83</v>
      </c>
      <c r="N71" s="6" t="n">
        <v>2</v>
      </c>
      <c r="O71" s="6" t="n">
        <v>3</v>
      </c>
      <c r="P71" s="6" t="n">
        <v>7238</v>
      </c>
      <c r="Q71" s="6" t="n">
        <v>1.125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^Warhead_MissileHE_Heavy, ^Warhead_Concussion_Medium</t>
        </is>
      </c>
    </row>
    <row r="72">
      <c r="B72" s="7" t="inlineStr">
        <is>
          <t xml:space="preserve">  ↳ SandmarineTuskCryo</t>
        </is>
      </c>
      <c r="C72" s="7" t="inlineStr">
        <is>
          <t>Armament@PRIMARYNATO</t>
        </is>
      </c>
      <c r="L72" s="6" t="n">
        <v>80000</v>
      </c>
      <c r="M72" s="6" t="n">
        <v>129</v>
      </c>
      <c r="N72" s="6" t="n">
        <v>3</v>
      </c>
      <c r="O72" s="6" t="n">
        <v>3</v>
      </c>
      <c r="P72" s="6" t="n">
        <v>6464</v>
      </c>
      <c r="Q72" s="6" t="n">
        <v>1.125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^Warhead_MissileHE_Heavy, ^Warhead_Concussion_Medium</t>
        </is>
      </c>
    </row>
    <row r="73">
      <c r="B73" s="7" t="inlineStr">
        <is>
          <t xml:space="preserve">  ↳ SandmarineTuskCryo</t>
        </is>
      </c>
      <c r="C73" s="7" t="inlineStr">
        <is>
          <t>Armament@SECONDARYNATO</t>
        </is>
      </c>
      <c r="L73" s="6" t="n">
        <v>80000</v>
      </c>
      <c r="M73" s="6" t="n">
        <v>129</v>
      </c>
      <c r="N73" s="6" t="n">
        <v>3</v>
      </c>
      <c r="O73" s="6" t="n">
        <v>3</v>
      </c>
      <c r="P73" s="6" t="n">
        <v>6464</v>
      </c>
      <c r="Q73" s="6" t="n">
        <v>1.125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^Warhead_MissileHE_Heavy, ^Warhead_Concussion_Medium</t>
        </is>
      </c>
    </row>
    <row r="74">
      <c r="B74" s="7" t="inlineStr">
        <is>
          <t xml:space="preserve">  ↳ SandmarineTuskTwin</t>
        </is>
      </c>
      <c r="C74" s="7" t="inlineStr">
        <is>
          <t>Armament@PRIMARYBEREZKA</t>
        </is>
      </c>
      <c r="L74" s="6" t="n">
        <v>60000</v>
      </c>
      <c r="M74" s="6" t="n">
        <v>54</v>
      </c>
      <c r="N74" s="6" t="n">
        <v>8</v>
      </c>
      <c r="O74" s="6" t="n">
        <v>3</v>
      </c>
      <c r="P74" s="6" t="n">
        <v>6102</v>
      </c>
      <c r="Q74" s="6" t="n">
        <v>1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^Warhead_MissileHE_Heavy, ^Warhead_Concussion_Medium, ^Warhead_MissileAP_Medium</t>
        </is>
      </c>
    </row>
    <row r="75">
      <c r="B75" s="7" t="inlineStr">
        <is>
          <t xml:space="preserve">  ↳ SandmarineTuskTwin</t>
        </is>
      </c>
      <c r="C75" s="7" t="inlineStr">
        <is>
          <t>Armament@SECONDARYBEREZKA</t>
        </is>
      </c>
      <c r="L75" s="6" t="n">
        <v>60000</v>
      </c>
      <c r="M75" s="6" t="n">
        <v>54</v>
      </c>
      <c r="N75" s="6" t="n">
        <v>8</v>
      </c>
      <c r="O75" s="6" t="n">
        <v>3</v>
      </c>
      <c r="P75" s="6" t="n">
        <v>6102</v>
      </c>
      <c r="Q75" s="6" t="n">
        <v>1</v>
      </c>
      <c r="R75">
        <f>M75+IF(N75&gt;1,N(O75)*(N75-1),0)</f>
        <v/>
      </c>
      <c r="S75">
        <f>IFERROR(L75*MAX(N75,1)/R75*IF(ISBLANK(K70),1,K70),0)</f>
        <v/>
      </c>
      <c r="AB75" s="7" t="inlineStr">
        <is>
          <t>^Warhead_MissileHE_Heavy, ^Warhead_Concussion_Medium, ^Warhead_MissileAP_Medium</t>
        </is>
      </c>
    </row>
    <row r="76">
      <c r="B76" s="7" t="inlineStr">
        <is>
          <t xml:space="preserve">  ↳ SandmarineTuskFire</t>
        </is>
      </c>
      <c r="C76" s="7" t="inlineStr">
        <is>
          <t>Armament@PRIMARYTITAN</t>
        </is>
      </c>
      <c r="L76" s="6" t="n">
        <v>88000</v>
      </c>
      <c r="M76" s="6" t="n">
        <v>129</v>
      </c>
      <c r="N76" s="6" t="n">
        <v>3</v>
      </c>
      <c r="O76" s="6" t="n">
        <v>3</v>
      </c>
      <c r="P76" s="6" t="n">
        <v>6464</v>
      </c>
      <c r="Q76" s="6" t="n">
        <v>1</v>
      </c>
      <c r="R76">
        <f>M76+IF(N76&gt;1,N(O76)*(N76-1),0)</f>
        <v/>
      </c>
      <c r="S76">
        <f>IFERROR(L76*MAX(N76,1)/R76*IF(ISBLANK(K70),1,K70),0)</f>
        <v/>
      </c>
      <c r="AB76" s="7" t="inlineStr">
        <is>
          <t>^Warhead_MissileAP_Light, ^Warhead_Flame_Light, ^Warhead_MissileHE_Heavy, ^Warhead_Concussion_Medium</t>
        </is>
      </c>
    </row>
    <row r="77">
      <c r="B77" s="7" t="inlineStr">
        <is>
          <t xml:space="preserve">  ↳ SandmarineTuskFire</t>
        </is>
      </c>
      <c r="C77" s="7" t="inlineStr">
        <is>
          <t>Armament@SECONDARYTITAN</t>
        </is>
      </c>
      <c r="L77" s="6" t="n">
        <v>88000</v>
      </c>
      <c r="M77" s="6" t="n">
        <v>129</v>
      </c>
      <c r="N77" s="6" t="n">
        <v>3</v>
      </c>
      <c r="O77" s="6" t="n">
        <v>3</v>
      </c>
      <c r="P77" s="6" t="n">
        <v>6464</v>
      </c>
      <c r="Q77" s="6" t="n">
        <v>1</v>
      </c>
      <c r="R77">
        <f>M77+IF(N77&gt;1,N(O77)*(N77-1),0)</f>
        <v/>
      </c>
      <c r="S77">
        <f>IFERROR(L77*MAX(N77,1)/R77*IF(ISBLANK(K70),1,K70),0)</f>
        <v/>
      </c>
      <c r="AB77" s="7" t="inlineStr">
        <is>
          <t>^Warhead_MissileAP_Light, ^Warhead_Flame_Light, ^Warhead_MissileHE_Heavy, ^Warhead_Concussion_Medium</t>
        </is>
      </c>
    </row>
    <row r="78">
      <c r="B78" s="7" t="inlineStr">
        <is>
          <t xml:space="preserve">  ↳ bigshieemortar</t>
        </is>
      </c>
      <c r="C78" s="7" t="inlineStr">
        <is>
          <t>Armament@Mortar</t>
        </is>
      </c>
      <c r="L78" s="6" t="n">
        <v>160000</v>
      </c>
      <c r="M78" s="6" t="n">
        <v>86</v>
      </c>
      <c r="N78" s="6" t="n">
        <v>1</v>
      </c>
      <c r="O78" s="6" t="n"/>
      <c r="P78" s="6" t="n">
        <v>7238</v>
      </c>
      <c r="Q78" s="6" t="n">
        <v>1.125</v>
      </c>
      <c r="R78">
        <f>M78+IF(N78&gt;1,N(O78)*(N78-1),0)</f>
        <v/>
      </c>
      <c r="S78">
        <f>IFERROR(L78*MAX(N78,1)/R78*IF(ISBLANK(K70),1,K70),0)</f>
        <v/>
      </c>
      <c r="AB78" s="7" t="inlineStr">
        <is>
          <t>^Warhead_Demolition_Heavy, ^Warhead_Flame_Medium</t>
        </is>
      </c>
    </row>
    <row r="79">
      <c r="A79" t="inlineStr">
        <is>
          <t>redalert2mod</t>
        </is>
      </c>
      <c r="B79" t="inlineStr">
        <is>
          <t>tkm_dronepodtruck</t>
        </is>
      </c>
      <c r="C79" t="inlineStr">
        <is>
          <t>Drone Pod Truck</t>
        </is>
      </c>
      <c r="D79" s="6" t="inlineStr">
        <is>
          <t>Artillery</t>
        </is>
      </c>
      <c r="E79" s="6" t="n">
        <v>60000</v>
      </c>
      <c r="F79" s="6" t="n">
        <v>60</v>
      </c>
      <c r="G79" t="inlineStr">
        <is>
          <t>Light</t>
        </is>
      </c>
      <c r="H79" s="6" t="n">
        <v>0.4955</v>
      </c>
      <c r="I79" s="6" t="n">
        <v>1</v>
      </c>
      <c r="J79" s="6" t="n">
        <v>1</v>
      </c>
      <c r="K79" s="6" t="n"/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(((E79/60000)+(F79/75)+(S79/500)+((P79/15000)*J79))*500/4+(((E79/60000)*(F79/75))+(((P79/15000)*J79)*(S79/500)))*500/2+((E79/60000)*(F79/75)*((P79/15000)*J79)*(S79/500))*500)*(H79/1.0)/3</f>
        <v/>
      </c>
      <c r="X79" s="6" t="n">
        <v>1600</v>
      </c>
      <c r="Y79">
        <f>IFERROR(W79-X79,"")</f>
        <v/>
      </c>
      <c r="Z79">
        <f>IFERROR(ABS(Y79)/MAX(X79,1),"")</f>
        <v/>
      </c>
      <c r="AA79">
        <f>IFERROR(ROUND(((3*X79-(((E79/60000)+(F79/75)+(S79/500))*500/4+((E79/60000)*(F79/75))*500/2)*(H79/1.0))/(500/4+((S79/500))*500/2+((E79/60000)*(F79/75)*(S79/500))*500)*(H79/1.0)*15000)/J79,-1),"")</f>
        <v/>
      </c>
    </row>
    <row r="80">
      <c r="B80" s="7" t="inlineStr">
        <is>
          <t xml:space="preserve">  ↳ DronePodTruckLaser</t>
        </is>
      </c>
      <c r="C80" s="7" t="inlineStr">
        <is>
          <t>Armament</t>
        </is>
      </c>
      <c r="L80" s="6" t="n">
        <v>1</v>
      </c>
      <c r="M80" s="6" t="n">
        <v>5</v>
      </c>
      <c r="N80" s="6" t="n">
        <v>1</v>
      </c>
      <c r="O80" s="6" t="n"/>
      <c r="P80" s="6" t="n">
        <v>23589</v>
      </c>
      <c r="Q80" s="6" t="n">
        <v>1</v>
      </c>
      <c r="R80">
        <f>M80+IF(N80&gt;1,N(O80)*(N80-1),0)</f>
        <v/>
      </c>
      <c r="S80">
        <f>IFERROR(L80*MAX(N80,1)/R80*IF(ISBLANK(K79),1,K79),0)</f>
        <v/>
      </c>
      <c r="AB80" s="7" t="inlineStr"/>
    </row>
    <row r="81">
      <c r="A81" t="inlineStr">
        <is>
          <t>redalert2mod</t>
        </is>
      </c>
      <c r="B81" t="inlineStr">
        <is>
          <t>tkm_flakbus</t>
        </is>
      </c>
      <c r="C81" t="inlineStr">
        <is>
          <t>Flak Bus</t>
        </is>
      </c>
      <c r="D81" s="6" t="inlineStr">
        <is>
          <t>AntiAirVehicle</t>
        </is>
      </c>
      <c r="E81" s="6" t="n">
        <v>120000</v>
      </c>
      <c r="F81" s="6" t="n">
        <v>60</v>
      </c>
      <c r="G81" t="inlineStr">
        <is>
          <t>Medium</t>
        </is>
      </c>
      <c r="H81" s="6" t="n">
        <v>0.4955</v>
      </c>
      <c r="I81" s="6" t="n">
        <v>1</v>
      </c>
      <c r="J81" s="6" t="n">
        <v>1</v>
      </c>
      <c r="K81" s="6" t="n"/>
      <c r="X81" s="6" t="n">
        <v>1800</v>
      </c>
    </row>
    <row r="82">
      <c r="A82" t="inlineStr">
        <is>
          <t>redalert2mod</t>
        </is>
      </c>
      <c r="B82" t="inlineStr">
        <is>
          <t>tkm_medictruck</t>
        </is>
      </c>
      <c r="C82" t="inlineStr">
        <is>
          <t>Medic Truck</t>
        </is>
      </c>
      <c r="D82" s="6" t="inlineStr">
        <is>
          <t>SupportVehicle</t>
        </is>
      </c>
      <c r="E82" s="6" t="n">
        <v>50000</v>
      </c>
      <c r="F82" s="6" t="n">
        <v>75</v>
      </c>
      <c r="G82" t="inlineStr">
        <is>
          <t>Light</t>
        </is>
      </c>
      <c r="H82" s="6" t="n">
        <v>0.9016</v>
      </c>
      <c r="I82" s="6" t="n">
        <v>1</v>
      </c>
      <c r="J82" s="6" t="n">
        <v>1</v>
      </c>
      <c r="K82" s="6" t="n"/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1000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TKMMedicHeal</t>
        </is>
      </c>
      <c r="C83" s="7" t="inlineStr">
        <is>
          <t>Armament@Heal</t>
        </is>
      </c>
      <c r="L83" s="6" t="n">
        <v>-3000</v>
      </c>
      <c r="M83" s="6" t="n">
        <v>5</v>
      </c>
      <c r="N83" s="6" t="n">
        <v>1</v>
      </c>
      <c r="O83" s="6" t="n"/>
      <c r="P83" s="6" t="n">
        <v>4831</v>
      </c>
      <c r="Q83" s="6" t="n">
        <v>1</v>
      </c>
      <c r="R83">
        <f>M83+IF(N83&gt;1,N(O83)*(N83-1),0)</f>
        <v/>
      </c>
      <c r="S83">
        <f>IFERROR(L83*MAX(N83,1)/R83*IF(ISBLANK(K82),1,K82),0)</f>
        <v/>
      </c>
      <c r="AB83" s="7" t="inlineStr">
        <is>
          <t>^HealingWeapon</t>
        </is>
      </c>
    </row>
    <row r="84">
      <c r="A84" t="inlineStr">
        <is>
          <t>redalert2mod</t>
        </is>
      </c>
      <c r="B84" t="inlineStr">
        <is>
          <t>tkm_mobileconstructionvehicletkm</t>
        </is>
      </c>
      <c r="C84" t="inlineStr">
        <is>
          <t>Mobile Construction Vehicle (TKM)</t>
        </is>
      </c>
      <c r="D84" s="6" t="inlineStr">
        <is>
          <t>SupportVehicle</t>
        </is>
      </c>
      <c r="E84" s="6" t="n">
        <v>300000</v>
      </c>
      <c r="F84" s="6" t="n">
        <v>75</v>
      </c>
      <c r="G84" t="inlineStr">
        <is>
          <t>Medium</t>
        </is>
      </c>
      <c r="H84" s="6" t="n">
        <v>0.9016</v>
      </c>
      <c r="I84" s="6" t="n">
        <v>1</v>
      </c>
      <c r="J84" s="6" t="n">
        <v>1</v>
      </c>
      <c r="K84" s="6" t="n"/>
      <c r="X84" s="6" t="n">
        <v>5000</v>
      </c>
    </row>
    <row r="85">
      <c r="A85" t="inlineStr">
        <is>
          <t>redalert2mod</t>
        </is>
      </c>
      <c r="B85" t="inlineStr">
        <is>
          <t>tkm_quadtruck</t>
        </is>
      </c>
      <c r="C85" t="inlineStr">
        <is>
          <t>TKM Quad Truck</t>
        </is>
      </c>
      <c r="D85" s="6" t="inlineStr">
        <is>
          <t>SupportVehicle</t>
        </is>
      </c>
      <c r="E85" s="6" t="n">
        <v>65000</v>
      </c>
      <c r="F85" s="6" t="n">
        <v>90</v>
      </c>
      <c r="G85" t="inlineStr">
        <is>
          <t>Light</t>
        </is>
      </c>
      <c r="H85" s="6" t="n">
        <v>0.7082000000000001</v>
      </c>
      <c r="I85" s="6" t="n">
        <v>1</v>
      </c>
      <c r="J85" s="6" t="n">
        <v>1</v>
      </c>
      <c r="K85" s="6" t="n"/>
      <c r="P85">
        <f>MAX(P86,P87)</f>
        <v/>
      </c>
      <c r="S85">
        <f>S86+S87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900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TKMQuadCannonAG</t>
        </is>
      </c>
      <c r="C86" s="7" t="inlineStr">
        <is>
          <t>Armament@AG</t>
        </is>
      </c>
      <c r="L86" s="6" t="n">
        <v>4000</v>
      </c>
      <c r="M86" s="6" t="n">
        <v>10</v>
      </c>
      <c r="N86" s="6" t="n">
        <v>1</v>
      </c>
      <c r="O86" s="6" t="n"/>
      <c r="P86" s="6" t="n">
        <v>5253</v>
      </c>
      <c r="Q86" s="6" t="n">
        <v>0.875</v>
      </c>
      <c r="R86">
        <f>M86+IF(N86&gt;1,N(O86)*(N86-1),0)</f>
        <v/>
      </c>
      <c r="S86">
        <f>IFERROR(L86*MAX(N86,1)/R86*IF(ISBLANK(K85),1,K85),0)</f>
        <v/>
      </c>
      <c r="AB86" s="7" t="inlineStr">
        <is>
          <t>^Warhead_Bullet_Light, ^Warhead_Flak_Medium</t>
        </is>
      </c>
    </row>
    <row r="87">
      <c r="B87" s="7" t="inlineStr">
        <is>
          <t xml:space="preserve">  ↳ TKMQuadCannonAA</t>
        </is>
      </c>
      <c r="C87" s="7" t="inlineStr">
        <is>
          <t>Armament@AA</t>
        </is>
      </c>
      <c r="L87" s="6" t="n">
        <v>4000</v>
      </c>
      <c r="M87" s="6" t="n">
        <v>10</v>
      </c>
      <c r="N87" s="6" t="n">
        <v>1</v>
      </c>
      <c r="O87" s="6" t="n"/>
      <c r="P87" s="6" t="n">
        <v>7880</v>
      </c>
      <c r="Q87" s="6" t="n">
        <v>0.875</v>
      </c>
      <c r="R87">
        <f>M87+IF(N87&gt;1,N(O87)*(N87-1),0)</f>
        <v/>
      </c>
      <c r="S87">
        <f>IFERROR(L87*MAX(N87,1)/R87*IF(ISBLANK(K85),1,K85),0)</f>
        <v/>
      </c>
      <c r="AB87" s="7" t="inlineStr">
        <is>
          <t>^Warhead_Bullet_Light, ^Warhead_Flak_Medium</t>
        </is>
      </c>
    </row>
    <row r="88">
      <c r="A88" t="inlineStr">
        <is>
          <t>redalert2mod</t>
        </is>
      </c>
      <c r="B88" t="inlineStr">
        <is>
          <t>tkm_radartruck</t>
        </is>
      </c>
      <c r="C88" t="inlineStr">
        <is>
          <t>Radar Truck</t>
        </is>
      </c>
      <c r="D88" s="6" t="inlineStr">
        <is>
          <t>SupportVehicle</t>
        </is>
      </c>
      <c r="E88" s="6" t="n">
        <v>75000</v>
      </c>
      <c r="F88" s="6" t="n">
        <v>75</v>
      </c>
      <c r="G88" t="inlineStr">
        <is>
          <t>Light</t>
        </is>
      </c>
      <c r="H88" s="6" t="n">
        <v>0.9016</v>
      </c>
      <c r="I88" s="6" t="n">
        <v>1</v>
      </c>
      <c r="J88" s="6" t="n">
        <v>1</v>
      </c>
      <c r="K88" s="6" t="n"/>
      <c r="X88" s="6" t="n">
        <v>1000</v>
      </c>
    </row>
    <row r="89">
      <c r="B89" s="7" t="inlineStr">
        <is>
          <t xml:space="preserve">  ↳ TKMLockOn</t>
        </is>
      </c>
      <c r="C89" s="7" t="inlineStr">
        <is>
          <t>Armament</t>
        </is>
      </c>
      <c r="L89" s="6" t="n"/>
      <c r="M89" s="6" t="n">
        <v>20</v>
      </c>
      <c r="N89" s="6" t="n">
        <v>1</v>
      </c>
      <c r="O89" s="6" t="n"/>
      <c r="P89" s="6" t="n">
        <v>10000</v>
      </c>
      <c r="Q89" s="6" t="n">
        <v>1</v>
      </c>
      <c r="R89">
        <f>M89+IF(N89&gt;1,N(O89)*(N89-1),0)</f>
        <v/>
      </c>
      <c r="S89">
        <f>IFERROR(L89*MAX(N89,1)/R89*IF(ISBLANK(K88),1,K88),0)</f>
        <v/>
      </c>
      <c r="AB89" s="7" t="inlineStr"/>
    </row>
    <row r="90">
      <c r="A90" t="inlineStr">
        <is>
          <t>redalert2mod</t>
        </is>
      </c>
      <c r="B90" t="inlineStr">
        <is>
          <t>tkm_repairtruck</t>
        </is>
      </c>
      <c r="C90" t="inlineStr">
        <is>
          <t>Repair Truck</t>
        </is>
      </c>
      <c r="D90" s="6" t="inlineStr">
        <is>
          <t>SupportVehicle</t>
        </is>
      </c>
      <c r="E90" s="6" t="n">
        <v>50000</v>
      </c>
      <c r="F90" s="6" t="n">
        <v>75</v>
      </c>
      <c r="G90" t="inlineStr">
        <is>
          <t>Light</t>
        </is>
      </c>
      <c r="H90" s="6" t="n">
        <v>0.9016</v>
      </c>
      <c r="I90" s="6" t="n">
        <v>1</v>
      </c>
      <c r="J90" s="6" t="n">
        <v>1</v>
      </c>
      <c r="K90" s="6" t="n"/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1000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RA2IFVRepair</t>
        </is>
      </c>
      <c r="C91" s="7" t="inlineStr">
        <is>
          <t>Armament@repair</t>
        </is>
      </c>
      <c r="L91" s="6" t="n">
        <v>-3000</v>
      </c>
      <c r="M91" s="6" t="n">
        <v>50</v>
      </c>
      <c r="N91" s="6" t="n">
        <v>10</v>
      </c>
      <c r="O91" s="6" t="n">
        <v>1</v>
      </c>
      <c r="P91" s="6" t="n">
        <v>5000</v>
      </c>
      <c r="Q91" s="6" t="n">
        <v>1</v>
      </c>
      <c r="R91">
        <f>M91+IF(N91&gt;1,N(O91)*(N91-1),0)</f>
        <v/>
      </c>
      <c r="S91">
        <f>IFERROR(L91*MAX(N91,1)/R91*IF(ISBLANK(K90),1,K90),0)</f>
        <v/>
      </c>
      <c r="AB91" s="7" t="inlineStr">
        <is>
          <t>^RepairWeapon</t>
        </is>
      </c>
    </row>
    <row r="92">
      <c r="A92" t="inlineStr">
        <is>
          <t>redalert2mod</t>
        </is>
      </c>
      <c r="B92" t="inlineStr">
        <is>
          <t>tkm_sandmarine</t>
        </is>
      </c>
      <c r="C92" t="inlineStr">
        <is>
          <t>Sand Marine</t>
        </is>
      </c>
      <c r="D92" s="6" t="inlineStr">
        <is>
          <t>EpicVehicle</t>
        </is>
      </c>
      <c r="E92" s="6" t="n">
        <v>800000</v>
      </c>
      <c r="F92" s="6" t="n">
        <v>30</v>
      </c>
      <c r="G92" t="inlineStr">
        <is>
          <t>Superheavy</t>
        </is>
      </c>
      <c r="H92" s="6" t="n">
        <v>0.4955</v>
      </c>
      <c r="I92" s="6" t="n">
        <v>1</v>
      </c>
      <c r="J92" s="6" t="n">
        <v>1</v>
      </c>
      <c r="K92" s="6" t="n"/>
      <c r="P92">
        <f>MAX(P93,P94,P95,P96,P97,P98,P99,P100)</f>
        <v/>
      </c>
      <c r="S92">
        <f>S93+S94+S95+S96+S97+S98+S99+S100</f>
        <v/>
      </c>
      <c r="T92">
        <f>(E92/100000+F92/100+(P92/1000)*J92/5+S92/200)*200*I92*H92</f>
        <v/>
      </c>
      <c r="U92">
        <f>((E92*F92/25000)+((P92/1000)*J92*S92/2.5))*I92*H92</f>
        <v/>
      </c>
      <c r="V92">
        <f>(E92*F92*(P92/1000)*J92*S92*I92*H92)/12500000</f>
        <v/>
      </c>
      <c r="W92">
        <f>(((E92/4000000)+(F92/60)+(S92/20000)+((P92/8500)*J92))*10000/4+(((E92/4000000)*(F92/60))+(((P92/8500)*J92)*(S92/20000)))*10000/2+((E92/4000000)*(F92/60)*((P92/8500)*J92)*(S92/20000))*10000)*(H92/0.75)/3</f>
        <v/>
      </c>
      <c r="X92" s="6" t="n">
        <v>5000</v>
      </c>
      <c r="Y92">
        <f>IFERROR(W92-X92,"")</f>
        <v/>
      </c>
      <c r="Z92">
        <f>IFERROR(ABS(Y92)/MAX(X92,1),"")</f>
        <v/>
      </c>
      <c r="AA92">
        <f>IFERROR(ROUND(((3*X92-(((E92/4000000)+(F92/60)+(S92/20000))*10000/4+((E92/4000000)*(F92/60))*10000/2)*(H92/0.75))/(10000/4+((S92/20000))*10000/2+((E92/4000000)*(F92/60)*(S92/20000))*10000)*(H92/0.75)*8500)/J92,-1),"")</f>
        <v/>
      </c>
    </row>
    <row r="93">
      <c r="B93" s="7" t="inlineStr">
        <is>
          <t xml:space="preserve">  ↳ SandmarineTusk</t>
        </is>
      </c>
      <c r="C93" s="7" t="inlineStr">
        <is>
          <t>Armament@PRIMARY</t>
        </is>
      </c>
      <c r="L93" s="6" t="n">
        <v>80000</v>
      </c>
      <c r="M93" s="6" t="n">
        <v>129</v>
      </c>
      <c r="N93" s="6" t="n">
        <v>3</v>
      </c>
      <c r="O93" s="6" t="n">
        <v>3</v>
      </c>
      <c r="P93" s="6" t="n">
        <v>6464</v>
      </c>
      <c r="Q93" s="6" t="n">
        <v>1.125</v>
      </c>
      <c r="R93">
        <f>M93+IF(N93&gt;1,N(O93)*(N93-1),0)</f>
        <v/>
      </c>
      <c r="S93">
        <f>IFERROR(L93*MAX(N93,1)/R93*IF(ISBLANK(K92),1,K92),0)</f>
        <v/>
      </c>
      <c r="AB93" s="7" t="inlineStr">
        <is>
          <t>^Warhead_MissileHE_Heavy, ^Warhead_Concussion_Medium</t>
        </is>
      </c>
    </row>
    <row r="94">
      <c r="B94" s="7" t="inlineStr">
        <is>
          <t xml:space="preserve">  ↳ SandmarineTuskCryo</t>
        </is>
      </c>
      <c r="C94" s="7" t="inlineStr">
        <is>
          <t>Armament@PRIMARYNATO</t>
        </is>
      </c>
      <c r="L94" s="6" t="n">
        <v>80000</v>
      </c>
      <c r="M94" s="6" t="n">
        <v>129</v>
      </c>
      <c r="N94" s="6" t="n">
        <v>3</v>
      </c>
      <c r="O94" s="6" t="n">
        <v>3</v>
      </c>
      <c r="P94" s="6" t="n">
        <v>6464</v>
      </c>
      <c r="Q94" s="6" t="n">
        <v>1.125</v>
      </c>
      <c r="R94">
        <f>M94+IF(N94&gt;1,N(O94)*(N94-1),0)</f>
        <v/>
      </c>
      <c r="S94">
        <f>IFERROR(L94*MAX(N94,1)/R94*IF(ISBLANK(K92),1,K92),0)</f>
        <v/>
      </c>
      <c r="AB94" s="7" t="inlineStr">
        <is>
          <t>^Warhead_MissileHE_Heavy, ^Warhead_Concussion_Medium</t>
        </is>
      </c>
    </row>
    <row r="95">
      <c r="B95" s="7" t="inlineStr">
        <is>
          <t xml:space="preserve">  ↳ SandmarineTuskCryo</t>
        </is>
      </c>
      <c r="C95" s="7" t="inlineStr">
        <is>
          <t>Armament@SECONDARYNATO</t>
        </is>
      </c>
      <c r="L95" s="6" t="n">
        <v>80000</v>
      </c>
      <c r="M95" s="6" t="n">
        <v>129</v>
      </c>
      <c r="N95" s="6" t="n">
        <v>3</v>
      </c>
      <c r="O95" s="6" t="n">
        <v>3</v>
      </c>
      <c r="P95" s="6" t="n">
        <v>6464</v>
      </c>
      <c r="Q95" s="6" t="n">
        <v>1.125</v>
      </c>
      <c r="R95">
        <f>M95+IF(N95&gt;1,N(O95)*(N95-1),0)</f>
        <v/>
      </c>
      <c r="S95">
        <f>IFERROR(L95*MAX(N95,1)/R95*IF(ISBLANK(K92),1,K92),0)</f>
        <v/>
      </c>
      <c r="AB95" s="7" t="inlineStr">
        <is>
          <t>^Warhead_MissileHE_Heavy, ^Warhead_Concussion_Medium</t>
        </is>
      </c>
    </row>
    <row r="96">
      <c r="B96" s="7" t="inlineStr">
        <is>
          <t xml:space="preserve">  ↳ SandmarineTuskTwin</t>
        </is>
      </c>
      <c r="C96" s="7" t="inlineStr">
        <is>
          <t>Armament@PRIMARYBEREZKA</t>
        </is>
      </c>
      <c r="L96" s="6" t="n">
        <v>60000</v>
      </c>
      <c r="M96" s="6" t="n">
        <v>54</v>
      </c>
      <c r="N96" s="6" t="n">
        <v>8</v>
      </c>
      <c r="O96" s="6" t="n">
        <v>3</v>
      </c>
      <c r="P96" s="6" t="n">
        <v>6102</v>
      </c>
      <c r="Q96" s="6" t="n">
        <v>1</v>
      </c>
      <c r="R96">
        <f>M96+IF(N96&gt;1,N(O96)*(N96-1),0)</f>
        <v/>
      </c>
      <c r="S96">
        <f>IFERROR(L96*MAX(N96,1)/R96*IF(ISBLANK(K92),1,K92),0)</f>
        <v/>
      </c>
      <c r="AB96" s="7" t="inlineStr">
        <is>
          <t>^Warhead_MissileHE_Heavy, ^Warhead_Concussion_Medium, ^Warhead_MissileAP_Medium</t>
        </is>
      </c>
    </row>
    <row r="97">
      <c r="B97" s="7" t="inlineStr">
        <is>
          <t xml:space="preserve">  ↳ SandmarineTuskTwin</t>
        </is>
      </c>
      <c r="C97" s="7" t="inlineStr">
        <is>
          <t>Armament@SECONDARYBEREZKA</t>
        </is>
      </c>
      <c r="L97" s="6" t="n">
        <v>60000</v>
      </c>
      <c r="M97" s="6" t="n">
        <v>54</v>
      </c>
      <c r="N97" s="6" t="n">
        <v>8</v>
      </c>
      <c r="O97" s="6" t="n">
        <v>3</v>
      </c>
      <c r="P97" s="6" t="n">
        <v>6102</v>
      </c>
      <c r="Q97" s="6" t="n">
        <v>1</v>
      </c>
      <c r="R97">
        <f>M97+IF(N97&gt;1,N(O97)*(N97-1),0)</f>
        <v/>
      </c>
      <c r="S97">
        <f>IFERROR(L97*MAX(N97,1)/R97*IF(ISBLANK(K92),1,K92),0)</f>
        <v/>
      </c>
      <c r="AB97" s="7" t="inlineStr">
        <is>
          <t>^Warhead_MissileHE_Heavy, ^Warhead_Concussion_Medium, ^Warhead_MissileAP_Medium</t>
        </is>
      </c>
    </row>
    <row r="98">
      <c r="B98" s="7" t="inlineStr">
        <is>
          <t xml:space="preserve">  ↳ SandmarineTuskFire</t>
        </is>
      </c>
      <c r="C98" s="7" t="inlineStr">
        <is>
          <t>Armament@PRIMARYTITAN</t>
        </is>
      </c>
      <c r="L98" s="6" t="n">
        <v>88000</v>
      </c>
      <c r="M98" s="6" t="n">
        <v>129</v>
      </c>
      <c r="N98" s="6" t="n">
        <v>3</v>
      </c>
      <c r="O98" s="6" t="n">
        <v>3</v>
      </c>
      <c r="P98" s="6" t="n">
        <v>6464</v>
      </c>
      <c r="Q98" s="6" t="n">
        <v>1</v>
      </c>
      <c r="R98">
        <f>M98+IF(N98&gt;1,N(O98)*(N98-1),0)</f>
        <v/>
      </c>
      <c r="S98">
        <f>IFERROR(L98*MAX(N98,1)/R98*IF(ISBLANK(K92),1,K92),0)</f>
        <v/>
      </c>
      <c r="AB98" s="7" t="inlineStr">
        <is>
          <t>^Warhead_MissileAP_Light, ^Warhead_Flame_Light, ^Warhead_MissileHE_Heavy, ^Warhead_Concussion_Medium</t>
        </is>
      </c>
    </row>
    <row r="99">
      <c r="B99" s="7" t="inlineStr">
        <is>
          <t xml:space="preserve">  ↳ SandmarineTuskFire</t>
        </is>
      </c>
      <c r="C99" s="7" t="inlineStr">
        <is>
          <t>Armament@SECONDARYTITAN</t>
        </is>
      </c>
      <c r="L99" s="6" t="n">
        <v>88000</v>
      </c>
      <c r="M99" s="6" t="n">
        <v>129</v>
      </c>
      <c r="N99" s="6" t="n">
        <v>3</v>
      </c>
      <c r="O99" s="6" t="n">
        <v>3</v>
      </c>
      <c r="P99" s="6" t="n">
        <v>6464</v>
      </c>
      <c r="Q99" s="6" t="n">
        <v>1</v>
      </c>
      <c r="R99">
        <f>M99+IF(N99&gt;1,N(O99)*(N99-1),0)</f>
        <v/>
      </c>
      <c r="S99">
        <f>IFERROR(L99*MAX(N99,1)/R99*IF(ISBLANK(K92),1,K92),0)</f>
        <v/>
      </c>
      <c r="AB99" s="7" t="inlineStr">
        <is>
          <t>^Warhead_MissileAP_Light, ^Warhead_Flame_Light, ^Warhead_MissileHE_Heavy, ^Warhead_Concussion_Medium</t>
        </is>
      </c>
    </row>
    <row r="100">
      <c r="B100" s="7" t="inlineStr">
        <is>
          <t xml:space="preserve">  ↳ sandmarinemortar</t>
        </is>
      </c>
      <c r="C100" s="7" t="inlineStr">
        <is>
          <t>Armament@Mortar</t>
        </is>
      </c>
      <c r="L100" s="6" t="n">
        <v>240000</v>
      </c>
      <c r="M100" s="6" t="n">
        <v>135</v>
      </c>
      <c r="N100" s="6" t="n">
        <v>1</v>
      </c>
      <c r="O100" s="6" t="n"/>
      <c r="P100" s="6" t="n">
        <v>6464</v>
      </c>
      <c r="Q100" s="6" t="n">
        <v>1.125</v>
      </c>
      <c r="R100">
        <f>M100+IF(N100&gt;1,N(O100)*(N100-1),0)</f>
        <v/>
      </c>
      <c r="S100">
        <f>IFERROR(L100*MAX(N100,1)/R100*IF(ISBLANK(K92),1,K92),0)</f>
        <v/>
      </c>
      <c r="AB100" s="7" t="inlineStr">
        <is>
          <t>^Warhead_Demolition_Heavy, ^Warhead_Flame_Medium</t>
        </is>
      </c>
    </row>
    <row r="101">
      <c r="A101" t="inlineStr">
        <is>
          <t>redalert2mod</t>
        </is>
      </c>
      <c r="B101" t="inlineStr">
        <is>
          <t>tkm_stryker</t>
        </is>
      </c>
      <c r="C101" t="inlineStr">
        <is>
          <t>TKM Stryker</t>
        </is>
      </c>
      <c r="D101" s="6" t="inlineStr">
        <is>
          <t>MissileVehicle</t>
        </is>
      </c>
      <c r="E101" s="6" t="n">
        <v>80000</v>
      </c>
      <c r="F101" s="6" t="n">
        <v>105</v>
      </c>
      <c r="G101" t="inlineStr">
        <is>
          <t>Light</t>
        </is>
      </c>
      <c r="H101" s="6" t="n">
        <v>0.7082000000000001</v>
      </c>
      <c r="I101" s="6" t="n">
        <v>1</v>
      </c>
      <c r="J101" s="6" t="n">
        <v>1</v>
      </c>
      <c r="K101" s="6" t="n"/>
      <c r="P101">
        <f>MAX(P102,P103,P104)</f>
        <v/>
      </c>
      <c r="S101">
        <f>S102+S103+S104</f>
        <v/>
      </c>
      <c r="T101">
        <f>(E101/100000+F101/100+(P101/1000)*J101/5+S101/200)*200*I101*H101</f>
        <v/>
      </c>
      <c r="U101">
        <f>((E101*F101/25000)+((P101/1000)*J101*S101/2.5))*I101*H101</f>
        <v/>
      </c>
      <c r="V101">
        <f>(E101*F101*(P101/1000)*J101*S101*I101*H101)/12500000</f>
        <v/>
      </c>
      <c r="W101">
        <f>(((E101/160000)+(F101/100)+(S101/1200)+((P101/8000)*J101))*1200/4+(((E101/160000)*(F101/100))+(((P101/8000)*J101)*(S101/1200)))*1200/2+((E101/160000)*(F101/100)*((P101/8000)*J101)*(S101/1200))*1200)*(H101/1.0)/3</f>
        <v/>
      </c>
      <c r="X101" s="6" t="n">
        <v>1600</v>
      </c>
      <c r="Y101">
        <f>IFERROR(W101-X101,"")</f>
        <v/>
      </c>
      <c r="Z101">
        <f>IFERROR(ABS(Y101)/MAX(X101,1),"")</f>
        <v/>
      </c>
      <c r="AA101">
        <f>IFERROR(ROUND(((3*X101-(((E101/160000)+(F101/100)+(S101/1200))*1200/4+((E101/160000)*(F101/100))*1200/2)*(H101/1.0))/(1200/4+((S101/1200))*1200/2+((E101/160000)*(F101/100)*(S101/1200))*1200)*(H101/1.0)*8000)/J101,-1),"")</f>
        <v/>
      </c>
    </row>
    <row r="102">
      <c r="B102" s="7" t="inlineStr">
        <is>
          <t xml:space="preserve">  ↳ tkmstrykermg</t>
        </is>
      </c>
      <c r="C102" s="7" t="inlineStr">
        <is>
          <t>Armament</t>
        </is>
      </c>
      <c r="L102" s="6" t="n">
        <v>2000</v>
      </c>
      <c r="M102" s="6" t="n">
        <v>5</v>
      </c>
      <c r="N102" s="6" t="n">
        <v>1</v>
      </c>
      <c r="O102" s="6" t="n"/>
      <c r="P102" s="6" t="n">
        <v>7880</v>
      </c>
      <c r="Q102" s="6" t="n">
        <v>1</v>
      </c>
      <c r="R102">
        <f>M102+IF(N102&gt;1,N(O102)*(N102-1),0)</f>
        <v/>
      </c>
      <c r="S102">
        <f>IFERROR(L102*MAX(N102,1)/R102*IF(ISBLANK(K101),1,K101),0)</f>
        <v/>
      </c>
      <c r="AB102" s="7" t="inlineStr">
        <is>
          <t>^Warhead_Bullet_Medium</t>
        </is>
      </c>
    </row>
    <row r="103">
      <c r="B103" s="7" t="inlineStr">
        <is>
          <t xml:space="preserve">  ↳ tkmstrykerrockets</t>
        </is>
      </c>
      <c r="C103" s="7" t="inlineStr">
        <is>
          <t>Armament@missile</t>
        </is>
      </c>
      <c r="L103" s="6" t="n">
        <v>24000</v>
      </c>
      <c r="M103" s="6" t="n">
        <v>60</v>
      </c>
      <c r="N103" s="6" t="n">
        <v>1</v>
      </c>
      <c r="O103" s="6" t="n"/>
      <c r="P103" s="6" t="n">
        <v>7880</v>
      </c>
      <c r="Q103" s="6" t="n">
        <v>1</v>
      </c>
      <c r="R103">
        <f>M103+IF(N103&gt;1,N(O103)*(N103-1),0)</f>
        <v/>
      </c>
      <c r="S103">
        <f>IFERROR(L103*MAX(N103,1)/R103*IF(ISBLANK(K101),1,K101),0)</f>
        <v/>
      </c>
      <c r="AB103" s="7" t="inlineStr">
        <is>
          <t>^Warhead_MissileAP_Medium</t>
        </is>
      </c>
    </row>
    <row r="104">
      <c r="B104" s="7" t="inlineStr">
        <is>
          <t xml:space="preserve">  ↳ tkmstrykerfirerockets</t>
        </is>
      </c>
      <c r="C104" s="7" t="inlineStr">
        <is>
          <t>Armament@missilefire</t>
        </is>
      </c>
      <c r="L104" s="6" t="n">
        <v>30000</v>
      </c>
      <c r="M104" s="6" t="n">
        <v>60</v>
      </c>
      <c r="N104" s="6" t="n">
        <v>1</v>
      </c>
      <c r="O104" s="6" t="n"/>
      <c r="P104" s="6" t="n">
        <v>7880</v>
      </c>
      <c r="Q104" s="6" t="n">
        <v>1</v>
      </c>
      <c r="R104">
        <f>M104+IF(N104&gt;1,N(O104)*(N104-1),0)</f>
        <v/>
      </c>
      <c r="S104">
        <f>IFERROR(L104*MAX(N104,1)/R104*IF(ISBLANK(K101),1,K101),0)</f>
        <v/>
      </c>
      <c r="AB104" s="7" t="inlineStr">
        <is>
          <t>^Warhead_MissileAP_Medium, ^Warhead_Flame_Medium</t>
        </is>
      </c>
    </row>
    <row r="105">
      <c r="A105" t="inlineStr">
        <is>
          <t>redalert2mod</t>
        </is>
      </c>
      <c r="B105" t="inlineStr">
        <is>
          <t>tkm_t30</t>
        </is>
      </c>
      <c r="C105" t="inlineStr">
        <is>
          <t>T-30</t>
        </is>
      </c>
      <c r="D105" s="6" t="inlineStr">
        <is>
          <t>EpicVehicle</t>
        </is>
      </c>
      <c r="E105" s="6" t="n">
        <v>400000</v>
      </c>
      <c r="F105" s="6" t="n">
        <v>50</v>
      </c>
      <c r="G105" t="inlineStr">
        <is>
          <t>Superheavy</t>
        </is>
      </c>
      <c r="H105" s="6" t="n">
        <v>0.4955</v>
      </c>
      <c r="I105" s="6" t="n">
        <v>1</v>
      </c>
      <c r="J105" s="6" t="n">
        <v>1</v>
      </c>
      <c r="K105" s="6" t="n"/>
      <c r="P105">
        <f>MAX(P106)</f>
        <v/>
      </c>
      <c r="S105">
        <f>S106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(((E105/4000000)+(F105/60)+(S105/20000)+((P105/8500)*J105))*10000/4+(((E105/4000000)*(F105/60))+(((P105/8500)*J105)*(S105/20000)))*10000/2+((E105/4000000)*(F105/60)*((P105/8500)*J105)*(S105/20000))*10000)*(H105/0.75)/3</f>
        <v/>
      </c>
      <c r="X105" s="6" t="n">
        <v>5000</v>
      </c>
      <c r="Y105">
        <f>IFERROR(W105-X105,"")</f>
        <v/>
      </c>
      <c r="Z105">
        <f>IFERROR(ABS(Y105)/MAX(X105,1),"")</f>
        <v/>
      </c>
      <c r="AA105">
        <f>IFERROR(ROUND(((3*X105-(((E105/4000000)+(F105/60)+(S105/20000))*10000/4+((E105/4000000)*(F105/60))*10000/2)*(H105/0.75))/(10000/4+((S105/20000))*10000/2+((E105/4000000)*(F105/60)*(S105/20000))*10000)*(H105/0.75)*8500)/J105,-1),"")</f>
        <v/>
      </c>
    </row>
    <row r="106">
      <c r="B106" s="7" t="inlineStr">
        <is>
          <t xml:space="preserve">  ↳ t30shell</t>
        </is>
      </c>
      <c r="C106" s="7" t="inlineStr">
        <is>
          <t>Armament</t>
        </is>
      </c>
      <c r="L106" s="6" t="n">
        <v>80000</v>
      </c>
      <c r="M106" s="6" t="n">
        <v>80</v>
      </c>
      <c r="N106" s="6" t="n">
        <v>1</v>
      </c>
      <c r="O106" s="6" t="n"/>
      <c r="P106" s="6" t="n">
        <v>22000</v>
      </c>
      <c r="Q106" s="6" t="n">
        <v>1.25</v>
      </c>
      <c r="R106">
        <f>M106+IF(N106&gt;1,N(O106)*(N106-1),0)</f>
        <v/>
      </c>
      <c r="S106">
        <f>IFERROR(L106*MAX(N106,1)/R106*IF(ISBLANK(K105),1,K105),0)</f>
        <v/>
      </c>
      <c r="AB106" s="7" t="inlineStr">
        <is>
          <t>^Warhead_Demolition_Heavy, ^Warhead_Railgun_Heavy</t>
        </is>
      </c>
    </row>
    <row r="107">
      <c r="A107" t="inlineStr">
        <is>
          <t>redalert2mod</t>
        </is>
      </c>
      <c r="B107" t="inlineStr">
        <is>
          <t>tkm_t72m</t>
        </is>
      </c>
      <c r="C107" t="inlineStr">
        <is>
          <t>T-72M</t>
        </is>
      </c>
      <c r="D107" s="6" t="inlineStr">
        <is>
          <t>MainBattleTank</t>
        </is>
      </c>
      <c r="E107" s="6" t="n">
        <v>100000</v>
      </c>
      <c r="F107" s="6" t="n">
        <v>80</v>
      </c>
      <c r="G107" t="inlineStr">
        <is>
          <t>Heavy</t>
        </is>
      </c>
      <c r="H107" s="6" t="n">
        <v>0.7082000000000001</v>
      </c>
      <c r="I107" s="6" t="n">
        <v>1</v>
      </c>
      <c r="J107" s="6" t="n">
        <v>1</v>
      </c>
      <c r="K107" s="6" t="n"/>
      <c r="P107">
        <f>MAX(P108,P109,P110)</f>
        <v/>
      </c>
      <c r="S107">
        <f>S108+S109+S110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(((E107/240000)+(F107/95)+(S107/600)+((P107/5500)*J107))*800/4+(((E107/240000)*(F107/95))+(((P107/5500)*J107)*(S107/600)))*800/2+((E107/240000)*(F107/95)*((P107/5500)*J107)*(S107/600))*800)*(H107/1.0)/3</f>
        <v/>
      </c>
      <c r="X107" s="6" t="n">
        <v>900</v>
      </c>
      <c r="Y107">
        <f>IFERROR(W107-X107,"")</f>
        <v/>
      </c>
      <c r="Z107">
        <f>IFERROR(ABS(Y107)/MAX(X107,1),"")</f>
        <v/>
      </c>
      <c r="AA107">
        <f>IFERROR(ROUND(((3*X107-(((E107/240000)+(F107/95)+(S107/600))*800/4+((E107/240000)*(F107/95))*800/2)*(H107/1.0))/(800/4+((S107/600))*800/2+((E107/240000)*(F107/95)*(S107/600))*800)*(H107/1.0)*5500)/J107,-1),"")</f>
        <v/>
      </c>
    </row>
    <row r="108">
      <c r="B108" s="7" t="inlineStr">
        <is>
          <t xml:space="preserve">  ↳ TKMPDLaser</t>
        </is>
      </c>
      <c r="C108" s="7" t="inlineStr">
        <is>
          <t>Armament@pointdefense</t>
        </is>
      </c>
      <c r="L108" s="6" t="n">
        <v>1</v>
      </c>
      <c r="M108" s="6" t="n">
        <v>25</v>
      </c>
      <c r="N108" s="6" t="n">
        <v>1</v>
      </c>
      <c r="O108" s="6" t="n"/>
      <c r="P108" s="6" t="n">
        <v>5000</v>
      </c>
      <c r="Q108" s="6" t="n">
        <v>1</v>
      </c>
      <c r="R108">
        <f>M108+IF(N108&gt;1,N(O108)*(N108-1),0)</f>
        <v/>
      </c>
      <c r="S108">
        <f>IFERROR(L108*MAX(N108,1)/R108*IF(ISBLANK(K107),1,K107),0)</f>
        <v/>
      </c>
      <c r="AB108" s="7" t="inlineStr">
        <is>
          <t>PDLaser</t>
        </is>
      </c>
    </row>
    <row r="109">
      <c r="B109" s="7" t="inlineStr">
        <is>
          <t xml:space="preserve">  ↳ tkm2a46gun</t>
        </is>
      </c>
      <c r="C109" s="7" t="inlineStr">
        <is>
          <t>Armament</t>
        </is>
      </c>
      <c r="L109" s="6" t="n">
        <v>10000</v>
      </c>
      <c r="M109" s="6" t="n">
        <v>42</v>
      </c>
      <c r="N109" s="6" t="n">
        <v>1</v>
      </c>
      <c r="O109" s="6" t="n"/>
      <c r="P109" s="6" t="n">
        <v>6196</v>
      </c>
      <c r="Q109" s="6" t="n">
        <v>1</v>
      </c>
      <c r="R109">
        <f>M109+IF(N109&gt;1,N(O109)*(N109-1),0)</f>
        <v/>
      </c>
      <c r="S109">
        <f>IFERROR(L109*MAX(N109,1)/R109*IF(ISBLANK(K107),1,K107),0)</f>
        <v/>
      </c>
      <c r="AB109" s="7" t="inlineStr">
        <is>
          <t>^Warhead_CannonHE_Medium</t>
        </is>
      </c>
    </row>
    <row r="110">
      <c r="B110" s="7" t="inlineStr">
        <is>
          <t xml:space="preserve">  ↳ tkmkord</t>
        </is>
      </c>
      <c r="C110" s="7" t="inlineStr">
        <is>
          <t>Armament@machinegun</t>
        </is>
      </c>
      <c r="L110" s="6" t="n">
        <v>2000</v>
      </c>
      <c r="M110" s="6" t="n">
        <v>10</v>
      </c>
      <c r="N110" s="6" t="n">
        <v>1</v>
      </c>
      <c r="O110" s="6" t="n"/>
      <c r="P110" s="6" t="n">
        <v>6195</v>
      </c>
      <c r="Q110" s="6" t="n">
        <v>1</v>
      </c>
      <c r="R110">
        <f>M110+IF(N110&gt;1,N(O110)*(N110-1),0)</f>
        <v/>
      </c>
      <c r="S110">
        <f>IFERROR(L110*MAX(N110,1)/R110*IF(ISBLANK(K107),1,K107),0)</f>
        <v/>
      </c>
      <c r="AB110" s="7" t="inlineStr">
        <is>
          <t>^Warhead_Bullet_Medium</t>
        </is>
      </c>
    </row>
    <row r="111">
      <c r="A111" t="inlineStr">
        <is>
          <t>redalert2mod</t>
        </is>
      </c>
      <c r="B111" t="inlineStr">
        <is>
          <t>tkm_technical</t>
        </is>
      </c>
      <c r="C111" t="inlineStr">
        <is>
          <t>TKM Technical</t>
        </is>
      </c>
      <c r="D111" s="6" t="inlineStr">
        <is>
          <t>ScoutVehicle</t>
        </is>
      </c>
      <c r="E111" s="6" t="n">
        <v>27500</v>
      </c>
      <c r="F111" s="6" t="n">
        <v>175</v>
      </c>
      <c r="G111" t="inlineStr">
        <is>
          <t>Scout</t>
        </is>
      </c>
      <c r="H111" s="6" t="n">
        <v>0.9016</v>
      </c>
      <c r="I111" s="6" t="n">
        <v>1</v>
      </c>
      <c r="J111" s="6" t="n">
        <v>1</v>
      </c>
      <c r="K111" s="6" t="n"/>
      <c r="P111">
        <f>MAX(P112,P113)</f>
        <v/>
      </c>
      <c r="S111">
        <f>S112+S113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(((E111/30000)+(F111/200)+(S111/450)+((P111/4500)*J111))*300/4+(((E111/30000)*(F111/200))+(((P111/4500)*J111)*(S111/450)))*300/2+((E111/30000)*(F111/200)*((P111/4500)*J111)*(S111/450))*300)*(H111/1.0)/3</f>
        <v/>
      </c>
      <c r="X111" s="6" t="n">
        <v>400</v>
      </c>
      <c r="Y111">
        <f>IFERROR(W111-X111,"")</f>
        <v/>
      </c>
      <c r="Z111">
        <f>IFERROR(ABS(Y111)/MAX(X111,1),"")</f>
        <v/>
      </c>
      <c r="AA111">
        <f>IFERROR(ROUND(((3*X111-(((E111/30000)+(F111/200)+(S111/450))*300/4+((E111/30000)*(F111/200))*300/2)*(H111/1.0))/(300/4+((S111/450))*300/2+((E111/30000)*(F111/200)*(S111/450))*300)*(H111/1.0)*4500)/J111,-1),"")</f>
        <v/>
      </c>
    </row>
    <row r="112">
      <c r="B112" s="7" t="inlineStr">
        <is>
          <t xml:space="preserve">  ↳ tkmtechmg</t>
        </is>
      </c>
      <c r="C112" s="7" t="inlineStr">
        <is>
          <t>Armament</t>
        </is>
      </c>
      <c r="L112" s="6" t="n">
        <v>4000</v>
      </c>
      <c r="M112" s="6" t="n">
        <v>6</v>
      </c>
      <c r="N112" s="6" t="n">
        <v>1</v>
      </c>
      <c r="O112" s="6" t="n"/>
      <c r="P112" s="6" t="n">
        <v>4153</v>
      </c>
      <c r="Q112" s="6" t="n">
        <v>1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^Warhead_Bullet_Medium</t>
        </is>
      </c>
    </row>
    <row r="113">
      <c r="B113" s="7" t="inlineStr">
        <is>
          <t xml:space="preserve">  ↳ tkmtechnicalmgap</t>
        </is>
      </c>
      <c r="C113" s="7" t="inlineStr">
        <is>
          <t>Armament@PRIMARYNATO</t>
        </is>
      </c>
      <c r="L113" s="6" t="n">
        <v>8000</v>
      </c>
      <c r="M113" s="6" t="n">
        <v>9</v>
      </c>
      <c r="N113" s="6" t="n">
        <v>3</v>
      </c>
      <c r="O113" s="6" t="n">
        <v>6</v>
      </c>
      <c r="P113" s="6" t="n">
        <v>4792</v>
      </c>
      <c r="Q113" s="6" t="n">
        <v>0.75</v>
      </c>
      <c r="R113">
        <f>M113+IF(N113&gt;1,N(O113)*(N113-1),0)</f>
        <v/>
      </c>
      <c r="S113">
        <f>IFERROR(L113*MAX(N113,1)/R113*IF(ISBLANK(K111),1,K111),0)</f>
        <v/>
      </c>
      <c r="AB113" s="7" t="inlineStr">
        <is>
          <t>^Warhead_Bullet_Light, ^Warhead_Demolition_Light</t>
        </is>
      </c>
    </row>
    <row r="114">
      <c r="A114" t="inlineStr">
        <is>
          <t>redalert2mod</t>
        </is>
      </c>
      <c r="B114" t="inlineStr">
        <is>
          <t>tkm_technicaltank</t>
        </is>
      </c>
      <c r="C114" t="inlineStr">
        <is>
          <t>Technical Tank</t>
        </is>
      </c>
      <c r="D114" s="6" t="inlineStr">
        <is>
          <t>MainBattleTank</t>
        </is>
      </c>
      <c r="E114" s="6" t="n">
        <v>70000</v>
      </c>
      <c r="F114" s="6" t="n">
        <v>110</v>
      </c>
      <c r="G114" t="inlineStr">
        <is>
          <t>Heavy</t>
        </is>
      </c>
      <c r="H114" s="6" t="n">
        <v>0.9016</v>
      </c>
      <c r="I114" s="6" t="n">
        <v>1</v>
      </c>
      <c r="J114" s="6" t="n">
        <v>1</v>
      </c>
      <c r="K114" s="6" t="n"/>
      <c r="P114">
        <f>MAX(P115,P116)</f>
        <v/>
      </c>
      <c r="S114">
        <f>S115+S116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(((E114/240000)+(F114/95)+(S114/600)+((P114/5500)*J114))*800/4+(((E114/240000)*(F114/95))+(((P114/5500)*J114)*(S114/600)))*800/2+((E114/240000)*(F114/95)*((P114/5500)*J114)*(S114/600))*800)*(H114/1.0)/3</f>
        <v/>
      </c>
      <c r="X114" s="6" t="n">
        <v>700</v>
      </c>
      <c r="Y114">
        <f>IFERROR(W114-X114,"")</f>
        <v/>
      </c>
      <c r="Z114">
        <f>IFERROR(ABS(Y114)/MAX(X114,1),"")</f>
        <v/>
      </c>
      <c r="AA114">
        <f>IFERROR(ROUND(((3*X114-(((E114/240000)+(F114/95)+(S114/600))*800/4+((E114/240000)*(F114/95))*800/2)*(H114/1.0))/(800/4+((S114/600))*800/2+((E114/240000)*(F114/95)*(S114/600))*800)*(H114/1.0)*5500)/J114,-1),"")</f>
        <v/>
      </c>
    </row>
    <row r="115">
      <c r="B115" s="7" t="inlineStr">
        <is>
          <t xml:space="preserve">  ↳ tkmltgun</t>
        </is>
      </c>
      <c r="C115" s="7" t="inlineStr">
        <is>
          <t>Armament@cannon</t>
        </is>
      </c>
      <c r="L115" s="6" t="n">
        <v>8000</v>
      </c>
      <c r="M115" s="6" t="n">
        <v>42</v>
      </c>
      <c r="N115" s="6" t="n">
        <v>1</v>
      </c>
      <c r="O115" s="6" t="n"/>
      <c r="P115" s="6" t="n">
        <v>5316</v>
      </c>
      <c r="Q115" s="6" t="n">
        <v>1</v>
      </c>
      <c r="R115">
        <f>M115+IF(N115&gt;1,N(O115)*(N115-1),0)</f>
        <v/>
      </c>
      <c r="S115">
        <f>IFERROR(L115*MAX(N115,1)/R115*IF(ISBLANK(K114),1,K114),0)</f>
        <v/>
      </c>
      <c r="AB115" s="7" t="inlineStr">
        <is>
          <t>^Warhead_CannonHE_Medium</t>
        </is>
      </c>
    </row>
    <row r="116">
      <c r="B116" s="7" t="inlineStr">
        <is>
          <t xml:space="preserve">  ↳ tkmtwinrocketstechnicaltank</t>
        </is>
      </c>
      <c r="C116" s="7" t="inlineStr">
        <is>
          <t>Armament@missiles</t>
        </is>
      </c>
      <c r="L116" s="6" t="n">
        <v>18000</v>
      </c>
      <c r="M116" s="6" t="n">
        <v>64</v>
      </c>
      <c r="N116" s="6" t="n">
        <v>2</v>
      </c>
      <c r="O116" s="6" t="n"/>
      <c r="P116" s="6" t="n">
        <v>5243</v>
      </c>
      <c r="Q116" s="6" t="n">
        <v>0.75</v>
      </c>
      <c r="R116">
        <f>M116+IF(N116&gt;1,N(O116)*(N116-1),0)</f>
        <v/>
      </c>
      <c r="S116">
        <f>IFERROR(L116*MAX(N116,1)/R116*IF(ISBLANK(K114),1,K114),0)</f>
        <v/>
      </c>
      <c r="AB116" s="7" t="inlineStr">
        <is>
          <t>^Warhead_MissileAP_Light</t>
        </is>
      </c>
    </row>
    <row r="117">
      <c r="A117" t="inlineStr">
        <is>
          <t>redalert2mod</t>
        </is>
      </c>
      <c r="B117" t="inlineStr">
        <is>
          <t>tkm_templateharvesterraname</t>
        </is>
      </c>
      <c r="C117" t="inlineStr">
        <is>
          <t>template_harvester.raname</t>
        </is>
      </c>
      <c r="D117" s="6" t="inlineStr">
        <is>
          <t>Harvester</t>
        </is>
      </c>
      <c r="E117" s="6" t="n">
        <v>100000</v>
      </c>
      <c r="F117" s="6" t="n">
        <v>90</v>
      </c>
      <c r="G117" t="inlineStr">
        <is>
          <t>Medium</t>
        </is>
      </c>
      <c r="H117" s="6" t="n">
        <v>0.9016</v>
      </c>
      <c r="I117" s="6" t="n">
        <v>1</v>
      </c>
      <c r="J117" s="6" t="n">
        <v>1</v>
      </c>
      <c r="K117" s="6" t="n"/>
      <c r="X117" s="6" t="n">
        <v>1000</v>
      </c>
    </row>
    <row r="118">
      <c r="A118" t="inlineStr">
        <is>
          <t>redalert2mod</t>
        </is>
      </c>
      <c r="B118" t="inlineStr">
        <is>
          <t>tkm_tornadoglauncher</t>
        </is>
      </c>
      <c r="C118" t="inlineStr">
        <is>
          <t>Tornado-G Launcher</t>
        </is>
      </c>
      <c r="D118" s="6" t="inlineStr">
        <is>
          <t>Artillery</t>
        </is>
      </c>
      <c r="E118" s="6" t="n">
        <v>35000</v>
      </c>
      <c r="F118" s="6" t="n">
        <v>80</v>
      </c>
      <c r="G118" t="inlineStr">
        <is>
          <t>Light</t>
        </is>
      </c>
      <c r="H118" s="6" t="n">
        <v>0.4955</v>
      </c>
      <c r="I118" s="6" t="n">
        <v>1</v>
      </c>
      <c r="J118" s="6" t="n">
        <v>1</v>
      </c>
      <c r="K118" s="6" t="n"/>
      <c r="P118">
        <f>MAX(P119,P120,P121,P122)</f>
        <v/>
      </c>
      <c r="S118">
        <f>S119+S120+S121+S122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(((E118/60000)+(F118/75)+(S118/500)+((P118/15000)*J118))*500/4+(((E118/60000)*(F118/75))+(((P118/15000)*J118)*(S118/500)))*500/2+((E118/60000)*(F118/75)*((P118/15000)*J118)*(S118/500))*500)*(H118/1.0)/3</f>
        <v/>
      </c>
      <c r="X118" s="6" t="n">
        <v>1200</v>
      </c>
      <c r="Y118">
        <f>IFERROR(W118-X118,"")</f>
        <v/>
      </c>
      <c r="Z118">
        <f>IFERROR(ABS(Y118)/MAX(X118,1),"")</f>
        <v/>
      </c>
      <c r="AA118">
        <f>IFERROR(ROUND(((3*X118-(((E118/60000)+(F118/75)+(S118/500))*500/4+((E118/60000)*(F118/75))*500/2)*(H118/1.0))/(500/4+((S118/500))*500/2+((E118/60000)*(F118/75)*(S118/500))*500)*(H118/1.0)*15000)/J118,-1),"")</f>
        <v/>
      </c>
    </row>
    <row r="119">
      <c r="B119" s="7" t="inlineStr">
        <is>
          <t xml:space="preserve">  ↳ tkmkatyushalalauncherrockets</t>
        </is>
      </c>
      <c r="C119" s="7" t="inlineStr">
        <is>
          <t>Armament@PRIMARY</t>
        </is>
      </c>
      <c r="L119" s="6" t="n">
        <v>20000</v>
      </c>
      <c r="M119" s="6" t="n">
        <v>157</v>
      </c>
      <c r="N119" s="6" t="n">
        <v>8</v>
      </c>
      <c r="O119" s="6" t="n">
        <v>4</v>
      </c>
      <c r="P119" s="6" t="n">
        <v>12437</v>
      </c>
      <c r="Q119" s="6" t="n">
        <v>1</v>
      </c>
      <c r="R119">
        <f>M119+IF(N119&gt;1,N(O119)*(N119-1),0)</f>
        <v/>
      </c>
      <c r="S119">
        <f>IFERROR(L119*MAX(N119,1)/R119*IF(ISBLANK(K118),1,K118),0)</f>
        <v/>
      </c>
      <c r="AB119" s="7" t="inlineStr">
        <is>
          <t>^Warhead_Concussion_Medium</t>
        </is>
      </c>
    </row>
    <row r="120">
      <c r="B120" s="7" t="inlineStr">
        <is>
          <t xml:space="preserve">  ↳ tkmkatyushalalauncherrocketscryo</t>
        </is>
      </c>
      <c r="C120" s="7" t="inlineStr">
        <is>
          <t>Armament@PRIMARYNATO</t>
        </is>
      </c>
      <c r="L120" s="6" t="n">
        <v>20000</v>
      </c>
      <c r="M120" s="6" t="n">
        <v>157</v>
      </c>
      <c r="N120" s="6" t="n">
        <v>8</v>
      </c>
      <c r="O120" s="6" t="n">
        <v>4</v>
      </c>
      <c r="P120" s="6" t="n">
        <v>14000</v>
      </c>
      <c r="Q120" s="6" t="n">
        <v>1</v>
      </c>
      <c r="R120">
        <f>M120+IF(N120&gt;1,N(O120)*(N120-1),0)</f>
        <v/>
      </c>
      <c r="S120">
        <f>IFERROR(L120*MAX(N120,1)/R120*IF(ISBLANK(K118),1,K118),0)</f>
        <v/>
      </c>
      <c r="AB120" s="7" t="inlineStr">
        <is>
          <t>^Warhead_Concussion_Medium</t>
        </is>
      </c>
    </row>
    <row r="121">
      <c r="B121" s="7" t="inlineStr">
        <is>
          <t xml:space="preserve">  ↳ tkmkatyushalalauncherrocketstwin</t>
        </is>
      </c>
      <c r="C121" s="7" t="inlineStr">
        <is>
          <t>Armament@PRIMARYBEREZKA</t>
        </is>
      </c>
      <c r="L121" s="6" t="n">
        <v>20000</v>
      </c>
      <c r="M121" s="6" t="n">
        <v>157</v>
      </c>
      <c r="N121" s="6" t="n">
        <v>16</v>
      </c>
      <c r="O121" s="6" t="n">
        <v>4</v>
      </c>
      <c r="P121" s="6" t="n">
        <v>12437</v>
      </c>
      <c r="Q121" s="6" t="n">
        <v>1</v>
      </c>
      <c r="R121">
        <f>M121+IF(N121&gt;1,N(O121)*(N121-1),0)</f>
        <v/>
      </c>
      <c r="S121">
        <f>IFERROR(L121*MAX(N121,1)/R121*IF(ISBLANK(K118),1,K118),0)</f>
        <v/>
      </c>
      <c r="AB121" s="7" t="inlineStr">
        <is>
          <t>^Warhead_Concussion_Medium</t>
        </is>
      </c>
    </row>
    <row r="122">
      <c r="B122" s="7" t="inlineStr">
        <is>
          <t xml:space="preserve">  ↳ tkmkatyushalalauncherrocketsfire</t>
        </is>
      </c>
      <c r="C122" s="7" t="inlineStr">
        <is>
          <t>Armament@PRIMARYTITAN</t>
        </is>
      </c>
      <c r="L122" s="6" t="n">
        <v>28000</v>
      </c>
      <c r="M122" s="6" t="n">
        <v>157</v>
      </c>
      <c r="N122" s="6" t="n">
        <v>8</v>
      </c>
      <c r="O122" s="6" t="n">
        <v>4</v>
      </c>
      <c r="P122" s="6" t="n">
        <v>14000</v>
      </c>
      <c r="Q122" s="6" t="n">
        <v>1</v>
      </c>
      <c r="R122">
        <f>M122+IF(N122&gt;1,N(O122)*(N122-1),0)</f>
        <v/>
      </c>
      <c r="S122">
        <f>IFERROR(L122*MAX(N122,1)/R122*IF(ISBLANK(K118),1,K118),0)</f>
        <v/>
      </c>
      <c r="AB122" s="7" t="inlineStr">
        <is>
          <t>^Warhead_MissileAP_Light, ^Warhead_Flame_Light, ^Warhead_Concussion_Medium</t>
        </is>
      </c>
    </row>
    <row r="123">
      <c r="A123" t="inlineStr">
        <is>
          <t>redalert2mod</t>
        </is>
      </c>
      <c r="B123" t="inlineStr">
        <is>
          <t>tkm_trenchtank</t>
        </is>
      </c>
      <c r="C123" t="inlineStr">
        <is>
          <t>Trench Tank</t>
        </is>
      </c>
      <c r="D123" s="6" t="inlineStr">
        <is>
          <t>MainBattleTank</t>
        </is>
      </c>
      <c r="E123" s="6" t="n">
        <v>200000</v>
      </c>
      <c r="F123" s="6" t="n">
        <v>65</v>
      </c>
      <c r="G123" t="inlineStr">
        <is>
          <t>Heavy</t>
        </is>
      </c>
      <c r="H123" s="6" t="n">
        <v>0.4955</v>
      </c>
      <c r="I123" s="6" t="n">
        <v>1</v>
      </c>
      <c r="J123" s="6" t="n">
        <v>1</v>
      </c>
      <c r="K123" s="6" t="n"/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(((E123/240000)+(F123/95)+(S123/600)+((P123/5500)*J123))*800/4+(((E123/240000)*(F123/95))+(((P123/5500)*J123)*(S123/600)))*800/2+((E123/240000)*(F123/95)*((P123/5500)*J123)*(S123/600))*800)*(H123/1.0)/3</f>
        <v/>
      </c>
      <c r="X123" s="6" t="n">
        <v>2500</v>
      </c>
      <c r="Y123">
        <f>IFERROR(W123-X123,"")</f>
        <v/>
      </c>
      <c r="Z123">
        <f>IFERROR(ABS(Y123)/MAX(X123,1),"")</f>
        <v/>
      </c>
      <c r="AA123">
        <f>IFERROR(ROUND(((3*X123-(((E123/240000)+(F123/95)+(S123/600))*800/4+((E123/240000)*(F123/95))*800/2)*(H123/1.0))/(800/4+((S123/600))*800/2+((E123/240000)*(F123/95)*(S123/600))*800)*(H123/1.0)*5500)/J123,-1),"")</f>
        <v/>
      </c>
    </row>
    <row r="124">
      <c r="B124" s="7" t="inlineStr">
        <is>
          <t xml:space="preserve">  ↳ tkmtrenchcannon</t>
        </is>
      </c>
      <c r="C124" s="7" t="inlineStr">
        <is>
          <t>Armament</t>
        </is>
      </c>
      <c r="L124" s="6" t="n">
        <v>40000</v>
      </c>
      <c r="M124" s="6" t="n">
        <v>75</v>
      </c>
      <c r="N124" s="6" t="n">
        <v>1</v>
      </c>
      <c r="O124" s="6" t="n"/>
      <c r="P124" s="6" t="n">
        <v>9237</v>
      </c>
      <c r="Q124" s="6" t="n">
        <v>1.125</v>
      </c>
      <c r="R124">
        <f>M124+IF(N124&gt;1,N(O124)*(N124-1),0)</f>
        <v/>
      </c>
      <c r="S124">
        <f>IFERROR(L124*MAX(N124,1)/R124*IF(ISBLANK(K123),1,K123),0)</f>
        <v/>
      </c>
      <c r="AB124" s="7" t="inlineStr">
        <is>
          <t>^Warhead_Concussion_Medium, ^Warhead_CannonHE_Heavy</t>
        </is>
      </c>
    </row>
    <row r="125">
      <c r="A125" t="inlineStr">
        <is>
          <t>redalert2mod</t>
        </is>
      </c>
      <c r="B125" t="inlineStr">
        <is>
          <t>tkm_trenchtruck</t>
        </is>
      </c>
      <c r="C125" t="inlineStr">
        <is>
          <t>Trench Truck</t>
        </is>
      </c>
      <c r="D125" s="6" t="inlineStr">
        <is>
          <t>SupportVehicle</t>
        </is>
      </c>
      <c r="E125" s="6" t="n">
        <v>100000</v>
      </c>
      <c r="F125" s="6" t="n">
        <v>60</v>
      </c>
      <c r="G125" t="inlineStr">
        <is>
          <t>Heavy</t>
        </is>
      </c>
      <c r="H125" s="6" t="n">
        <v>0.4955</v>
      </c>
      <c r="I125" s="6" t="n">
        <v>1</v>
      </c>
      <c r="J125" s="6" t="n">
        <v>1</v>
      </c>
      <c r="K125" s="6" t="n"/>
      <c r="X125" s="6" t="n">
        <v>2500</v>
      </c>
    </row>
    <row r="126">
      <c r="A126" t="inlineStr">
        <is>
          <t>redalert2mod</t>
        </is>
      </c>
      <c r="B126" t="inlineStr">
        <is>
          <t>tkm_zaza</t>
        </is>
      </c>
      <c r="C126" t="inlineStr">
        <is>
          <t>TKM Zaza</t>
        </is>
      </c>
      <c r="D126" s="6" t="inlineStr">
        <is>
          <t>SupportVehicle</t>
        </is>
      </c>
      <c r="E126" s="6" t="n">
        <v>125000</v>
      </c>
      <c r="F126" s="6" t="n">
        <v>75</v>
      </c>
      <c r="G126" t="inlineStr">
        <is>
          <t>Light</t>
        </is>
      </c>
      <c r="H126" s="6" t="n">
        <v>0.4955</v>
      </c>
      <c r="I126" s="6" t="n">
        <v>1</v>
      </c>
      <c r="J126" s="6" t="n">
        <v>1</v>
      </c>
      <c r="K126" s="6" t="n"/>
      <c r="P126">
        <f>MAX(P127,P128)</f>
        <v/>
      </c>
      <c r="S126">
        <f>S127+S128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1600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TKMZazaCannonAG</t>
        </is>
      </c>
      <c r="C127" s="7" t="inlineStr">
        <is>
          <t>Armament@AG</t>
        </is>
      </c>
      <c r="L127" s="6" t="n">
        <v>4000</v>
      </c>
      <c r="M127" s="6" t="n">
        <v>8</v>
      </c>
      <c r="N127" s="6" t="n">
        <v>1</v>
      </c>
      <c r="O127" s="6" t="n"/>
      <c r="P127" s="6" t="n">
        <v>5284</v>
      </c>
      <c r="Q127" s="6" t="n">
        <v>0.875</v>
      </c>
      <c r="R127">
        <f>M127+IF(N127&gt;1,N(O127)*(N127-1),0)</f>
        <v/>
      </c>
      <c r="S127">
        <f>IFERROR(L127*MAX(N127,1)/R127*IF(ISBLANK(K126),1,K126),0)</f>
        <v/>
      </c>
      <c r="AB127" s="7" t="inlineStr">
        <is>
          <t>^Warhead_Bullet_Light, ^Warhead_Flak_Medium</t>
        </is>
      </c>
    </row>
    <row r="128">
      <c r="B128" s="7" t="inlineStr">
        <is>
          <t xml:space="preserve">  ↳ TKMZazaCannonAA</t>
        </is>
      </c>
      <c r="C128" s="7" t="inlineStr">
        <is>
          <t>Armament@AA</t>
        </is>
      </c>
      <c r="L128" s="6" t="n">
        <v>4000</v>
      </c>
      <c r="M128" s="6" t="n">
        <v>8</v>
      </c>
      <c r="N128" s="6" t="n">
        <v>1</v>
      </c>
      <c r="O128" s="6" t="n"/>
      <c r="P128" s="6" t="n">
        <v>7926</v>
      </c>
      <c r="Q128" s="6" t="n">
        <v>0.875</v>
      </c>
      <c r="R128">
        <f>M128+IF(N128&gt;1,N(O128)*(N128-1),0)</f>
        <v/>
      </c>
      <c r="S128">
        <f>IFERROR(L128*MAX(N128,1)/R128*IF(ISBLANK(K126),1,K126),0)</f>
        <v/>
      </c>
      <c r="AB128" s="7" t="inlineStr">
        <is>
          <t>^Warhead_Bullet_Light, ^Warhead_Flak_Medium</t>
        </is>
      </c>
    </row>
    <row r="129">
      <c r="A129" s="4" t="inlineStr">
        <is>
          <t>AIRCRAFT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t="inlineStr">
        <is>
          <t>redalert2mod</t>
        </is>
      </c>
      <c r="B130" t="inlineStr">
        <is>
          <t>tkm_iroquois</t>
        </is>
      </c>
      <c r="C130" t="inlineStr">
        <is>
          <t>Iroquois</t>
        </is>
      </c>
      <c r="D130" s="6" t="inlineStr">
        <is>
          <t>Helicopter</t>
        </is>
      </c>
      <c r="E130" s="6" t="n">
        <v>100000</v>
      </c>
      <c r="F130" s="6" t="n">
        <v>120</v>
      </c>
      <c r="G130" t="inlineStr">
        <is>
          <t>Helicopter</t>
        </is>
      </c>
      <c r="H130" s="6" t="n">
        <v>0.6044</v>
      </c>
      <c r="I130" s="6" t="n">
        <v>1</v>
      </c>
      <c r="J130" s="6" t="n">
        <v>1</v>
      </c>
      <c r="K130" s="6" t="n">
        <v>0.005</v>
      </c>
      <c r="P130">
        <f>MAX(P131,P132,P133,P134,P135)</f>
        <v/>
      </c>
      <c r="S130">
        <f>S131+S132+S133+S134+S135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1800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HueyGun</t>
        </is>
      </c>
      <c r="C131" s="7" t="inlineStr">
        <is>
          <t>Armament@PRIMARY</t>
        </is>
      </c>
      <c r="L131" s="6" t="n">
        <v>4000</v>
      </c>
      <c r="M131" s="6" t="n">
        <v>7</v>
      </c>
      <c r="N131" s="6" t="n">
        <v>1</v>
      </c>
      <c r="O131" s="6" t="n"/>
      <c r="P131" s="6" t="n">
        <v>4783</v>
      </c>
      <c r="Q131" s="6" t="n">
        <v>1</v>
      </c>
      <c r="R131">
        <f>M131+IF(N131&gt;1,N(O131)*(N131-1),0)</f>
        <v/>
      </c>
      <c r="S131">
        <f>IFERROR(L131*MAX(N131,1)/R131*IF(ISBLANK(K130),1,K130),0)</f>
        <v/>
      </c>
      <c r="AB131" s="7" t="inlineStr">
        <is>
          <t>^Warhead_Bullet_Medium</t>
        </is>
      </c>
    </row>
    <row r="132">
      <c r="B132" s="7" t="inlineStr">
        <is>
          <t xml:space="preserve">  ↳ HueyMissiles</t>
        </is>
      </c>
      <c r="C132" s="7" t="inlineStr">
        <is>
          <t>Armament@Missiles</t>
        </is>
      </c>
      <c r="L132" s="6" t="n">
        <v>8000</v>
      </c>
      <c r="M132" s="6" t="n">
        <v>14</v>
      </c>
      <c r="N132" s="6" t="n">
        <v>1</v>
      </c>
      <c r="O132" s="6" t="n"/>
      <c r="P132" s="6" t="n">
        <v>4783</v>
      </c>
      <c r="Q132" s="6" t="n">
        <v>1</v>
      </c>
      <c r="R132">
        <f>M132+IF(N132&gt;1,N(O132)*(N132-1),0)</f>
        <v/>
      </c>
      <c r="S132">
        <f>IFERROR(L132*MAX(N132,1)/R132*IF(ISBLANK(K130),1,K130),0)</f>
        <v/>
      </c>
      <c r="AB132" s="7" t="inlineStr">
        <is>
          <t>^Warhead_MissileAP_Medium</t>
        </is>
      </c>
    </row>
    <row r="133">
      <c r="B133" s="7" t="inlineStr">
        <is>
          <t xml:space="preserve">  ↳ HueyCryoMissiles</t>
        </is>
      </c>
      <c r="C133" s="7" t="inlineStr">
        <is>
          <t>Armament@PRIMARYNATO</t>
        </is>
      </c>
      <c r="L133" s="6" t="n">
        <v>6000</v>
      </c>
      <c r="M133" s="6" t="n">
        <v>16</v>
      </c>
      <c r="N133" s="6" t="n">
        <v>1</v>
      </c>
      <c r="O133" s="6" t="n"/>
      <c r="P133" s="6" t="n">
        <v>5528</v>
      </c>
      <c r="Q133" s="6" t="n">
        <v>1</v>
      </c>
      <c r="R133">
        <f>M133+IF(N133&gt;1,N(O133)*(N133-1),0)</f>
        <v/>
      </c>
      <c r="S133">
        <f>IFERROR(L133*MAX(N133,1)/R133*IF(ISBLANK(K130),1,K130),0)</f>
        <v/>
      </c>
      <c r="AB133" s="7" t="inlineStr">
        <is>
          <t>^Warhead_Demolition_Light, ^Warhead_MissileAP_Medium, ^Warhead_Concussion_Medium</t>
        </is>
      </c>
    </row>
    <row r="134">
      <c r="B134" s="7" t="inlineStr">
        <is>
          <t xml:space="preserve">  ↳ HueyTwinMissiles</t>
        </is>
      </c>
      <c r="C134" s="7" t="inlineStr">
        <is>
          <t>Armament@PRIMARYBEREZKA</t>
        </is>
      </c>
      <c r="L134" s="6" t="n">
        <v>6000</v>
      </c>
      <c r="M134" s="6" t="n">
        <v>16</v>
      </c>
      <c r="N134" s="6" t="n">
        <v>2</v>
      </c>
      <c r="O134" s="6" t="n"/>
      <c r="P134" s="6" t="n">
        <v>5528</v>
      </c>
      <c r="Q134" s="6" t="n">
        <v>1</v>
      </c>
      <c r="R134">
        <f>M134+IF(N134&gt;1,N(O134)*(N134-1),0)</f>
        <v/>
      </c>
      <c r="S134">
        <f>IFERROR(L134*MAX(N134,1)/R134*IF(ISBLANK(K130),1,K130),0)</f>
        <v/>
      </c>
      <c r="AB134" s="7" t="inlineStr">
        <is>
          <t>^Warhead_Demolition_Light, ^Warhead_MissileAP_Medium, ^Warhead_Concussion_Medium</t>
        </is>
      </c>
    </row>
    <row r="135">
      <c r="B135" s="7" t="inlineStr">
        <is>
          <t xml:space="preserve">  ↳ HueyTwinMissiles</t>
        </is>
      </c>
      <c r="C135" s="7" t="inlineStr">
        <is>
          <t>Armament@PRIMARYTITAN</t>
        </is>
      </c>
      <c r="L135" s="6" t="n">
        <v>6000</v>
      </c>
      <c r="M135" s="6" t="n">
        <v>16</v>
      </c>
      <c r="N135" s="6" t="n">
        <v>2</v>
      </c>
      <c r="O135" s="6" t="n"/>
      <c r="P135" s="6" t="n">
        <v>5528</v>
      </c>
      <c r="Q135" s="6" t="n">
        <v>1</v>
      </c>
      <c r="R135">
        <f>M135+IF(N135&gt;1,N(O135)*(N135-1),0)</f>
        <v/>
      </c>
      <c r="S135">
        <f>IFERROR(L135*MAX(N135,1)/R135*IF(ISBLANK(K130),1,K130),0)</f>
        <v/>
      </c>
      <c r="AB135" s="7" t="inlineStr">
        <is>
          <t>^Warhead_Demolition_Light, ^Warhead_MissileAP_Medium, ^Warhead_Concussion_Medium</t>
        </is>
      </c>
    </row>
    <row r="136">
      <c r="A136" t="inlineStr">
        <is>
          <t>redalert2mod</t>
        </is>
      </c>
      <c r="B136" t="inlineStr">
        <is>
          <t>tkm_viper</t>
        </is>
      </c>
      <c r="C136" t="inlineStr">
        <is>
          <t>Viper</t>
        </is>
      </c>
      <c r="D136" s="6" t="inlineStr">
        <is>
          <t>Bomber</t>
        </is>
      </c>
      <c r="E136" s="6" t="n">
        <v>100000</v>
      </c>
      <c r="F136" s="6" t="n">
        <v>150</v>
      </c>
      <c r="G136" t="inlineStr">
        <is>
          <t>Bomber</t>
        </is>
      </c>
      <c r="H136" s="6" t="n">
        <v>0.4424</v>
      </c>
      <c r="I136" s="6" t="n">
        <v>1</v>
      </c>
      <c r="J136" s="6" t="n">
        <v>1</v>
      </c>
      <c r="K136" s="6" t="n"/>
      <c r="P136">
        <f>MAX(P137,P138,P139,P140)</f>
        <v/>
      </c>
      <c r="S136">
        <f>S137+S138+S139+S140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(T136+U136+V136)/3</f>
        <v/>
      </c>
      <c r="X136" s="6" t="n">
        <v>1750</v>
      </c>
      <c r="Y136">
        <f>IFERROR(W136-X136,"")</f>
        <v/>
      </c>
      <c r="Z136">
        <f>IFERROR(ABS(Y136)/MAX(X136,1),"")</f>
        <v/>
      </c>
      <c r="AA136">
        <f>IFERROR((X136-(((E136/100000+F136/100+S136/200)*200*I136*H136)+((E136*F136/25000)*I136*H136))/3)/(((J136/5)*200*I136*H136)+((J136*S136/2.5)*I136*H136)+((E136*F136*J136*S136*I136*H136)/12500000))/3*1000,"")</f>
        <v/>
      </c>
    </row>
    <row r="137">
      <c r="B137" s="7" t="inlineStr">
        <is>
          <t xml:space="preserve">  ↳ ViperMissiles</t>
        </is>
      </c>
      <c r="C137" s="7" t="inlineStr">
        <is>
          <t>Armament@BOMBS</t>
        </is>
      </c>
      <c r="L137" s="6" t="n">
        <v>32000</v>
      </c>
      <c r="M137" s="6" t="n">
        <v>50</v>
      </c>
      <c r="N137" s="6" t="n">
        <v>4</v>
      </c>
      <c r="O137" s="6" t="n">
        <v>2</v>
      </c>
      <c r="P137" s="6" t="n">
        <v>6271</v>
      </c>
      <c r="Q137" s="6" t="n">
        <v>1</v>
      </c>
      <c r="R137">
        <f>M137+IF(N137&gt;1,N(O137)*(N137-1),0)</f>
        <v/>
      </c>
      <c r="S137">
        <f>IFERROR(L137*MAX(N137,1)/R137*IF(ISBLANK(K136),1,K136),0)</f>
        <v/>
      </c>
      <c r="AB137" s="7" t="inlineStr">
        <is>
          <t>^Warhead_Concussion_Medium, ^Warhead_MissileAP_Medium</t>
        </is>
      </c>
    </row>
    <row r="138">
      <c r="B138" s="7" t="inlineStr">
        <is>
          <t xml:space="preserve">  ↳ ViperMissilesCryo</t>
        </is>
      </c>
      <c r="C138" s="7" t="inlineStr">
        <is>
          <t>Armament@PRIMARYNATO</t>
        </is>
      </c>
      <c r="L138" s="6" t="n">
        <v>32000</v>
      </c>
      <c r="M138" s="6" t="n">
        <v>50</v>
      </c>
      <c r="N138" s="6" t="n">
        <v>4</v>
      </c>
      <c r="O138" s="6" t="n">
        <v>2</v>
      </c>
      <c r="P138" s="6" t="n">
        <v>6271</v>
      </c>
      <c r="Q138" s="6" t="n">
        <v>1</v>
      </c>
      <c r="R138">
        <f>M138+IF(N138&gt;1,N(O138)*(N138-1),0)</f>
        <v/>
      </c>
      <c r="S138">
        <f>IFERROR(L138*MAX(N138,1)/R138*IF(ISBLANK(K136),1,K136),0)</f>
        <v/>
      </c>
      <c r="AB138" s="7" t="inlineStr">
        <is>
          <t>^Warhead_Concussion_Medium, ^Warhead_MissileAP_Medium</t>
        </is>
      </c>
    </row>
    <row r="139">
      <c r="B139" s="7" t="inlineStr">
        <is>
          <t xml:space="preserve">  ↳ ViperMissilesTwin</t>
        </is>
      </c>
      <c r="C139" s="7" t="inlineStr">
        <is>
          <t>Armament@PRIMARYBEREZKA</t>
        </is>
      </c>
      <c r="L139" s="6" t="n">
        <v>32000</v>
      </c>
      <c r="M139" s="6" t="n">
        <v>50</v>
      </c>
      <c r="N139" s="6" t="n">
        <v>8</v>
      </c>
      <c r="O139" s="6" t="n">
        <v>2</v>
      </c>
      <c r="P139" s="6" t="n">
        <v>6271</v>
      </c>
      <c r="Q139" s="6" t="n">
        <v>1</v>
      </c>
      <c r="R139">
        <f>M139+IF(N139&gt;1,N(O139)*(N139-1),0)</f>
        <v/>
      </c>
      <c r="S139">
        <f>IFERROR(L139*MAX(N139,1)/R139*IF(ISBLANK(K136),1,K136),0)</f>
        <v/>
      </c>
      <c r="AB139" s="7" t="inlineStr">
        <is>
          <t>^Warhead_Concussion_Medium, ^Warhead_MissileAP_Medium</t>
        </is>
      </c>
    </row>
    <row r="140">
      <c r="B140" s="7" t="inlineStr">
        <is>
          <t xml:space="preserve">  ↳ ViperMissilesFire</t>
        </is>
      </c>
      <c r="C140" s="7" t="inlineStr">
        <is>
          <t>Armament@PRIMARYTITAN</t>
        </is>
      </c>
      <c r="L140" s="6" t="n">
        <v>40000</v>
      </c>
      <c r="M140" s="6" t="n">
        <v>50</v>
      </c>
      <c r="N140" s="6" t="n">
        <v>4</v>
      </c>
      <c r="O140" s="6" t="n">
        <v>2</v>
      </c>
      <c r="P140" s="6" t="n">
        <v>6271</v>
      </c>
      <c r="Q140" s="6" t="n">
        <v>1</v>
      </c>
      <c r="R140">
        <f>M140+IF(N140&gt;1,N(O140)*(N140-1),0)</f>
        <v/>
      </c>
      <c r="S140">
        <f>IFERROR(L140*MAX(N140,1)/R140*IF(ISBLANK(K136),1,K136),0)</f>
        <v/>
      </c>
      <c r="AB140" s="7" t="inlineStr">
        <is>
          <t>^Warhead_MissileAP_Light, ^Warhead_Flame_Light, ^Warhead_Concussion_Medium, ^Warhead_MissileAP_Medium</t>
        </is>
      </c>
    </row>
    <row r="141">
      <c r="A141" t="inlineStr">
        <is>
          <t>redalert2mod</t>
        </is>
      </c>
      <c r="B141" t="inlineStr">
        <is>
          <t>tkmdrone</t>
        </is>
      </c>
      <c r="C141" t="inlineStr">
        <is>
          <t>Drone</t>
        </is>
      </c>
      <c r="D141" s="6" t="inlineStr">
        <is>
          <t>Helicopter</t>
        </is>
      </c>
      <c r="E141" s="6" t="n">
        <v>10000</v>
      </c>
      <c r="F141" s="6" t="n">
        <v>150</v>
      </c>
      <c r="G141" t="inlineStr">
        <is>
          <t>Light</t>
        </is>
      </c>
      <c r="H141" s="6" t="n">
        <v>1</v>
      </c>
      <c r="I141" s="6" t="n">
        <v>1</v>
      </c>
      <c r="J141" s="6" t="n">
        <v>1</v>
      </c>
      <c r="K141" s="6" t="n"/>
      <c r="X141" s="6" t="n">
        <v>25</v>
      </c>
    </row>
    <row r="142">
      <c r="A142" t="inlineStr">
        <is>
          <t>redalert2mod</t>
        </is>
      </c>
      <c r="B142" t="inlineStr">
        <is>
          <t>tkmsuicidedrone</t>
        </is>
      </c>
      <c r="C142" t="inlineStr">
        <is>
          <t>Wraith Drone</t>
        </is>
      </c>
      <c r="D142" s="6" t="inlineStr">
        <is>
          <t>Bomber</t>
        </is>
      </c>
      <c r="E142" s="6" t="n">
        <v>25000</v>
      </c>
      <c r="F142" s="6" t="n">
        <v>200</v>
      </c>
      <c r="G142" t="inlineStr">
        <is>
          <t>Bomber</t>
        </is>
      </c>
      <c r="H142" s="6" t="n">
        <v>1</v>
      </c>
      <c r="I142" s="6" t="n">
        <v>1</v>
      </c>
      <c r="J142" s="6" t="n">
        <v>1</v>
      </c>
      <c r="K142" s="6" t="n"/>
      <c r="P142">
        <f>MAX(P143)</f>
        <v/>
      </c>
      <c r="S142">
        <f>S143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TKMDroneExplosion</t>
        </is>
      </c>
      <c r="C143" s="7" t="inlineStr">
        <is>
          <t>Armament@PRIMARY</t>
        </is>
      </c>
      <c r="L143" s="6" t="n">
        <v>40000</v>
      </c>
      <c r="M143" s="6" t="n">
        <v>25</v>
      </c>
      <c r="N143" s="6" t="n">
        <v>1</v>
      </c>
      <c r="O143" s="6" t="n"/>
      <c r="P143" s="6" t="n">
        <v>2000</v>
      </c>
      <c r="Q143" s="6" t="n">
        <v>1</v>
      </c>
      <c r="R143">
        <f>M143+IF(N143&gt;1,N(O143)*(N143-1),0)</f>
        <v/>
      </c>
      <c r="S143">
        <f>IFERROR(L143*MAX(N143,1)/R143*IF(ISBLANK(K142),1,K142),0)</f>
        <v/>
      </c>
      <c r="AB143" s="7" t="inlineStr">
        <is>
          <t>^Warhead_Concussion_Medium</t>
        </is>
      </c>
    </row>
    <row r="144">
      <c r="A144" s="4" t="inlineStr">
        <is>
          <t>DEFENSES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t="inlineStr">
        <is>
          <t>redalert2mod</t>
        </is>
      </c>
      <c r="B145" t="inlineStr">
        <is>
          <t>tkm_bunker</t>
        </is>
      </c>
      <c r="C145" t="inlineStr">
        <is>
          <t>TKM Bunker</t>
        </is>
      </c>
      <c r="D145" s="6" t="inlineStr">
        <is>
          <t>Bunker</t>
        </is>
      </c>
      <c r="E145" s="6" t="n">
        <v>120000</v>
      </c>
      <c r="F145" s="6" t="n">
        <v>100</v>
      </c>
      <c r="G145" t="inlineStr">
        <is>
          <t>Steel</t>
        </is>
      </c>
      <c r="H145" s="6" t="n">
        <v>1</v>
      </c>
      <c r="I145" s="6" t="n">
        <v>1</v>
      </c>
      <c r="J145" s="6" t="n">
        <v>1</v>
      </c>
      <c r="K145" s="6" t="n"/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600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tkmbunkmg</t>
        </is>
      </c>
      <c r="C146" s="7" t="inlineStr">
        <is>
          <t>Armament</t>
        </is>
      </c>
      <c r="L146" s="6" t="n">
        <v>4000</v>
      </c>
      <c r="M146" s="6" t="n">
        <v>41</v>
      </c>
      <c r="N146" s="6" t="n">
        <v>4</v>
      </c>
      <c r="O146" s="6" t="n">
        <v>3</v>
      </c>
      <c r="P146" s="6" t="n">
        <v>7496</v>
      </c>
      <c r="Q146" s="6" t="n">
        <v>0.875</v>
      </c>
      <c r="R146">
        <f>M146+IF(N146&gt;1,N(O146)*(N146-1),0)</f>
        <v/>
      </c>
      <c r="S146">
        <f>IFERROR(L146*MAX(N146,1)/R146*IF(ISBLANK(K145),1,K145),0)</f>
        <v/>
      </c>
      <c r="AB146" s="7" t="inlineStr">
        <is>
          <t>^Warhead_Bullet_Light, ^Warhead_Bullet_Medium</t>
        </is>
      </c>
    </row>
    <row r="147">
      <c r="B147" s="7" t="inlineStr">
        <is>
          <t xml:space="preserve">  ↳ HighVAP</t>
        </is>
      </c>
      <c r="C147" s="7" t="inlineStr">
        <is>
          <t>Armament@Upgrade</t>
        </is>
      </c>
      <c r="L147" s="6" t="n">
        <v>4000</v>
      </c>
      <c r="M147" s="6" t="n">
        <v>22</v>
      </c>
      <c r="N147" s="6" t="n">
        <v>4</v>
      </c>
      <c r="O147" s="6" t="n">
        <v>2</v>
      </c>
      <c r="P147" s="6" t="n">
        <v>6720</v>
      </c>
      <c r="Q147" s="6" t="n">
        <v>1</v>
      </c>
      <c r="R147">
        <f>M147+IF(N147&gt;1,N(O147)*(N147-1),0)</f>
        <v/>
      </c>
      <c r="S147">
        <f>IFERROR(L147*MAX(N147,1)/R147*IF(ISBLANK(K145),1,K145),0)</f>
        <v/>
      </c>
      <c r="AB147" s="7" t="inlineStr">
        <is>
          <t>^Warhead_Bullet_Medium</t>
        </is>
      </c>
    </row>
    <row r="148">
      <c r="A148" t="inlineStr">
        <is>
          <t>redalert2mod</t>
        </is>
      </c>
      <c r="B148" t="inlineStr">
        <is>
          <t>tkm_quadturretbunker</t>
        </is>
      </c>
      <c r="C148" t="inlineStr">
        <is>
          <t>TKM Quad Turret Bunker</t>
        </is>
      </c>
      <c r="D148" s="6" t="inlineStr">
        <is>
          <t>AntiAirDefense</t>
        </is>
      </c>
      <c r="E148" s="6" t="n">
        <v>85000</v>
      </c>
      <c r="F148" s="6" t="n">
        <v>100</v>
      </c>
      <c r="G148" t="inlineStr">
        <is>
          <t>Concrete</t>
        </is>
      </c>
      <c r="H148" s="6" t="n">
        <v>0.7082000000000001</v>
      </c>
      <c r="I148" s="6" t="n">
        <v>1</v>
      </c>
      <c r="J148" s="6" t="n">
        <v>1</v>
      </c>
      <c r="K148" s="6" t="n"/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900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TKMAATurretCannon</t>
        </is>
      </c>
      <c r="C149" s="7" t="inlineStr">
        <is>
          <t>Armament@AA</t>
        </is>
      </c>
      <c r="L149" s="6" t="n">
        <v>4000</v>
      </c>
      <c r="M149" s="6" t="n">
        <v>5</v>
      </c>
      <c r="N149" s="6" t="n">
        <v>1</v>
      </c>
      <c r="O149" s="6" t="n"/>
      <c r="P149" s="6" t="n">
        <v>11604</v>
      </c>
      <c r="Q149" s="6" t="n">
        <v>1</v>
      </c>
      <c r="R149">
        <f>M149+IF(N149&gt;1,N(O149)*(N149-1),0)</f>
        <v/>
      </c>
      <c r="S149">
        <f>IFERROR(L149*MAX(N149,1)/R149*IF(ISBLANK(K148),1,K148),0)</f>
        <v/>
      </c>
      <c r="AB149" s="7" t="inlineStr">
        <is>
          <t>^Warhead_MissileHE_Medium, ^Warhead_Flak_Medium</t>
        </is>
      </c>
    </row>
    <row r="150">
      <c r="A150" t="inlineStr">
        <is>
          <t>redalert2mod</t>
        </is>
      </c>
      <c r="B150" t="inlineStr">
        <is>
          <t>tkm_tankturretbunker</t>
        </is>
      </c>
      <c r="C150" t="inlineStr">
        <is>
          <t>TKM Tank Turret Bunker</t>
        </is>
      </c>
      <c r="D150" s="6" t="inlineStr">
        <is>
          <t>BasicDefense</t>
        </is>
      </c>
      <c r="E150" s="6" t="n">
        <v>100000</v>
      </c>
      <c r="F150" s="6" t="n">
        <v>100</v>
      </c>
      <c r="G150" t="inlineStr">
        <is>
          <t>Concrete</t>
        </is>
      </c>
      <c r="H150" s="6" t="n">
        <v>1</v>
      </c>
      <c r="I150" s="6" t="n">
        <v>1</v>
      </c>
      <c r="J150" s="6" t="n">
        <v>1</v>
      </c>
      <c r="K150" s="6" t="n"/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(T150+U150+V150)/3</f>
        <v/>
      </c>
      <c r="X150" s="6" t="n">
        <v>800</v>
      </c>
      <c r="Y150">
        <f>IFERROR(W150-X150,"")</f>
        <v/>
      </c>
      <c r="Z150">
        <f>IFERROR(ABS(Y150)/MAX(X150,1),"")</f>
        <v/>
      </c>
      <c r="AA150">
        <f>IFERROR((X150-(((E150/100000+F150/100+S150/200)*200*I150*H150)+((E150*F150/25000)*I150*H150))/3)/(((J150/5)*200*I150*H150)+((J150*S150/2.5)*I150*H150)+((E150*F150*J150*S150*I150*H150)/12500000))/3*1000,"")</f>
        <v/>
      </c>
    </row>
    <row r="151">
      <c r="B151" s="7" t="inlineStr">
        <is>
          <t xml:space="preserve">  ↳ tkmturretcannon</t>
        </is>
      </c>
      <c r="C151" s="7" t="inlineStr">
        <is>
          <t>Armament</t>
        </is>
      </c>
      <c r="L151" s="6" t="n">
        <v>16000</v>
      </c>
      <c r="M151" s="6" t="n">
        <v>28</v>
      </c>
      <c r="N151" s="6" t="n">
        <v>1</v>
      </c>
      <c r="O151" s="6" t="n"/>
      <c r="P151" s="6" t="n">
        <v>8683</v>
      </c>
      <c r="Q151" s="6" t="n">
        <v>0.875</v>
      </c>
      <c r="R151">
        <f>M151+IF(N151&gt;1,N(O151)*(N151-1),0)</f>
        <v/>
      </c>
      <c r="S151">
        <f>IFERROR(L151*MAX(N151,1)/R151*IF(ISBLANK(K150),1,K150),0)</f>
        <v/>
      </c>
      <c r="AB151" s="7" t="inlineStr">
        <is>
          <t>^Warhead_CannonAP_Light, ^Warhead_CannonHE_Medium</t>
        </is>
      </c>
    </row>
    <row r="152">
      <c r="A152" t="inlineStr">
        <is>
          <t>redalert2mod</t>
        </is>
      </c>
      <c r="B152" t="inlineStr">
        <is>
          <t>tkmratflakdeployed</t>
        </is>
      </c>
      <c r="C152" t="inlineStr">
        <is>
          <t>Flak Bus (Deployed)</t>
        </is>
      </c>
      <c r="D152" s="6" t="inlineStr">
        <is>
          <t>BasicDefense</t>
        </is>
      </c>
      <c r="E152" s="6" t="n">
        <v>120000</v>
      </c>
      <c r="F152" s="6" t="n">
        <v>100</v>
      </c>
      <c r="G152" t="inlineStr">
        <is>
          <t>Heavy</t>
        </is>
      </c>
      <c r="H152" s="6" t="n">
        <v>1</v>
      </c>
      <c r="I152" s="6" t="n">
        <v>1</v>
      </c>
      <c r="J152" s="6" t="n">
        <v>1</v>
      </c>
      <c r="K152" s="6" t="n"/>
      <c r="P152">
        <f>MAX(P153)</f>
        <v/>
      </c>
      <c r="S152">
        <f>S153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1600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FlakbusAA</t>
        </is>
      </c>
      <c r="C153" s="7" t="inlineStr">
        <is>
          <t>Armament</t>
        </is>
      </c>
      <c r="L153" s="6" t="n">
        <v>32000</v>
      </c>
      <c r="M153" s="6" t="n">
        <v>32</v>
      </c>
      <c r="N153" s="6" t="n">
        <v>1</v>
      </c>
      <c r="O153" s="6" t="n"/>
      <c r="P153" s="6" t="n">
        <v>10929</v>
      </c>
      <c r="Q153" s="6" t="n">
        <v>1</v>
      </c>
      <c r="R153">
        <f>M153+IF(N153&gt;1,N(O153)*(N153-1),0)</f>
        <v/>
      </c>
      <c r="S153">
        <f>IFERROR(L153*MAX(N153,1)/R153*IF(ISBLANK(K152),1,K152),0)</f>
        <v/>
      </c>
      <c r="AB153" s="7" t="inlineStr">
        <is>
          <t>^Warhead_MissileHE_Medium, ^Warhead_Flak_Medium</t>
        </is>
      </c>
    </row>
    <row r="154">
      <c r="A154" t="inlineStr">
        <is>
          <t>redalert2mod</t>
        </is>
      </c>
      <c r="B154" t="inlineStr">
        <is>
          <t>tkmtrenchtankdeployed</t>
        </is>
      </c>
      <c r="C154" t="inlineStr">
        <is>
          <t>TKM Trench Tank (Deployed)</t>
        </is>
      </c>
      <c r="D154" s="6" t="inlineStr">
        <is>
          <t>BasicDefense</t>
        </is>
      </c>
      <c r="E154" s="6" t="n">
        <v>200000</v>
      </c>
      <c r="F154" s="6" t="n">
        <v>100</v>
      </c>
      <c r="G154" t="inlineStr">
        <is>
          <t>Heavy</t>
        </is>
      </c>
      <c r="H154" s="6" t="n">
        <v>1</v>
      </c>
      <c r="I154" s="6" t="n">
        <v>1</v>
      </c>
      <c r="J154" s="6" t="n">
        <v>1</v>
      </c>
      <c r="K154" s="6" t="n"/>
      <c r="P154">
        <f>MAX(P155)</f>
        <v/>
      </c>
      <c r="S154">
        <f>S155</f>
        <v/>
      </c>
      <c r="T154">
        <f>(E154/100000+F154/100+(P154/1000)*J154/5+S154/200)*200*I154*H154</f>
        <v/>
      </c>
      <c r="U154">
        <f>((E154*F154/25000)+((P154/1000)*J154*S154/2.5))*I154*H154</f>
        <v/>
      </c>
      <c r="V154">
        <f>(E154*F154*(P154/1000)*J154*S154*I154*H154)/12500000</f>
        <v/>
      </c>
      <c r="W154">
        <f>(T154+U154+V154)/3</f>
        <v/>
      </c>
      <c r="X154" s="6" t="n">
        <v>2500</v>
      </c>
      <c r="Y154">
        <f>IFERROR(W154-X154,"")</f>
        <v/>
      </c>
      <c r="Z154">
        <f>IFERROR(ABS(Y154)/MAX(X154,1),"")</f>
        <v/>
      </c>
      <c r="AA154">
        <f>IFERROR((X154-(((E154/100000+F154/100+S154/200)*200*I154*H154)+((E154*F154/25000)*I154*H154))/3)/(((J154/5)*200*I154*H154)+((J154*S154/2.5)*I154*H154)+((E154*F154*J154*S154*I154*H154)/12500000))/3*1000,"")</f>
        <v/>
      </c>
    </row>
    <row r="155">
      <c r="B155" s="7" t="inlineStr">
        <is>
          <t xml:space="preserve">  ↳ tkmtrenchdepcannon</t>
        </is>
      </c>
      <c r="C155" s="7" t="inlineStr">
        <is>
          <t>Armament</t>
        </is>
      </c>
      <c r="L155" s="6" t="n">
        <v>40000</v>
      </c>
      <c r="M155" s="6" t="n">
        <v>36</v>
      </c>
      <c r="N155" s="6" t="n">
        <v>1</v>
      </c>
      <c r="O155" s="6" t="n"/>
      <c r="P155" s="6" t="n">
        <v>11071</v>
      </c>
      <c r="Q155" s="6" t="n">
        <v>1.125</v>
      </c>
      <c r="R155">
        <f>M155+IF(N155&gt;1,N(O155)*(N155-1),0)</f>
        <v/>
      </c>
      <c r="S155">
        <f>IFERROR(L155*MAX(N155,1)/R155*IF(ISBLANK(K154),1,K154),0)</f>
        <v/>
      </c>
      <c r="AB155" s="7" t="inlineStr">
        <is>
          <t>^Warhead_Concussion_Medium, ^Warhead_CannonHE_Heavy</t>
        </is>
      </c>
    </row>
    <row r="156">
      <c r="A156" s="4" t="inlineStr">
        <is>
          <t>BUILDINGS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t="inlineStr">
        <is>
          <t>redalert2mod</t>
        </is>
      </c>
      <c r="B157" t="inlineStr">
        <is>
          <t>tkm_airpad</t>
        </is>
      </c>
      <c r="C157" t="inlineStr">
        <is>
          <t>Air Pad</t>
        </is>
      </c>
      <c r="D157" s="6" t="inlineStr">
        <is>
          <t>Building</t>
        </is>
      </c>
      <c r="E157" s="6" t="n">
        <v>300000</v>
      </c>
      <c r="F157" s="6" t="n"/>
      <c r="G157" t="inlineStr">
        <is>
          <t>Wood</t>
        </is>
      </c>
      <c r="H157" s="6" t="n">
        <v>0.7082000000000001</v>
      </c>
      <c r="I157" s="6" t="n">
        <v>1</v>
      </c>
      <c r="J157" s="6" t="n">
        <v>1</v>
      </c>
      <c r="K157" s="6" t="n"/>
      <c r="X157" s="6" t="n">
        <v>2000</v>
      </c>
    </row>
    <row r="158">
      <c r="A158" t="inlineStr">
        <is>
          <t>redalert2mod</t>
        </is>
      </c>
      <c r="B158" t="inlineStr">
        <is>
          <t>tkm_barracks</t>
        </is>
      </c>
      <c r="C158" t="inlineStr">
        <is>
          <t>TKM Barracks</t>
        </is>
      </c>
      <c r="D158" s="6" t="inlineStr">
        <is>
          <t>Building</t>
        </is>
      </c>
      <c r="E158" s="6" t="n">
        <v>200000</v>
      </c>
      <c r="F158" s="6" t="n"/>
      <c r="G158" t="inlineStr">
        <is>
          <t>Wood</t>
        </is>
      </c>
      <c r="H158" s="6" t="n">
        <v>1</v>
      </c>
      <c r="I158" s="6" t="n">
        <v>1</v>
      </c>
      <c r="J158" s="6" t="n">
        <v>1</v>
      </c>
      <c r="K158" s="6" t="n"/>
      <c r="X158" s="6" t="n">
        <v>1000</v>
      </c>
    </row>
    <row r="159">
      <c r="A159" t="inlineStr">
        <is>
          <t>redalert2mod</t>
        </is>
      </c>
      <c r="B159" t="inlineStr">
        <is>
          <t>tkm_constructionyard</t>
        </is>
      </c>
      <c r="C159" t="inlineStr">
        <is>
          <t>TKM Construction Yard</t>
        </is>
      </c>
      <c r="D159" s="6" t="inlineStr">
        <is>
          <t>Building</t>
        </is>
      </c>
      <c r="E159" s="6" t="n">
        <v>1000000</v>
      </c>
      <c r="F159" s="6" t="n"/>
      <c r="G159" t="inlineStr">
        <is>
          <t>Concrete</t>
        </is>
      </c>
      <c r="H159" s="6" t="n">
        <v>1</v>
      </c>
      <c r="I159" s="6" t="n">
        <v>1</v>
      </c>
      <c r="J159" s="6" t="n">
        <v>1</v>
      </c>
      <c r="K159" s="6" t="n"/>
      <c r="X159" s="6" t="n">
        <v>5000</v>
      </c>
    </row>
    <row r="160">
      <c r="A160" t="inlineStr">
        <is>
          <t>redalert2mod</t>
        </is>
      </c>
      <c r="B160" t="inlineStr">
        <is>
          <t>tkm_observationvan</t>
        </is>
      </c>
      <c r="C160" t="inlineStr">
        <is>
          <t>TKM Observation Van</t>
        </is>
      </c>
      <c r="D160" s="6" t="inlineStr">
        <is>
          <t>Building</t>
        </is>
      </c>
      <c r="E160" s="6" t="n">
        <v>250000</v>
      </c>
      <c r="F160" s="6" t="n"/>
      <c r="G160" t="inlineStr">
        <is>
          <t>Wood</t>
        </is>
      </c>
      <c r="H160" s="6" t="n">
        <v>0.9016</v>
      </c>
      <c r="I160" s="6" t="n">
        <v>1</v>
      </c>
      <c r="J160" s="6" t="n">
        <v>1</v>
      </c>
      <c r="K160" s="6" t="n"/>
      <c r="X160" s="6" t="n">
        <v>2500</v>
      </c>
    </row>
    <row r="161">
      <c r="A161" t="inlineStr">
        <is>
          <t>redalert2mod</t>
        </is>
      </c>
      <c r="B161" t="inlineStr">
        <is>
          <t>tkm_orerefinery</t>
        </is>
      </c>
      <c r="C161" t="inlineStr">
        <is>
          <t>TKM Ore Refinery</t>
        </is>
      </c>
      <c r="D161" s="6" t="inlineStr">
        <is>
          <t>Building</t>
        </is>
      </c>
      <c r="E161" s="6" t="n">
        <v>300000</v>
      </c>
      <c r="F161" s="6" t="n"/>
      <c r="G161" t="inlineStr">
        <is>
          <t>Concrete</t>
        </is>
      </c>
      <c r="H161" s="6" t="n">
        <v>1</v>
      </c>
      <c r="I161" s="6" t="n">
        <v>1</v>
      </c>
      <c r="J161" s="6" t="n">
        <v>1</v>
      </c>
      <c r="K161" s="6" t="n"/>
      <c r="X161" s="6" t="n">
        <v>3000</v>
      </c>
    </row>
    <row r="162">
      <c r="A162" t="inlineStr">
        <is>
          <t>redalert2mod</t>
        </is>
      </c>
      <c r="B162" t="inlineStr">
        <is>
          <t>tkm_powerplant</t>
        </is>
      </c>
      <c r="C162" t="inlineStr">
        <is>
          <t>Power Plant</t>
        </is>
      </c>
      <c r="D162" s="6" t="inlineStr">
        <is>
          <t>Building</t>
        </is>
      </c>
      <c r="E162" s="6" t="n">
        <v>100000</v>
      </c>
      <c r="F162" s="6" t="n"/>
      <c r="G162" t="inlineStr">
        <is>
          <t>Wood</t>
        </is>
      </c>
      <c r="H162" s="6" t="n">
        <v>1</v>
      </c>
      <c r="I162" s="6" t="n">
        <v>1</v>
      </c>
      <c r="J162" s="6" t="n">
        <v>1</v>
      </c>
      <c r="K162" s="6" t="n"/>
      <c r="X162" s="6" t="n">
        <v>400</v>
      </c>
    </row>
    <row r="163">
      <c r="A163" t="inlineStr">
        <is>
          <t>redalert2mod</t>
        </is>
      </c>
      <c r="B163" t="inlineStr">
        <is>
          <t>tkm_supportlabor</t>
        </is>
      </c>
      <c r="C163" t="inlineStr">
        <is>
          <t>TKM Support Labor</t>
        </is>
      </c>
      <c r="D163" s="6" t="inlineStr">
        <is>
          <t>Building</t>
        </is>
      </c>
      <c r="E163" s="6" t="n"/>
      <c r="F163" s="6" t="n"/>
      <c r="H163" s="6" t="n">
        <v>1</v>
      </c>
      <c r="I163" s="6" t="n">
        <v>1</v>
      </c>
      <c r="J163" s="6" t="n">
        <v>1</v>
      </c>
      <c r="K163" s="6" t="n"/>
      <c r="X163" s="6" t="n">
        <v>2500</v>
      </c>
    </row>
    <row r="164">
      <c r="A164" t="inlineStr">
        <is>
          <t>redalert2mod</t>
        </is>
      </c>
      <c r="B164" t="inlineStr">
        <is>
          <t>tkm_techcenter</t>
        </is>
      </c>
      <c r="C164" t="inlineStr">
        <is>
          <t>TKM Tech Center</t>
        </is>
      </c>
      <c r="D164" s="6" t="inlineStr">
        <is>
          <t>Building</t>
        </is>
      </c>
      <c r="E164" s="6" t="n">
        <v>500000</v>
      </c>
      <c r="F164" s="6" t="n"/>
      <c r="G164" t="inlineStr">
        <is>
          <t>Wood</t>
        </is>
      </c>
      <c r="H164" s="6" t="n">
        <v>0.7082000000000001</v>
      </c>
      <c r="I164" s="6" t="n">
        <v>1</v>
      </c>
      <c r="J164" s="6" t="n">
        <v>1</v>
      </c>
      <c r="K164" s="6" t="n"/>
      <c r="X164" s="6" t="n">
        <v>5000</v>
      </c>
    </row>
    <row r="165">
      <c r="A165" t="inlineStr">
        <is>
          <t>redalert2mod</t>
        </is>
      </c>
      <c r="B165" t="inlineStr">
        <is>
          <t>tkm_trenchtruckdeployed</t>
        </is>
      </c>
      <c r="C165" t="inlineStr">
        <is>
          <t>TKM Trench Truck (Deployed)</t>
        </is>
      </c>
      <c r="D165" s="6" t="inlineStr">
        <is>
          <t>Building</t>
        </is>
      </c>
      <c r="E165" s="6" t="n">
        <v>100000</v>
      </c>
      <c r="F165" s="6" t="n"/>
      <c r="G165" t="inlineStr">
        <is>
          <t>Heavy</t>
        </is>
      </c>
      <c r="H165" s="6" t="n">
        <v>1</v>
      </c>
      <c r="I165" s="6" t="n">
        <v>1</v>
      </c>
      <c r="J165" s="6" t="n">
        <v>1</v>
      </c>
      <c r="K165" s="6" t="n"/>
      <c r="X165" s="6" t="n">
        <v>2500</v>
      </c>
    </row>
    <row r="166">
      <c r="A166" t="inlineStr">
        <is>
          <t>redalert2mod</t>
        </is>
      </c>
      <c r="B166" t="inlineStr">
        <is>
          <t>tkm_warfactory</t>
        </is>
      </c>
      <c r="C166" t="inlineStr">
        <is>
          <t>War Factory</t>
        </is>
      </c>
      <c r="D166" s="6" t="inlineStr">
        <is>
          <t>Building</t>
        </is>
      </c>
      <c r="E166" s="6" t="n">
        <v>400000</v>
      </c>
      <c r="F166" s="6" t="n"/>
      <c r="G166" t="inlineStr">
        <is>
          <t>Concrete</t>
        </is>
      </c>
      <c r="H166" s="6" t="n">
        <v>1</v>
      </c>
      <c r="I166" s="6" t="n">
        <v>1</v>
      </c>
      <c r="J166" s="6" t="n">
        <v>1</v>
      </c>
      <c r="K166" s="6" t="n"/>
      <c r="X166" s="6" t="n">
        <v>2000</v>
      </c>
    </row>
    <row r="167">
      <c r="A167" s="4" t="inlineStr">
        <is>
          <t>UPGRADES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t="inlineStr">
        <is>
          <t>redalert2mod</t>
        </is>
      </c>
      <c r="B168" t="inlineStr">
        <is>
          <t>tkm_upgrade_berezkaarsenalupgrade</t>
        </is>
      </c>
      <c r="C168" t="inlineStr">
        <is>
          <t>Berezka Arsenal Upgrade</t>
        </is>
      </c>
      <c r="D168" s="6" t="inlineStr">
        <is>
          <t>ResearchedUpgrade</t>
        </is>
      </c>
      <c r="E168" s="6" t="n"/>
      <c r="F168" s="6" t="n"/>
      <c r="H168" s="6" t="n">
        <v>1</v>
      </c>
      <c r="I168" s="6" t="n">
        <v>1</v>
      </c>
      <c r="J168" s="6" t="n">
        <v>1</v>
      </c>
      <c r="K168" s="6" t="n"/>
      <c r="X168" s="6" t="n">
        <v>1000</v>
      </c>
    </row>
    <row r="169">
      <c r="A169" t="inlineStr">
        <is>
          <t>redalert2mod</t>
        </is>
      </c>
      <c r="B169" t="inlineStr">
        <is>
          <t>tkm_upgrade_cryorocketsupgrade</t>
        </is>
      </c>
      <c r="C169" t="inlineStr">
        <is>
          <t>EMP Rockets Upgrade</t>
        </is>
      </c>
      <c r="D169" s="6" t="inlineStr">
        <is>
          <t>ResearchedUpgrade</t>
        </is>
      </c>
      <c r="E169" s="6" t="n"/>
      <c r="F169" s="6" t="n"/>
      <c r="H169" s="6" t="n">
        <v>0.7082000000000001</v>
      </c>
      <c r="I169" s="6" t="n">
        <v>1</v>
      </c>
      <c r="J169" s="6" t="n">
        <v>1</v>
      </c>
      <c r="K169" s="6" t="n"/>
      <c r="X169" s="6" t="n">
        <v>1500</v>
      </c>
    </row>
    <row r="170">
      <c r="A170" t="inlineStr">
        <is>
          <t>redalert2mod</t>
        </is>
      </c>
      <c r="B170" t="inlineStr">
        <is>
          <t>tkm_upgrade_gp25upgrade</t>
        </is>
      </c>
      <c r="C170" t="inlineStr">
        <is>
          <t>GP-25 Upgrade</t>
        </is>
      </c>
      <c r="D170" s="6" t="inlineStr">
        <is>
          <t>ResearchedUpgrade</t>
        </is>
      </c>
      <c r="E170" s="6" t="n"/>
      <c r="F170" s="6" t="n"/>
      <c r="H170" s="6" t="n">
        <v>0.7082000000000001</v>
      </c>
      <c r="I170" s="6" t="n">
        <v>1</v>
      </c>
      <c r="J170" s="6" t="n">
        <v>1</v>
      </c>
      <c r="K170" s="6" t="n"/>
      <c r="X170" s="6" t="n">
        <v>1500</v>
      </c>
    </row>
    <row r="171">
      <c r="A171" t="inlineStr">
        <is>
          <t>redalert2mod</t>
        </is>
      </c>
      <c r="B171" t="inlineStr">
        <is>
          <t>tkm_upgrade_heavytitanplating</t>
        </is>
      </c>
      <c r="C171" t="inlineStr">
        <is>
          <t>Depleted Uranium Plating</t>
        </is>
      </c>
      <c r="D171" s="6" t="inlineStr">
        <is>
          <t>ResearchedUpgrade</t>
        </is>
      </c>
      <c r="E171" s="6" t="n"/>
      <c r="F171" s="6" t="n"/>
      <c r="H171" s="6" t="n">
        <v>0.4955</v>
      </c>
      <c r="I171" s="6" t="n">
        <v>1</v>
      </c>
      <c r="J171" s="6" t="n">
        <v>1</v>
      </c>
      <c r="K171" s="6" t="n"/>
      <c r="X171" s="6" t="n">
        <v>1500</v>
      </c>
    </row>
    <row r="172">
      <c r="A172" t="inlineStr">
        <is>
          <t>redalert2mod</t>
        </is>
      </c>
      <c r="B172" t="inlineStr">
        <is>
          <t>tkm_upgrade_incendiaryrocketsupgrade</t>
        </is>
      </c>
      <c r="C172" t="inlineStr">
        <is>
          <t>Incendiary Rockets Upgrade</t>
        </is>
      </c>
      <c r="D172" s="6" t="inlineStr">
        <is>
          <t>ResearchedUpgrade</t>
        </is>
      </c>
      <c r="E172" s="6" t="n"/>
      <c r="F172" s="6" t="n"/>
      <c r="H172" s="6" t="n">
        <v>0.7082000000000001</v>
      </c>
      <c r="I172" s="6" t="n">
        <v>1</v>
      </c>
      <c r="J172" s="6" t="n">
        <v>1</v>
      </c>
      <c r="K172" s="6" t="n"/>
      <c r="X172" s="6" t="n">
        <v>1500</v>
      </c>
    </row>
    <row r="173">
      <c r="A173" t="inlineStr">
        <is>
          <t>redalert2mod</t>
        </is>
      </c>
      <c r="B173" t="inlineStr">
        <is>
          <t>tkm_upgrade_infantryupgrade</t>
        </is>
      </c>
      <c r="C173" t="inlineStr">
        <is>
          <t>TKM Infantry Upgrade</t>
        </is>
      </c>
      <c r="D173" s="6" t="inlineStr">
        <is>
          <t>ResearchedUpgrade</t>
        </is>
      </c>
      <c r="E173" s="6" t="n"/>
      <c r="F173" s="6" t="n"/>
      <c r="H173" s="6" t="n">
        <v>0.4955</v>
      </c>
      <c r="I173" s="6" t="n">
        <v>1</v>
      </c>
      <c r="J173" s="6" t="n">
        <v>1</v>
      </c>
      <c r="K173" s="6" t="n"/>
      <c r="X173" s="6" t="n">
        <v>3500</v>
      </c>
    </row>
    <row r="174">
      <c r="A174" t="inlineStr">
        <is>
          <t>redalert2mod</t>
        </is>
      </c>
      <c r="B174" t="inlineStr">
        <is>
          <t>tkm_upgrade_natoarsenalupgrade</t>
        </is>
      </c>
      <c r="C174" t="inlineStr">
        <is>
          <t>NATO Arsenal Upgrade</t>
        </is>
      </c>
      <c r="D174" s="6" t="inlineStr">
        <is>
          <t>ResearchedUpgrade</t>
        </is>
      </c>
      <c r="E174" s="6" t="n"/>
      <c r="F174" s="6" t="n"/>
      <c r="H174" s="6" t="n">
        <v>1</v>
      </c>
      <c r="I174" s="6" t="n">
        <v>1</v>
      </c>
      <c r="J174" s="6" t="n">
        <v>1</v>
      </c>
      <c r="K174" s="6" t="n"/>
      <c r="X174" s="6" t="n">
        <v>1000</v>
      </c>
    </row>
    <row r="175">
      <c r="A175" t="inlineStr">
        <is>
          <t>redalert2mod</t>
        </is>
      </c>
      <c r="B175" t="inlineStr">
        <is>
          <t>tkm_upgrade_pointdefensesystem</t>
        </is>
      </c>
      <c r="C175" t="inlineStr">
        <is>
          <t>Point Defense System</t>
        </is>
      </c>
      <c r="D175" s="6" t="inlineStr">
        <is>
          <t>ResearchedUpgrade</t>
        </is>
      </c>
      <c r="E175" s="6" t="n"/>
      <c r="F175" s="6" t="n"/>
      <c r="H175" s="6" t="n">
        <v>0.4955</v>
      </c>
      <c r="I175" s="6" t="n">
        <v>1</v>
      </c>
      <c r="J175" s="6" t="n">
        <v>1</v>
      </c>
      <c r="K175" s="6" t="n"/>
      <c r="X175" s="6" t="n">
        <v>1500</v>
      </c>
    </row>
    <row r="176">
      <c r="A176" t="inlineStr">
        <is>
          <t>redalert2mod</t>
        </is>
      </c>
      <c r="B176" t="inlineStr">
        <is>
          <t>tkm_upgrade_semiautoriflesupgrade</t>
        </is>
      </c>
      <c r="C176" t="inlineStr">
        <is>
          <t>Semi Auto Rifles Upgrade</t>
        </is>
      </c>
      <c r="D176" s="6" t="inlineStr">
        <is>
          <t>ResearchedUpgrade</t>
        </is>
      </c>
      <c r="E176" s="6" t="n"/>
      <c r="F176" s="6" t="n"/>
      <c r="H176" s="6" t="n">
        <v>0.7082000000000001</v>
      </c>
      <c r="I176" s="6" t="n">
        <v>1</v>
      </c>
      <c r="J176" s="6" t="n">
        <v>1</v>
      </c>
      <c r="K176" s="6" t="n"/>
      <c r="X176" s="6" t="n">
        <v>1500</v>
      </c>
    </row>
    <row r="177">
      <c r="A177" t="inlineStr">
        <is>
          <t>redalert2mod</t>
        </is>
      </c>
      <c r="B177" t="inlineStr">
        <is>
          <t>tkm_upgrade_technicaltankrocketaddon</t>
        </is>
      </c>
      <c r="C177" t="inlineStr">
        <is>
          <t>Technical Tank Rocket Addon</t>
        </is>
      </c>
      <c r="D177" s="6" t="inlineStr">
        <is>
          <t>ResearchedUpgrade</t>
        </is>
      </c>
      <c r="E177" s="6" t="n"/>
      <c r="F177" s="6" t="n"/>
      <c r="H177" s="6" t="n">
        <v>0.4955</v>
      </c>
      <c r="I177" s="6" t="n">
        <v>1</v>
      </c>
      <c r="J177" s="6" t="n">
        <v>1</v>
      </c>
      <c r="K177" s="6" t="n"/>
      <c r="X177" s="6" t="n">
        <v>1500</v>
      </c>
    </row>
    <row r="178">
      <c r="A178" t="inlineStr">
        <is>
          <t>redalert2mod</t>
        </is>
      </c>
      <c r="B178" t="inlineStr">
        <is>
          <t>tkm_upgrade_titanarmorpiercingbulletsupgrade</t>
        </is>
      </c>
      <c r="C178" t="inlineStr">
        <is>
          <t>Tungsten Core Bullets Upgrade</t>
        </is>
      </c>
      <c r="D178" s="6" t="inlineStr">
        <is>
          <t>ResearchedUpgrade</t>
        </is>
      </c>
      <c r="E178" s="6" t="n"/>
      <c r="F178" s="6" t="n"/>
      <c r="H178" s="6" t="n">
        <v>0.7082000000000001</v>
      </c>
      <c r="I178" s="6" t="n">
        <v>1</v>
      </c>
      <c r="J178" s="6" t="n">
        <v>1</v>
      </c>
      <c r="K178" s="6" t="n"/>
      <c r="X178" s="6" t="n">
        <v>2400</v>
      </c>
    </row>
    <row r="179">
      <c r="A179" t="inlineStr">
        <is>
          <t>redalert2mod</t>
        </is>
      </c>
      <c r="B179" t="inlineStr">
        <is>
          <t>tkm_upgrade_titanarsenalupgrade</t>
        </is>
      </c>
      <c r="C179" t="inlineStr">
        <is>
          <t>Titan Arsenal Upgrade</t>
        </is>
      </c>
      <c r="D179" s="6" t="inlineStr">
        <is>
          <t>ResearchedUpgrade</t>
        </is>
      </c>
      <c r="E179" s="6" t="n"/>
      <c r="F179" s="6" t="n"/>
      <c r="H179" s="6" t="n">
        <v>1</v>
      </c>
      <c r="I179" s="6" t="n">
        <v>1</v>
      </c>
      <c r="J179" s="6" t="n">
        <v>1</v>
      </c>
      <c r="K179" s="6" t="n"/>
      <c r="X179" s="6" t="n">
        <v>1000</v>
      </c>
    </row>
    <row r="180">
      <c r="A180" t="inlineStr">
        <is>
          <t>redalert2mod</t>
        </is>
      </c>
      <c r="B180" t="inlineStr">
        <is>
          <t>tkm_upgrade_twinrocketsupgrade</t>
        </is>
      </c>
      <c r="C180" t="inlineStr">
        <is>
          <t>Twin Rockets Upgrade</t>
        </is>
      </c>
      <c r="D180" s="6" t="inlineStr">
        <is>
          <t>ResearchedUpgrade</t>
        </is>
      </c>
      <c r="E180" s="6" t="n"/>
      <c r="F180" s="6" t="n"/>
      <c r="H180" s="6" t="n">
        <v>0.7082000000000001</v>
      </c>
      <c r="I180" s="6" t="n">
        <v>1</v>
      </c>
      <c r="J180" s="6" t="n">
        <v>1</v>
      </c>
      <c r="K180" s="6" t="n"/>
      <c r="X180" s="6" t="n">
        <v>1500</v>
      </c>
    </row>
    <row r="181">
      <c r="A181" s="4" t="inlineStr">
        <is>
          <t>PROMOTIONS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t="inlineStr">
        <is>
          <t>redalert2mod</t>
        </is>
      </c>
      <c r="B182" t="inlineStr">
        <is>
          <t>tkm_promotion_battlebus</t>
        </is>
      </c>
      <c r="C182" t="inlineStr">
        <is>
          <t>Unlock Battle Bus</t>
        </is>
      </c>
      <c r="D182" s="6" t="inlineStr">
        <is>
          <t>PromotionUpgrade</t>
        </is>
      </c>
      <c r="E182" s="6" t="n"/>
      <c r="F182" s="6" t="n"/>
      <c r="H182" s="6" t="n">
        <v>1</v>
      </c>
      <c r="I182" s="6" t="n">
        <v>1</v>
      </c>
      <c r="J182" s="6" t="n">
        <v>1</v>
      </c>
      <c r="K182" s="6" t="n"/>
      <c r="X182" s="6" t="n"/>
    </row>
    <row r="183">
      <c r="A183" t="inlineStr">
        <is>
          <t>redalert2mod</t>
        </is>
      </c>
      <c r="B183" t="inlineStr">
        <is>
          <t>tkm_promotion_dronepodtruck</t>
        </is>
      </c>
      <c r="C183" t="inlineStr">
        <is>
          <t>Unlock Drone Pod Truck</t>
        </is>
      </c>
      <c r="D183" s="6" t="inlineStr">
        <is>
          <t>PromotionUpgrade</t>
        </is>
      </c>
      <c r="E183" s="6" t="n"/>
      <c r="F183" s="6" t="n"/>
      <c r="H183" s="6" t="n">
        <v>1</v>
      </c>
      <c r="I183" s="6" t="n">
        <v>1</v>
      </c>
      <c r="J183" s="6" t="n">
        <v>1</v>
      </c>
      <c r="K183" s="6" t="n"/>
      <c r="X183" s="6" t="n"/>
    </row>
    <row r="184">
      <c r="A184" t="inlineStr">
        <is>
          <t>redalert2mod</t>
        </is>
      </c>
      <c r="B184" t="inlineStr">
        <is>
          <t>tkm_promotion_flakbus</t>
        </is>
      </c>
      <c r="C184" t="inlineStr">
        <is>
          <t>Unlock Flak Bus</t>
        </is>
      </c>
      <c r="D184" s="6" t="inlineStr">
        <is>
          <t>PromotionUpgrade</t>
        </is>
      </c>
      <c r="E184" s="6" t="n"/>
      <c r="F184" s="6" t="n"/>
      <c r="H184" s="6" t="n">
        <v>1</v>
      </c>
      <c r="I184" s="6" t="n">
        <v>1</v>
      </c>
      <c r="J184" s="6" t="n">
        <v>1</v>
      </c>
      <c r="K184" s="6" t="n"/>
      <c r="X184" s="6" t="n"/>
    </row>
    <row r="185">
      <c r="A185" t="inlineStr">
        <is>
          <t>redalert2mod</t>
        </is>
      </c>
      <c r="B185" t="inlineStr">
        <is>
          <t>tkm_promotion_juggernaut</t>
        </is>
      </c>
      <c r="C185" t="inlineStr">
        <is>
          <t>Unlock Juggernaut</t>
        </is>
      </c>
      <c r="D185" s="6" t="inlineStr">
        <is>
          <t>PromotionUpgrade</t>
        </is>
      </c>
      <c r="E185" s="6" t="n"/>
      <c r="F185" s="6" t="n"/>
      <c r="H185" s="6" t="n">
        <v>1</v>
      </c>
      <c r="I185" s="6" t="n">
        <v>1</v>
      </c>
      <c r="J185" s="6" t="n">
        <v>1</v>
      </c>
      <c r="K185" s="6" t="n"/>
      <c r="X185" s="6" t="n"/>
    </row>
    <row r="186">
      <c r="A186" t="inlineStr">
        <is>
          <t>redalert2mod</t>
        </is>
      </c>
      <c r="B186" t="inlineStr">
        <is>
          <t>tkm_promotion_medictruck</t>
        </is>
      </c>
      <c r="C186" t="inlineStr">
        <is>
          <t>Unlock Medic Truck</t>
        </is>
      </c>
      <c r="D186" s="6" t="inlineStr">
        <is>
          <t>PromotionUpgrade</t>
        </is>
      </c>
      <c r="E186" s="6" t="n"/>
      <c r="F186" s="6" t="n"/>
      <c r="H186" s="6" t="n">
        <v>1</v>
      </c>
      <c r="I186" s="6" t="n">
        <v>1</v>
      </c>
      <c r="J186" s="6" t="n">
        <v>1</v>
      </c>
      <c r="K186" s="6" t="n"/>
      <c r="X186" s="6" t="n"/>
    </row>
    <row r="187">
      <c r="A187" t="inlineStr">
        <is>
          <t>redalert2mod</t>
        </is>
      </c>
      <c r="B187" t="inlineStr">
        <is>
          <t>tkm_promotion_radartruck</t>
        </is>
      </c>
      <c r="C187" t="inlineStr">
        <is>
          <t>Unlock Radar Truck</t>
        </is>
      </c>
      <c r="D187" s="6" t="inlineStr">
        <is>
          <t>PromotionUpgrade</t>
        </is>
      </c>
      <c r="E187" s="6" t="n"/>
      <c r="F187" s="6" t="n"/>
      <c r="H187" s="6" t="n">
        <v>1</v>
      </c>
      <c r="I187" s="6" t="n">
        <v>1</v>
      </c>
      <c r="J187" s="6" t="n">
        <v>1</v>
      </c>
      <c r="K187" s="6" t="n"/>
      <c r="X187" s="6" t="n"/>
    </row>
    <row r="188">
      <c r="A188" t="inlineStr">
        <is>
          <t>redalert2mod</t>
        </is>
      </c>
      <c r="B188" t="inlineStr">
        <is>
          <t>tkm_promotion_repairtruck</t>
        </is>
      </c>
      <c r="C188" t="inlineStr">
        <is>
          <t>Unlock Repair Truck</t>
        </is>
      </c>
      <c r="D188" s="6" t="inlineStr">
        <is>
          <t>PromotionUpgrade</t>
        </is>
      </c>
      <c r="E188" s="6" t="n"/>
      <c r="F188" s="6" t="n"/>
      <c r="H188" s="6" t="n">
        <v>1</v>
      </c>
      <c r="I188" s="6" t="n">
        <v>1</v>
      </c>
      <c r="J188" s="6" t="n">
        <v>1</v>
      </c>
      <c r="K188" s="6" t="n"/>
      <c r="X188" s="6" t="n"/>
    </row>
    <row r="189">
      <c r="A189" t="inlineStr">
        <is>
          <t>redalert2mod</t>
        </is>
      </c>
      <c r="B189" t="inlineStr">
        <is>
          <t>tkm_promotion_t30</t>
        </is>
      </c>
      <c r="C189" t="inlineStr">
        <is>
          <t>Unlock T30</t>
        </is>
      </c>
      <c r="D189" s="6" t="inlineStr">
        <is>
          <t>PromotionUpgrade</t>
        </is>
      </c>
      <c r="E189" s="6" t="n"/>
      <c r="F189" s="6" t="n"/>
      <c r="H189" s="6" t="n">
        <v>1</v>
      </c>
      <c r="I189" s="6" t="n">
        <v>1</v>
      </c>
      <c r="J189" s="6" t="n">
        <v>1</v>
      </c>
      <c r="K189" s="6" t="n"/>
      <c r="X189" s="6" t="n"/>
    </row>
    <row r="190">
      <c r="A190" t="inlineStr">
        <is>
          <t>redalert2mod</t>
        </is>
      </c>
      <c r="B190" t="inlineStr">
        <is>
          <t>tkm_promotion_thebigshiee</t>
        </is>
      </c>
      <c r="C190" t="inlineStr">
        <is>
          <t>Unlock the Big Shiee</t>
        </is>
      </c>
      <c r="D190" s="6" t="inlineStr">
        <is>
          <t>PromotionUpgrade</t>
        </is>
      </c>
      <c r="E190" s="6" t="n"/>
      <c r="F190" s="6" t="n"/>
      <c r="H190" s="6" t="n">
        <v>1</v>
      </c>
      <c r="I190" s="6" t="n">
        <v>1</v>
      </c>
      <c r="J190" s="6" t="n">
        <v>1</v>
      </c>
      <c r="K190" s="6" t="n"/>
      <c r="X190" s="6" t="n"/>
    </row>
    <row r="191">
      <c r="A191" t="inlineStr">
        <is>
          <t>redalert2mod</t>
        </is>
      </c>
      <c r="B191" t="inlineStr">
        <is>
          <t>tkm_promotion_thesandmarine</t>
        </is>
      </c>
      <c r="C191" t="inlineStr">
        <is>
          <t>Unlock the Sand Marine</t>
        </is>
      </c>
      <c r="D191" s="6" t="inlineStr">
        <is>
          <t>PromotionUpgrade</t>
        </is>
      </c>
      <c r="E191" s="6" t="n"/>
      <c r="F191" s="6" t="n"/>
      <c r="H191" s="6" t="n">
        <v>1</v>
      </c>
      <c r="I191" s="6" t="n">
        <v>1</v>
      </c>
      <c r="J191" s="6" t="n">
        <v>1</v>
      </c>
      <c r="K191" s="6" t="n"/>
      <c r="X191" s="6" t="n"/>
    </row>
    <row r="192">
      <c r="A192" t="inlineStr">
        <is>
          <t>redalert2mod</t>
        </is>
      </c>
      <c r="B192" t="inlineStr">
        <is>
          <t>tkm_promotion_trenchtank</t>
        </is>
      </c>
      <c r="C192" t="inlineStr">
        <is>
          <t>Unlock Trench Tank</t>
        </is>
      </c>
      <c r="D192" s="6" t="inlineStr">
        <is>
          <t>PromotionUpgrade</t>
        </is>
      </c>
      <c r="E192" s="6" t="n"/>
      <c r="F192" s="6" t="n"/>
      <c r="H192" s="6" t="n">
        <v>1</v>
      </c>
      <c r="I192" s="6" t="n">
        <v>1</v>
      </c>
      <c r="J192" s="6" t="n">
        <v>1</v>
      </c>
      <c r="K192" s="6" t="n"/>
      <c r="X192" s="6" t="n"/>
    </row>
    <row r="193">
      <c r="A193" t="inlineStr">
        <is>
          <t>redalert2mod</t>
        </is>
      </c>
      <c r="B193" t="inlineStr">
        <is>
          <t>tkm_promotion_viper</t>
        </is>
      </c>
      <c r="C193" t="inlineStr">
        <is>
          <t>Unlock Viper</t>
        </is>
      </c>
      <c r="D193" s="6" t="inlineStr">
        <is>
          <t>PromotionUpgrade</t>
        </is>
      </c>
      <c r="E193" s="6" t="n"/>
      <c r="F193" s="6" t="n"/>
      <c r="H193" s="6" t="n">
        <v>1</v>
      </c>
      <c r="I193" s="6" t="n">
        <v>1</v>
      </c>
      <c r="J193" s="6" t="n">
        <v>1</v>
      </c>
      <c r="K193" s="6" t="n"/>
      <c r="X193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9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engineer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K3" s="6" t="n"/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L4" s="6" t="n"/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L5" s="6" t="n"/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/>
    </row>
    <row r="6">
      <c r="A6" t="inlineStr">
        <is>
          <t>shared</t>
        </is>
      </c>
      <c r="B6" t="inlineStr">
        <is>
          <t>fremen_creep</t>
        </is>
      </c>
      <c r="C6" t="inlineStr">
        <is>
          <t>Fremen Warrior</t>
        </is>
      </c>
      <c r="D6" s="6" t="inlineStr">
        <is>
          <t>Infantry</t>
        </is>
      </c>
      <c r="E6" s="6" t="n">
        <v>25000</v>
      </c>
      <c r="F6" s="6" t="n">
        <v>50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K6" s="6" t="n"/>
      <c r="P6">
        <f>MAX(P7,P8)</f>
        <v/>
      </c>
      <c r="S6">
        <f>S7+S8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500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HMG_fremen</t>
        </is>
      </c>
      <c r="C7" s="7" t="inlineStr">
        <is>
          <t>Armament@PRIMARY</t>
        </is>
      </c>
      <c r="L7" s="6" t="n">
        <v>6000</v>
      </c>
      <c r="M7" s="6" t="n">
        <v>20</v>
      </c>
      <c r="N7" s="6" t="n">
        <v>1</v>
      </c>
      <c r="O7" s="6" t="n"/>
      <c r="P7" s="6" t="n">
        <v>3072</v>
      </c>
      <c r="Q7" s="6" t="n">
        <v>0.875</v>
      </c>
      <c r="R7">
        <f>M7+IF(N7&gt;1,N(O7)*(N7-1),0)</f>
        <v/>
      </c>
      <c r="S7">
        <f>IFERROR(L7*MAX(N7,1)/R7*IF(ISBLANK(K6),1,K6),0)</f>
        <v/>
      </c>
      <c r="AB7" s="7" t="inlineStr">
        <is>
          <t>^Warhead_Bullet_Medium, ^Warhead_Bullet_Light</t>
        </is>
      </c>
    </row>
    <row r="8">
      <c r="B8" s="7" t="inlineStr">
        <is>
          <t xml:space="preserve">  ↳ Fremen_RPG</t>
        </is>
      </c>
      <c r="C8" s="7" t="inlineStr">
        <is>
          <t>Armament@SECONDARY</t>
        </is>
      </c>
      <c r="L8" s="6" t="n">
        <v>5200</v>
      </c>
      <c r="M8" s="6" t="n">
        <v>45</v>
      </c>
      <c r="N8" s="6" t="n">
        <v>1</v>
      </c>
      <c r="O8" s="6" t="n"/>
      <c r="P8" s="6" t="n">
        <v>4864</v>
      </c>
      <c r="Q8" s="6" t="n">
        <v>1.25</v>
      </c>
      <c r="R8">
        <f>M8+IF(N8&gt;1,N(O8)*(N8-1),0)</f>
        <v/>
      </c>
      <c r="S8">
        <f>IFERROR(L8*MAX(N8,1)/R8*IF(ISBLANK(K6),1,K6),0)</f>
        <v/>
      </c>
      <c r="AB8" s="7" t="inlineStr">
        <is>
          <t>^Warhead_MissileAP_Heavy</t>
        </is>
      </c>
    </row>
    <row r="9">
      <c r="A9" t="inlineStr">
        <is>
          <t>shared</t>
        </is>
      </c>
      <c r="B9" t="inlineStr">
        <is>
          <t>light_inf</t>
        </is>
      </c>
      <c r="C9" t="inlineStr">
        <is>
          <t>Light Infantry</t>
        </is>
      </c>
      <c r="D9" s="6" t="inlineStr">
        <is>
          <t>ScoutInfantry</t>
        </is>
      </c>
      <c r="E9" s="6" t="n">
        <v>40000</v>
      </c>
      <c r="F9" s="6" t="n">
        <v>54</v>
      </c>
      <c r="G9" t="inlineStr">
        <is>
          <t>None</t>
        </is>
      </c>
      <c r="H9" s="6" t="n">
        <v>1</v>
      </c>
      <c r="I9" s="6" t="n">
        <v>1</v>
      </c>
      <c r="J9" s="6" t="n">
        <v>1</v>
      </c>
      <c r="K9" s="6" t="n">
        <v>0.0091</v>
      </c>
      <c r="P9">
        <f>MAX(P10,P11)</f>
        <v/>
      </c>
      <c r="S9">
        <f>S10+S11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(((E9/20000)+(F9/60)+(S9/60)+((P9/5000)*J9))*100/4+(((E9/20000)*(F9/60))+(((P9/5000)*J9)*(S9/60)))*100/2+((E9/20000)*(F9/60)*((P9/5000)*J9)*(S9/60))*100)*(H9/1.0)/3</f>
        <v/>
      </c>
      <c r="X9" s="6" t="n">
        <v>150</v>
      </c>
      <c r="Y9">
        <f>IFERROR(W9-X9,"")</f>
        <v/>
      </c>
      <c r="Z9">
        <f>IFERROR(ABS(Y9)/MAX(X9,1),"")</f>
        <v/>
      </c>
      <c r="AA9">
        <f>IFERROR(ROUND(((3*X9-(((E9/20000)+(F9/60)+(S9/60))*100/4+((E9/20000)*(F9/60))*100/2)*(H9/1.0))/(100/4+((S9/60))*100/2+((E9/20000)*(F9/60)*(S9/60))*100)*(H9/1.0)*5000)/J9,-1),"")</f>
        <v/>
      </c>
    </row>
    <row r="10">
      <c r="B10" s="7" t="inlineStr">
        <is>
          <t xml:space="preserve">  ↳ light_inf_lmg</t>
        </is>
      </c>
      <c r="C10" s="7" t="inlineStr">
        <is>
          <t>Armament@PRIMARY</t>
        </is>
      </c>
      <c r="L10" s="6" t="n">
        <v>4000</v>
      </c>
      <c r="M10" s="6" t="n">
        <v>20</v>
      </c>
      <c r="N10" s="6" t="n">
        <v>1</v>
      </c>
      <c r="O10" s="6" t="n"/>
      <c r="P10" s="6" t="n">
        <v>5475</v>
      </c>
      <c r="Q10" s="6" t="n">
        <v>0.875</v>
      </c>
      <c r="R10">
        <f>M10+IF(N10&gt;1,N(O10)*(N10-1),0)</f>
        <v/>
      </c>
      <c r="S10">
        <f>IFERROR(L10*MAX(N10,1)/R10*IF(ISBLANK(K9),1,K9),0)</f>
        <v/>
      </c>
      <c r="AB10" s="7" t="inlineStr">
        <is>
          <t>^Warhead_Bullet_Medium, ^Warhead_Bullet_Light</t>
        </is>
      </c>
    </row>
    <row r="11">
      <c r="B11" s="7" t="inlineStr">
        <is>
          <t xml:space="preserve">  ↳ light_inf_lmg_upgrade</t>
        </is>
      </c>
      <c r="C11" s="7" t="inlineStr">
        <is>
          <t>Armament@Upgrade</t>
        </is>
      </c>
      <c r="L11" s="6" t="n">
        <v>6000</v>
      </c>
      <c r="M11" s="6" t="n">
        <v>20</v>
      </c>
      <c r="N11" s="6" t="n">
        <v>1</v>
      </c>
      <c r="O11" s="6" t="n"/>
      <c r="P11" s="6" t="n">
        <v>4500</v>
      </c>
      <c r="Q11" s="6" t="n">
        <v>1</v>
      </c>
      <c r="R11">
        <f>M11+IF(N11&gt;1,N(O11)*(N11-1),0)</f>
        <v/>
      </c>
      <c r="S11">
        <f>IFERROR(L11*MAX(N11,1)/R11*IF(ISBLANK(K9),1,K9),0)</f>
        <v/>
      </c>
      <c r="AB11" s="7" t="inlineStr">
        <is>
          <t>^Warhead_Bullet_Medium, ^Warhead_Bullet_Light, ^Warhead_CannonHE_Heavy</t>
        </is>
      </c>
    </row>
    <row r="12">
      <c r="B12" s="7" t="inlineStr">
        <is>
          <t xml:space="preserve">  ↳ light_inf_lmg</t>
        </is>
      </c>
      <c r="C12" s="7" t="inlineStr">
        <is>
          <t>Armament@GARRISONED</t>
        </is>
      </c>
      <c r="L12" s="6" t="n">
        <v>4000</v>
      </c>
      <c r="M12" s="6" t="n">
        <v>20</v>
      </c>
      <c r="N12" s="6" t="n">
        <v>1</v>
      </c>
      <c r="O12" s="6" t="n"/>
      <c r="P12" s="6" t="n">
        <v>5475</v>
      </c>
      <c r="Q12" s="6" t="n">
        <v>0.875</v>
      </c>
      <c r="R12">
        <f>M12+IF(N12&gt;1,N(O12)*(N12-1),0)</f>
        <v/>
      </c>
      <c r="S12">
        <f>IFERROR(L12*MAX(N12,1)/R12*IF(ISBLANK(K9),1,K9),0)</f>
        <v/>
      </c>
      <c r="AB12" s="7" t="inlineStr">
        <is>
          <t>^Warhead_Bullet_Medium, ^Warhead_Bullet_Light</t>
        </is>
      </c>
    </row>
    <row r="13">
      <c r="B13" s="7" t="inlineStr">
        <is>
          <t xml:space="preserve">  ↳ light_inf_lmg_upgrade</t>
        </is>
      </c>
      <c r="C13" s="7" t="inlineStr">
        <is>
          <t>Armament@UpgradeGARRISONED</t>
        </is>
      </c>
      <c r="L13" s="6" t="n">
        <v>6000</v>
      </c>
      <c r="M13" s="6" t="n">
        <v>20</v>
      </c>
      <c r="N13" s="6" t="n">
        <v>1</v>
      </c>
      <c r="O13" s="6" t="n"/>
      <c r="P13" s="6" t="n">
        <v>4500</v>
      </c>
      <c r="Q13" s="6" t="n">
        <v>1</v>
      </c>
      <c r="R13">
        <f>M13+IF(N13&gt;1,N(O13)*(N13-1),0)</f>
        <v/>
      </c>
      <c r="S13">
        <f>IFERROR(L13*MAX(N13,1)/R13*IF(ISBLANK(K9),1,K9),0)</f>
        <v/>
      </c>
      <c r="AB13" s="7" t="inlineStr">
        <is>
          <t>^Warhead_Bullet_Medium, ^Warhead_Bullet_Light, ^Warhead_CannonHE_Heavy</t>
        </is>
      </c>
    </row>
    <row r="14">
      <c r="A14" t="inlineStr">
        <is>
          <t>shared</t>
        </is>
      </c>
      <c r="B14" t="inlineStr">
        <is>
          <t>trooper</t>
        </is>
      </c>
      <c r="C14" t="inlineStr">
        <is>
          <t>Rocket Trooper</t>
        </is>
      </c>
      <c r="D14" s="6" t="inlineStr">
        <is>
          <t>AntiTankAntiAirInfantry</t>
        </is>
      </c>
      <c r="E14" s="6" t="n">
        <v>12000</v>
      </c>
      <c r="F14" s="6" t="n">
        <v>48</v>
      </c>
      <c r="G14" t="inlineStr">
        <is>
          <t>Flak</t>
        </is>
      </c>
      <c r="H14" s="6" t="n">
        <v>1</v>
      </c>
      <c r="I14" s="6" t="n">
        <v>1</v>
      </c>
      <c r="J14" s="6" t="n">
        <v>1</v>
      </c>
      <c r="K14" s="6" t="n"/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300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D2K_Rocket_Trooper</t>
        </is>
      </c>
      <c r="C15" s="7" t="inlineStr">
        <is>
          <t>Armament</t>
        </is>
      </c>
      <c r="L15" s="6" t="n">
        <v>24000</v>
      </c>
      <c r="M15" s="6" t="n">
        <v>64</v>
      </c>
      <c r="N15" s="6" t="n">
        <v>1</v>
      </c>
      <c r="O15" s="6" t="n"/>
      <c r="P15" s="6" t="n">
        <v>6185</v>
      </c>
      <c r="Q15" s="6" t="n">
        <v>1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^Warhead_MissileAP_Light, ^Warhead_MissileAP_Medium, ^Warhead_MissileAP_Heavy</t>
        </is>
      </c>
    </row>
    <row r="16">
      <c r="B16" s="7" t="inlineStr">
        <is>
          <t xml:space="preserve">  ↳ D2K_Rocket_Trooper</t>
        </is>
      </c>
      <c r="C16" s="7" t="inlineStr">
        <is>
          <t>Armament@garrisoned</t>
        </is>
      </c>
      <c r="L16" s="6" t="n">
        <v>24000</v>
      </c>
      <c r="M16" s="6" t="n">
        <v>64</v>
      </c>
      <c r="N16" s="6" t="n">
        <v>1</v>
      </c>
      <c r="O16" s="6" t="n"/>
      <c r="P16" s="6" t="n">
        <v>6185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^Warhead_MissileAP_Light, ^Warhead_MissileAP_Medium, ^Warhead_MissileAP_Heavy</t>
        </is>
      </c>
    </row>
    <row r="17">
      <c r="A17" s="4" t="inlineStr">
        <is>
          <t>VEHICLES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t="inlineStr">
        <is>
          <t>shared</t>
        </is>
      </c>
      <c r="B18" t="inlineStr">
        <is>
          <t>siege_tank</t>
        </is>
      </c>
      <c r="C18" t="inlineStr">
        <is>
          <t>Siege Tank</t>
        </is>
      </c>
      <c r="D18" s="6" t="inlineStr">
        <is>
          <t>Artillery</t>
        </is>
      </c>
      <c r="E18" s="6" t="n">
        <v>40000</v>
      </c>
      <c r="F18" s="6" t="n">
        <v>43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K18" s="6" t="n"/>
      <c r="P18">
        <f>MAX(P19)</f>
        <v/>
      </c>
      <c r="S18">
        <f>S19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(((E18/60000)+(F18/75)+(S18/500)+((P18/15000)*J18))*500/4+(((E18/60000)*(F18/75))+(((P18/15000)*J18)*(S18/500)))*500/2+((E18/60000)*(F18/75)*((P18/15000)*J18)*(S18/500))*500)*(H18/1.0)/3</f>
        <v/>
      </c>
      <c r="X18" s="6" t="n">
        <v>600</v>
      </c>
      <c r="Y18">
        <f>IFERROR(W18-X18,"")</f>
        <v/>
      </c>
      <c r="Z18">
        <f>IFERROR(ABS(Y18)/MAX(X18,1),"")</f>
        <v/>
      </c>
      <c r="AA18">
        <f>IFERROR(ROUND(((3*X18-(((E18/60000)+(F18/75)+(S18/500))*500/4+((E18/60000)*(F18/75))*500/2)*(H18/1.0))/(500/4+((S18/500))*500/2+((E18/60000)*(F18/75)*(S18/500))*500)*(H18/1.0)*15000)/J18,-1),"")</f>
        <v/>
      </c>
    </row>
    <row r="19">
      <c r="B19" s="7" t="inlineStr">
        <is>
          <t xml:space="preserve">  ↳ D2K_155mm</t>
        </is>
      </c>
      <c r="C19" s="7" t="inlineStr">
        <is>
          <t>Armament</t>
        </is>
      </c>
      <c r="L19" s="6" t="n">
        <v>48000</v>
      </c>
      <c r="M19" s="6" t="n">
        <v>74</v>
      </c>
      <c r="N19" s="6" t="n">
        <v>1</v>
      </c>
      <c r="O19" s="6" t="n"/>
      <c r="P19" s="6" t="n">
        <v>10000</v>
      </c>
      <c r="Q19" s="6" t="n">
        <v>1</v>
      </c>
      <c r="R19">
        <f>M19+IF(N19&gt;1,N(O19)*(N19-1),0)</f>
        <v/>
      </c>
      <c r="S19">
        <f>IFERROR(L19*MAX(N19,1)/R19*IF(ISBLANK(K18),1,K18),0)</f>
        <v/>
      </c>
      <c r="AB19" s="7" t="inlineStr">
        <is>
          <t>^Warhead_Demolition_Light, ^Warhead_Demolition_Heavy, ^Warhead_Concussion_Medium, ^Warhead_CannonHE_Medium</t>
        </is>
      </c>
    </row>
    <row r="20">
      <c r="A20" s="4" t="inlineStr">
        <is>
          <t>AIRCRAFT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>
      <c r="A21" t="inlineStr">
        <is>
          <t>shared</t>
        </is>
      </c>
      <c r="B21" t="inlineStr">
        <is>
          <t>carryall</t>
        </is>
      </c>
      <c r="C21" t="inlineStr">
        <is>
          <t>Autonomous Carryall</t>
        </is>
      </c>
      <c r="D21" s="6" t="inlineStr">
        <is>
          <t>Aircraft</t>
        </is>
      </c>
      <c r="E21" s="6" t="n">
        <v>200000</v>
      </c>
      <c r="F21" s="6" t="n">
        <v>156</v>
      </c>
      <c r="G21" t="inlineStr">
        <is>
          <t>Bomber</t>
        </is>
      </c>
      <c r="H21" s="6" t="n">
        <v>1</v>
      </c>
      <c r="I21" s="6" t="n">
        <v>1</v>
      </c>
      <c r="J21" s="6" t="n">
        <v>1</v>
      </c>
      <c r="K21" s="6" t="n"/>
      <c r="X21" s="6" t="n">
        <v>2000</v>
      </c>
    </row>
    <row r="22">
      <c r="A22" t="inlineStr">
        <is>
          <t>shared</t>
        </is>
      </c>
      <c r="B22" t="inlineStr">
        <is>
          <t>carryall.paradrop</t>
        </is>
      </c>
      <c r="C22" t="inlineStr">
        <is>
          <t>Autonomous Carryall</t>
        </is>
      </c>
      <c r="D22" s="6" t="inlineStr">
        <is>
          <t>Aircraft</t>
        </is>
      </c>
      <c r="E22" s="6" t="n">
        <v>500000</v>
      </c>
      <c r="F22" s="6" t="n">
        <v>156</v>
      </c>
      <c r="G22" t="inlineStr">
        <is>
          <t>Bomber</t>
        </is>
      </c>
      <c r="H22" s="6" t="n">
        <v>1</v>
      </c>
      <c r="I22" s="6" t="n">
        <v>1</v>
      </c>
      <c r="J22" s="6" t="n">
        <v>1</v>
      </c>
      <c r="K22" s="6" t="n"/>
      <c r="X22" s="6" t="n">
        <v>5000</v>
      </c>
    </row>
    <row r="23">
      <c r="A23" t="inlineStr">
        <is>
          <t>shared</t>
        </is>
      </c>
      <c r="B23" t="inlineStr">
        <is>
          <t>carryall.reinforce</t>
        </is>
      </c>
      <c r="C23" t="inlineStr">
        <is>
          <t>Autonomous Carryall</t>
        </is>
      </c>
      <c r="D23" s="6" t="inlineStr">
        <is>
          <t>Aircraft</t>
        </is>
      </c>
      <c r="E23" s="6" t="n">
        <v>500000</v>
      </c>
      <c r="F23" s="6" t="n">
        <v>156</v>
      </c>
      <c r="G23" t="inlineStr">
        <is>
          <t>Bomber</t>
        </is>
      </c>
      <c r="H23" s="6" t="n">
        <v>1</v>
      </c>
      <c r="I23" s="6" t="n">
        <v>1</v>
      </c>
      <c r="J23" s="6" t="n">
        <v>1</v>
      </c>
      <c r="K23" s="6" t="n"/>
      <c r="X23" s="6" t="n">
        <v>5000</v>
      </c>
    </row>
    <row r="24">
      <c r="A24" t="inlineStr">
        <is>
          <t>shared</t>
        </is>
      </c>
      <c r="B24" t="inlineStr">
        <is>
          <t>frigate</t>
        </is>
      </c>
      <c r="C24" t="inlineStr">
        <is>
          <t>Frigate</t>
        </is>
      </c>
      <c r="D24" s="6" t="inlineStr">
        <is>
          <t>Aircraft</t>
        </is>
      </c>
      <c r="E24" s="6" t="n">
        <v>500000</v>
      </c>
      <c r="F24" s="6" t="n">
        <v>189</v>
      </c>
      <c r="G24" t="inlineStr">
        <is>
          <t>Spaceship</t>
        </is>
      </c>
      <c r="H24" s="6" t="n">
        <v>1</v>
      </c>
      <c r="I24" s="6" t="n">
        <v>1</v>
      </c>
      <c r="J24" s="6" t="n">
        <v>1</v>
      </c>
      <c r="K24" s="6" t="n"/>
      <c r="X24" s="6" t="n">
        <v>0</v>
      </c>
    </row>
    <row r="25">
      <c r="A25" t="inlineStr">
        <is>
          <t>shared</t>
        </is>
      </c>
      <c r="B25" t="inlineStr">
        <is>
          <t>frigate.paradrop</t>
        </is>
      </c>
      <c r="C25" t="inlineStr">
        <is>
          <t>Frigate</t>
        </is>
      </c>
      <c r="D25" s="6" t="inlineStr">
        <is>
          <t>Aircraft</t>
        </is>
      </c>
      <c r="E25" s="6" t="n">
        <v>500000</v>
      </c>
      <c r="F25" s="6" t="n">
        <v>189</v>
      </c>
      <c r="G25" t="inlineStr">
        <is>
          <t>Spaceship</t>
        </is>
      </c>
      <c r="H25" s="6" t="n">
        <v>1</v>
      </c>
      <c r="I25" s="6" t="n">
        <v>1</v>
      </c>
      <c r="J25" s="6" t="n">
        <v>1</v>
      </c>
      <c r="K25" s="6" t="n"/>
      <c r="X25" s="6" t="n">
        <v>0</v>
      </c>
    </row>
    <row r="26">
      <c r="A26" s="4" t="inlineStr">
        <is>
          <t>BUILDINGS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t="inlineStr">
        <is>
          <t>shared</t>
        </is>
      </c>
      <c r="B27" t="inlineStr">
        <is>
          <t>OILB.d2k</t>
        </is>
      </c>
      <c r="C27" t="inlineStr">
        <is>
          <t>Spice Sifter</t>
        </is>
      </c>
      <c r="D27" s="6" t="inlineStr">
        <is>
          <t>Building</t>
        </is>
      </c>
      <c r="E27" s="6" t="n">
        <v>250000</v>
      </c>
      <c r="F27" s="6" t="n"/>
      <c r="G27" t="inlineStr">
        <is>
          <t>Wood</t>
        </is>
      </c>
      <c r="H27" s="6" t="n">
        <v>1</v>
      </c>
      <c r="I27" s="6" t="n">
        <v>1</v>
      </c>
      <c r="J27" s="6" t="n">
        <v>1</v>
      </c>
      <c r="K27" s="6" t="n"/>
      <c r="X27" s="6" t="n">
        <v>2500</v>
      </c>
    </row>
    <row r="28">
      <c r="A28" t="inlineStr">
        <is>
          <t>shared</t>
        </is>
      </c>
      <c r="B28" t="inlineStr">
        <is>
          <t>concreteabuilding</t>
        </is>
      </c>
      <c r="C28" t="inlineStr">
        <is>
          <t>Concrete Slab</t>
        </is>
      </c>
      <c r="D28" s="6" t="inlineStr">
        <is>
          <t>Building</t>
        </is>
      </c>
      <c r="E28" s="6" t="n"/>
      <c r="F28" s="6" t="n"/>
      <c r="H28" s="6" t="n">
        <v>1</v>
      </c>
      <c r="I28" s="6" t="n">
        <v>1</v>
      </c>
      <c r="J28" s="6" t="n">
        <v>1</v>
      </c>
      <c r="K28" s="6" t="n"/>
      <c r="X28" s="6" t="n">
        <v>500</v>
      </c>
    </row>
    <row r="29">
      <c r="A29" t="inlineStr">
        <is>
          <t>shared</t>
        </is>
      </c>
      <c r="B29" t="inlineStr">
        <is>
          <t>concreteadefense</t>
        </is>
      </c>
      <c r="C29" t="inlineStr">
        <is>
          <t>Concrete Slab</t>
        </is>
      </c>
      <c r="D29" s="6" t="inlineStr">
        <is>
          <t>Building</t>
        </is>
      </c>
      <c r="E29" s="6" t="n"/>
      <c r="F29" s="6" t="n"/>
      <c r="H29" s="6" t="n">
        <v>1</v>
      </c>
      <c r="I29" s="6" t="n">
        <v>1</v>
      </c>
      <c r="J29" s="6" t="n">
        <v>1</v>
      </c>
      <c r="K29" s="6" t="n"/>
      <c r="X29" s="6" t="n">
        <v>500</v>
      </c>
    </row>
    <row r="30">
      <c r="A30" t="inlineStr">
        <is>
          <t>shared</t>
        </is>
      </c>
      <c r="B30" t="inlineStr">
        <is>
          <t>concretebbuilding</t>
        </is>
      </c>
      <c r="C30" t="inlineStr">
        <is>
          <t>Large Concrete Slab</t>
        </is>
      </c>
      <c r="D30" s="6" t="inlineStr">
        <is>
          <t>Building</t>
        </is>
      </c>
      <c r="E30" s="6" t="n"/>
      <c r="F30" s="6" t="n"/>
      <c r="H30" s="6" t="n">
        <v>1</v>
      </c>
      <c r="I30" s="6" t="n">
        <v>1</v>
      </c>
      <c r="J30" s="6" t="n">
        <v>1</v>
      </c>
      <c r="K30" s="6" t="n"/>
      <c r="X30" s="6" t="n">
        <v>500</v>
      </c>
    </row>
    <row r="31">
      <c r="A31" t="inlineStr">
        <is>
          <t>shared</t>
        </is>
      </c>
      <c r="B31" t="inlineStr">
        <is>
          <t>concretebdefense</t>
        </is>
      </c>
      <c r="C31" t="inlineStr">
        <is>
          <t>Large Concrete Slab</t>
        </is>
      </c>
      <c r="D31" s="6" t="inlineStr">
        <is>
          <t>Building</t>
        </is>
      </c>
      <c r="E31" s="6" t="n"/>
      <c r="F31" s="6" t="n"/>
      <c r="H31" s="6" t="n">
        <v>1</v>
      </c>
      <c r="I31" s="6" t="n">
        <v>1</v>
      </c>
      <c r="J31" s="6" t="n">
        <v>1</v>
      </c>
      <c r="K31" s="6" t="n"/>
      <c r="X31" s="6" t="n">
        <v>500</v>
      </c>
    </row>
    <row r="32">
      <c r="A32" t="inlineStr">
        <is>
          <t>shared</t>
        </is>
      </c>
      <c r="B32" t="inlineStr">
        <is>
          <t>wall</t>
        </is>
      </c>
      <c r="C32" t="inlineStr">
        <is>
          <t>Concrete Wall</t>
        </is>
      </c>
      <c r="D32" s="6" t="inlineStr">
        <is>
          <t>Building</t>
        </is>
      </c>
      <c r="E32" s="6" t="n">
        <v>26000</v>
      </c>
      <c r="F32" s="6" t="n"/>
      <c r="G32" t="inlineStr">
        <is>
          <t>Concrete</t>
        </is>
      </c>
      <c r="H32" s="6" t="n">
        <v>1</v>
      </c>
      <c r="I32" s="6" t="n">
        <v>1</v>
      </c>
      <c r="J32" s="6" t="n">
        <v>1</v>
      </c>
      <c r="K32" s="6" t="n"/>
      <c r="X32" s="6" t="n">
        <v>125</v>
      </c>
    </row>
    <row r="33">
      <c r="A33" s="4" t="inlineStr">
        <is>
          <t>UPGRADES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t="inlineStr">
        <is>
          <t>shared</t>
        </is>
      </c>
      <c r="B34" t="inlineStr">
        <is>
          <t>d2k_spice_sifter_upgrade</t>
        </is>
      </c>
      <c r="C34" t="inlineStr">
        <is>
          <t>Efficient Filtering</t>
        </is>
      </c>
      <c r="D34" s="6" t="inlineStr">
        <is>
          <t>ResearchedUpgrade</t>
        </is>
      </c>
      <c r="E34" s="6" t="n"/>
      <c r="F34" s="6" t="n"/>
      <c r="H34" s="6" t="n">
        <v>1</v>
      </c>
      <c r="I34" s="6" t="n">
        <v>1</v>
      </c>
      <c r="J34" s="6" t="n">
        <v>1</v>
      </c>
      <c r="K34" s="6" t="n"/>
      <c r="X34" s="6" t="n">
        <v>10000</v>
      </c>
    </row>
    <row r="35">
      <c r="A35" t="inlineStr">
        <is>
          <t>shared</t>
        </is>
      </c>
      <c r="B35" t="inlineStr">
        <is>
          <t>d2k_wind_trap_upgrade</t>
        </is>
      </c>
      <c r="C35" t="inlineStr">
        <is>
          <t>Advanced Wind Traps</t>
        </is>
      </c>
      <c r="D35" s="6" t="inlineStr">
        <is>
          <t>ResearchedUpgrade</t>
        </is>
      </c>
      <c r="E35" s="6" t="n"/>
      <c r="F35" s="6" t="n"/>
      <c r="H35" s="6" t="n">
        <v>1</v>
      </c>
      <c r="I35" s="6" t="n">
        <v>1</v>
      </c>
      <c r="J35" s="6" t="n">
        <v>1</v>
      </c>
      <c r="K35" s="6" t="n"/>
      <c r="X35" s="6" t="n">
        <v>5000</v>
      </c>
    </row>
    <row r="36">
      <c r="A36" t="inlineStr">
        <is>
          <t>shared</t>
        </is>
      </c>
      <c r="B36" t="inlineStr">
        <is>
          <t>upgrade_barracks</t>
        </is>
      </c>
      <c r="C36" t="inlineStr">
        <is>
          <t>Barracks Upgrade</t>
        </is>
      </c>
      <c r="D36" s="6" t="inlineStr">
        <is>
          <t>ResearchedUpgrade</t>
        </is>
      </c>
      <c r="E36" s="6" t="n"/>
      <c r="F36" s="6" t="n"/>
      <c r="H36" s="6" t="n">
        <v>1</v>
      </c>
      <c r="I36" s="6" t="n">
        <v>1</v>
      </c>
      <c r="J36" s="6" t="n">
        <v>1</v>
      </c>
      <c r="K36" s="6" t="n"/>
      <c r="X36" s="6" t="n">
        <v>1250</v>
      </c>
    </row>
    <row r="37">
      <c r="A37" t="inlineStr">
        <is>
          <t>shared</t>
        </is>
      </c>
      <c r="B37" t="inlineStr">
        <is>
          <t>upgrade_conyard</t>
        </is>
      </c>
      <c r="C37" t="inlineStr">
        <is>
          <t>Construction Yard Upgrade</t>
        </is>
      </c>
      <c r="D37" s="6" t="inlineStr">
        <is>
          <t>ResearchedUpgrade</t>
        </is>
      </c>
      <c r="E37" s="6" t="n"/>
      <c r="F37" s="6" t="n"/>
      <c r="H37" s="6" t="n">
        <v>1</v>
      </c>
      <c r="I37" s="6" t="n">
        <v>1</v>
      </c>
      <c r="J37" s="6" t="n">
        <v>1</v>
      </c>
      <c r="K37" s="6" t="n"/>
      <c r="X37" s="6" t="n">
        <v>1250</v>
      </c>
    </row>
    <row r="38">
      <c r="A38" t="inlineStr">
        <is>
          <t>shared</t>
        </is>
      </c>
      <c r="B38" t="inlineStr">
        <is>
          <t>upgrade_heavy</t>
        </is>
      </c>
      <c r="C38" t="inlineStr">
        <is>
          <t>Heavy Factory Upgrade</t>
        </is>
      </c>
      <c r="D38" s="6" t="inlineStr">
        <is>
          <t>ResearchedUpgrade</t>
        </is>
      </c>
      <c r="E38" s="6" t="n"/>
      <c r="F38" s="6" t="n"/>
      <c r="H38" s="6" t="n">
        <v>1</v>
      </c>
      <c r="I38" s="6" t="n">
        <v>1</v>
      </c>
      <c r="J38" s="6" t="n">
        <v>1</v>
      </c>
      <c r="K38" s="6" t="n"/>
      <c r="X38" s="6" t="n">
        <v>1250</v>
      </c>
    </row>
    <row r="39">
      <c r="A39" t="inlineStr">
        <is>
          <t>shared</t>
        </is>
      </c>
      <c r="B39" t="inlineStr">
        <is>
          <t>upgrade_hightech</t>
        </is>
      </c>
      <c r="C39" t="inlineStr">
        <is>
          <t>High Tech Factory Upgrade</t>
        </is>
      </c>
      <c r="D39" s="6" t="inlineStr">
        <is>
          <t>ResearchedUpgrade</t>
        </is>
      </c>
      <c r="E39" s="6" t="n"/>
      <c r="F39" s="6" t="n"/>
      <c r="H39" s="6" t="n">
        <v>1</v>
      </c>
      <c r="I39" s="6" t="n">
        <v>1</v>
      </c>
      <c r="J39" s="6" t="n">
        <v>1</v>
      </c>
      <c r="K39" s="6" t="n"/>
      <c r="X39" s="6" t="n">
        <v>1250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4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ordos_antiairtrooper</t>
        </is>
      </c>
      <c r="C3" t="inlineStr">
        <is>
          <t>Anti Air Trooper</t>
        </is>
      </c>
      <c r="D3" s="6" t="inlineStr">
        <is>
          <t>AntiTankAntiAirInfantry</t>
        </is>
      </c>
      <c r="E3" s="6" t="n">
        <v>15000</v>
      </c>
      <c r="F3" s="6" t="n">
        <v>45</v>
      </c>
      <c r="G3" t="inlineStr">
        <is>
          <t>Flak</t>
        </is>
      </c>
      <c r="H3" s="6" t="n">
        <v>1</v>
      </c>
      <c r="I3" s="6" t="n">
        <v>1</v>
      </c>
      <c r="J3" s="6" t="n">
        <v>1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450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D2K_Rocket_Trooper_AA</t>
        </is>
      </c>
      <c r="C4" s="7" t="inlineStr">
        <is>
          <t>Armament</t>
        </is>
      </c>
      <c r="L4" s="6" t="n">
        <v>30000</v>
      </c>
      <c r="M4" s="6" t="n">
        <v>75</v>
      </c>
      <c r="N4" s="6" t="n">
        <v>1</v>
      </c>
      <c r="O4" s="6" t="n"/>
      <c r="P4" s="6" t="n">
        <v>9716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^Warhead_Flak_Medium, ^Warhead_MissileAP_Light, ^Warhead_MissileAP_Heavy</t>
        </is>
      </c>
    </row>
    <row r="5">
      <c r="B5" s="7" t="inlineStr">
        <is>
          <t xml:space="preserve">  ↳ D2K_Rocket_Trooper_AGOnly</t>
        </is>
      </c>
      <c r="C5" s="7" t="inlineStr">
        <is>
          <t>Armament@SECONDARY</t>
        </is>
      </c>
      <c r="L5" s="6" t="n">
        <v>30000</v>
      </c>
      <c r="M5" s="6" t="n">
        <v>50</v>
      </c>
      <c r="N5" s="6" t="n">
        <v>1</v>
      </c>
      <c r="O5" s="6" t="n"/>
      <c r="P5" s="6" t="n">
        <v>6252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^Warhead_Demolition_Light, ^Warhead_Railgun_Heavy, ^Warhead_CannonHE_Medium</t>
        </is>
      </c>
    </row>
    <row r="6">
      <c r="B6" s="7" t="inlineStr">
        <is>
          <t xml:space="preserve">  ↳ D2K_Rocket_Trooper_AA</t>
        </is>
      </c>
      <c r="C6" s="7" t="inlineStr">
        <is>
          <t>Armament@garrisoned</t>
        </is>
      </c>
      <c r="L6" s="6" t="n">
        <v>30000</v>
      </c>
      <c r="M6" s="6" t="n">
        <v>75</v>
      </c>
      <c r="N6" s="6" t="n">
        <v>1</v>
      </c>
      <c r="O6" s="6" t="n"/>
      <c r="P6" s="6" t="n">
        <v>9716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^Warhead_Flak_Medium, ^Warhead_MissileAP_Light, ^Warhead_MissileAP_Heavy</t>
        </is>
      </c>
    </row>
    <row r="7">
      <c r="B7" s="7" t="inlineStr">
        <is>
          <t xml:space="preserve">  ↳ D2K_Rocket_Trooper_AGOnly</t>
        </is>
      </c>
      <c r="C7" s="7" t="inlineStr">
        <is>
          <t>Armament@SECONDARYgarrisoned</t>
        </is>
      </c>
      <c r="L7" s="6" t="n">
        <v>30000</v>
      </c>
      <c r="M7" s="6" t="n">
        <v>50</v>
      </c>
      <c r="N7" s="6" t="n">
        <v>1</v>
      </c>
      <c r="O7" s="6" t="n"/>
      <c r="P7" s="6" t="n">
        <v>6252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^Warhead_Demolition_Light, ^Warhead_Railgun_Heavy, ^Warhead_CannonHE_Medium</t>
        </is>
      </c>
    </row>
    <row r="8">
      <c r="A8" t="inlineStr">
        <is>
          <t>d2k</t>
        </is>
      </c>
      <c r="B8" t="inlineStr">
        <is>
          <t>ordos_chemicaltrooper</t>
        </is>
      </c>
      <c r="C8" t="inlineStr">
        <is>
          <t>Ordos Chemical Trooper</t>
        </is>
      </c>
      <c r="D8" s="6" t="inlineStr">
        <is>
          <t>HeavyInfantry</t>
        </is>
      </c>
      <c r="E8" s="6" t="n">
        <v>30000</v>
      </c>
      <c r="F8" s="6" t="n">
        <v>45</v>
      </c>
      <c r="G8" t="inlineStr">
        <is>
          <t>Plate</t>
        </is>
      </c>
      <c r="H8" s="6" t="n">
        <v>1</v>
      </c>
      <c r="I8" s="6" t="n">
        <v>0.8</v>
      </c>
      <c r="J8" s="6" t="n">
        <v>1</v>
      </c>
      <c r="K8" s="6" t="n"/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400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d2k_chemgun</t>
        </is>
      </c>
      <c r="C9" s="7" t="inlineStr">
        <is>
          <t>Armament@PRIMARY</t>
        </is>
      </c>
      <c r="L9" s="6" t="n">
        <v>30000</v>
      </c>
      <c r="M9" s="6" t="n">
        <v>75</v>
      </c>
      <c r="N9" s="6" t="n">
        <v>1</v>
      </c>
      <c r="O9" s="6" t="n"/>
      <c r="P9" s="6" t="n">
        <v>5177</v>
      </c>
      <c r="Q9" s="6" t="n">
        <v>0.75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^Warhead_Chemical_Light</t>
        </is>
      </c>
    </row>
    <row r="10">
      <c r="B10" s="7" t="inlineStr">
        <is>
          <t xml:space="preserve">  ↳ d2k_chemgun</t>
        </is>
      </c>
      <c r="C10" s="7" t="inlineStr">
        <is>
          <t>Armament@GARRISONED</t>
        </is>
      </c>
      <c r="L10" s="6" t="n">
        <v>30000</v>
      </c>
      <c r="M10" s="6" t="n">
        <v>75</v>
      </c>
      <c r="N10" s="6" t="n">
        <v>1</v>
      </c>
      <c r="O10" s="6" t="n"/>
      <c r="P10" s="6" t="n">
        <v>5177</v>
      </c>
      <c r="Q10" s="6" t="n">
        <v>0.75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^Warhead_Chemical_Light</t>
        </is>
      </c>
    </row>
    <row r="11">
      <c r="A11" t="inlineStr">
        <is>
          <t>d2k</t>
        </is>
      </c>
      <c r="B11" t="inlineStr">
        <is>
          <t>ordos_contaminator</t>
        </is>
      </c>
      <c r="C11" t="inlineStr">
        <is>
          <t>Contaminator</t>
        </is>
      </c>
      <c r="D11" s="6" t="inlineStr">
        <is>
          <t>MeleeInfantry</t>
        </is>
      </c>
      <c r="E11" s="6" t="n">
        <v>75000</v>
      </c>
      <c r="F11" s="6" t="n">
        <v>60</v>
      </c>
      <c r="G11" t="inlineStr">
        <is>
          <t>Plate</t>
        </is>
      </c>
      <c r="H11" s="6" t="n">
        <v>1</v>
      </c>
      <c r="I11" s="6" t="n">
        <v>0.75</v>
      </c>
      <c r="J11" s="6" t="n">
        <v>1.25</v>
      </c>
      <c r="K11" s="6" t="n"/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500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contaminator_attack</t>
        </is>
      </c>
      <c r="C12" s="7" t="inlineStr">
        <is>
          <t>Armament</t>
        </is>
      </c>
      <c r="L12" s="6" t="n">
        <v>10000</v>
      </c>
      <c r="M12" s="6" t="n">
        <v>20</v>
      </c>
      <c r="N12" s="6" t="n">
        <v>1</v>
      </c>
      <c r="O12" s="6" t="n"/>
      <c r="P12" s="6" t="n">
        <v>2000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>
        <is>
          <t>^Warhead_Melee_Medium</t>
        </is>
      </c>
    </row>
    <row r="13">
      <c r="B13" s="7" t="inlineStr">
        <is>
          <t xml:space="preserve">  ↳ contaminator_attack</t>
        </is>
      </c>
      <c r="C13" s="7" t="inlineStr">
        <is>
          <t>Armament@GARRISONED</t>
        </is>
      </c>
      <c r="L13" s="6" t="n">
        <v>10000</v>
      </c>
      <c r="M13" s="6" t="n">
        <v>20</v>
      </c>
      <c r="N13" s="6" t="n">
        <v>1</v>
      </c>
      <c r="O13" s="6" t="n"/>
      <c r="P13" s="6" t="n">
        <v>2000</v>
      </c>
      <c r="Q13" s="6" t="n">
        <v>1</v>
      </c>
      <c r="R13">
        <f>M13+IF(N13&gt;1,N(O13)*(N13-1),0)</f>
        <v/>
      </c>
      <c r="S13">
        <f>IFERROR(L13*MAX(N13,1)/R13*IF(ISBLANK(K11),1,K11),0)</f>
        <v/>
      </c>
      <c r="AB13" s="7" t="inlineStr">
        <is>
          <t>^Warhead_Melee_Medium</t>
        </is>
      </c>
    </row>
    <row r="14">
      <c r="A14" t="inlineStr">
        <is>
          <t>d2k</t>
        </is>
      </c>
      <c r="B14" t="inlineStr">
        <is>
          <t>ordos_facedancer</t>
        </is>
      </c>
      <c r="C14" t="inlineStr">
        <is>
          <t>Face Dancer</t>
        </is>
      </c>
      <c r="D14" s="6" t="inlineStr">
        <is>
          <t>HeroInfantry</t>
        </is>
      </c>
      <c r="E14" s="6" t="n">
        <v>90000</v>
      </c>
      <c r="F14" s="6" t="n">
        <v>75</v>
      </c>
      <c r="G14" t="inlineStr">
        <is>
          <t>Heroic</t>
        </is>
      </c>
      <c r="H14" s="6" t="n">
        <v>0.75</v>
      </c>
      <c r="I14" s="6" t="n">
        <v>1</v>
      </c>
      <c r="J14" s="6" t="n">
        <v>1.25</v>
      </c>
      <c r="K14" s="6" t="n"/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5000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facedancer_grenade</t>
        </is>
      </c>
      <c r="C15" s="7" t="inlineStr">
        <is>
          <t>Armament</t>
        </is>
      </c>
      <c r="L15" s="6" t="n">
        <v>180000</v>
      </c>
      <c r="M15" s="6" t="n">
        <v>90</v>
      </c>
      <c r="N15" s="6" t="n">
        <v>1</v>
      </c>
      <c r="O15" s="6" t="n"/>
      <c r="P15" s="6" t="n">
        <v>7250</v>
      </c>
      <c r="Q15" s="6" t="n">
        <v>1.25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^Warhead_CannonHE_Heavy, ^Warhead_MissileAP_Heavy</t>
        </is>
      </c>
    </row>
    <row r="16">
      <c r="B16" s="7" t="inlineStr">
        <is>
          <t xml:space="preserve">  ↳ facedancer_grenade</t>
        </is>
      </c>
      <c r="C16" s="7" t="inlineStr">
        <is>
          <t>Armament@GARRISONED</t>
        </is>
      </c>
      <c r="L16" s="6" t="n">
        <v>180000</v>
      </c>
      <c r="M16" s="6" t="n">
        <v>90</v>
      </c>
      <c r="N16" s="6" t="n">
        <v>1</v>
      </c>
      <c r="O16" s="6" t="n"/>
      <c r="P16" s="6" t="n">
        <v>7250</v>
      </c>
      <c r="Q16" s="6" t="n">
        <v>1.25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^Warhead_CannonHE_Heavy, ^Warhead_MissileAP_Heavy</t>
        </is>
      </c>
    </row>
    <row r="17">
      <c r="A17" t="inlineStr">
        <is>
          <t>d2k</t>
        </is>
      </c>
      <c r="B17" t="inlineStr">
        <is>
          <t>ordos_leech</t>
        </is>
      </c>
      <c r="C17" t="inlineStr">
        <is>
          <t>Leech</t>
        </is>
      </c>
      <c r="D17" s="6" t="inlineStr">
        <is>
          <t>ScoutVehicle</t>
        </is>
      </c>
      <c r="E17" s="6" t="n">
        <v>50000</v>
      </c>
      <c r="F17" s="6" t="n">
        <v>150</v>
      </c>
      <c r="G17" t="inlineStr">
        <is>
          <t>Scout</t>
        </is>
      </c>
      <c r="H17" s="6" t="n">
        <v>1</v>
      </c>
      <c r="I17" s="6" t="n">
        <v>1</v>
      </c>
      <c r="J17" s="6" t="n">
        <v>1</v>
      </c>
      <c r="K17" s="6" t="n"/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1100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LeechJump</t>
        </is>
      </c>
      <c r="C18" s="7" t="inlineStr">
        <is>
          <t>Armament@PRIMARY</t>
        </is>
      </c>
      <c r="L18" s="6" t="n">
        <v>100000</v>
      </c>
      <c r="M18" s="6" t="n">
        <v>30</v>
      </c>
      <c r="N18" s="6" t="n">
        <v>1</v>
      </c>
      <c r="O18" s="6" t="n"/>
      <c r="P18" s="6" t="n">
        <v>3000</v>
      </c>
      <c r="Q18" s="6" t="n">
        <v>1</v>
      </c>
      <c r="R18">
        <f>M18+IF(N18&gt;1,N(O18)*(N18-1),0)</f>
        <v/>
      </c>
      <c r="S18">
        <f>IFERROR(L18*MAX(N18,1)/R18*IF(ISBLANK(K17),1,K17),0)</f>
        <v/>
      </c>
      <c r="AB18" s="7" t="inlineStr"/>
    </row>
    <row r="19">
      <c r="A19" t="inlineStr">
        <is>
          <t>d2k</t>
        </is>
      </c>
      <c r="B19" t="inlineStr">
        <is>
          <t>ordos_lightinfantry</t>
        </is>
      </c>
      <c r="C19" t="inlineStr">
        <is>
          <t>Ordos Light Infantry</t>
        </is>
      </c>
      <c r="D19" s="6" t="inlineStr">
        <is>
          <t>ScoutInfantry</t>
        </is>
      </c>
      <c r="E19" s="6" t="n">
        <v>28000</v>
      </c>
      <c r="F19" s="6" t="n">
        <v>62</v>
      </c>
      <c r="G19" t="inlineStr">
        <is>
          <t>None</t>
        </is>
      </c>
      <c r="H19" s="6" t="n">
        <v>1</v>
      </c>
      <c r="I19" s="6" t="n">
        <v>1</v>
      </c>
      <c r="J19" s="6" t="n">
        <v>1</v>
      </c>
      <c r="K19" s="6" t="n">
        <v>0.0067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(((E19/20000)+(F19/60)+(S19/60)+((P19/5000)*J19))*100/4+(((E19/20000)*(F19/60))+(((P19/5000)*J19)*(S19/60)))*100/2+((E19/20000)*(F19/60)*((P19/5000)*J19)*(S19/60))*100)*(H19/1.0)/3</f>
        <v/>
      </c>
      <c r="X19" s="6" t="n">
        <v>120</v>
      </c>
      <c r="Y19">
        <f>IFERROR(W19-X19,"")</f>
        <v/>
      </c>
      <c r="Z19">
        <f>IFERROR(ABS(Y19)/MAX(X19,1),"")</f>
        <v/>
      </c>
      <c r="AA19">
        <f>IFERROR(ROUND(((3*X19-(((E19/20000)+(F19/60)+(S19/60))*100/4+((E19/20000)*(F19/60))*100/2)*(H19/1.0))/(100/4+((S19/60))*100/2+((E19/20000)*(F19/60)*(S19/60))*100)*(H19/1.0)*5000)/J19,-1),"")</f>
        <v/>
      </c>
    </row>
    <row r="20">
      <c r="B20" s="7" t="inlineStr">
        <is>
          <t xml:space="preserve">  ↳ light_inf_lmg</t>
        </is>
      </c>
      <c r="C20" s="7" t="inlineStr">
        <is>
          <t>Armament@PRIMARY</t>
        </is>
      </c>
      <c r="L20" s="6" t="n">
        <v>4000</v>
      </c>
      <c r="M20" s="6" t="n">
        <v>20</v>
      </c>
      <c r="N20" s="6" t="n">
        <v>1</v>
      </c>
      <c r="O20" s="6" t="n"/>
      <c r="P20" s="6" t="n">
        <v>5475</v>
      </c>
      <c r="Q20" s="6" t="n">
        <v>0.875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^Warhead_Bullet_Medium, ^Warhead_Bullet_Light</t>
        </is>
      </c>
    </row>
    <row r="21">
      <c r="B21" s="7" t="inlineStr">
        <is>
          <t xml:space="preserve">  ↳ light_inf_lmg_ordos_upgrade</t>
        </is>
      </c>
      <c r="C21" s="7" t="inlineStr">
        <is>
          <t>Armament@Upgrade</t>
        </is>
      </c>
      <c r="L21" s="6" t="n">
        <v>6000</v>
      </c>
      <c r="M21" s="6" t="n">
        <v>20</v>
      </c>
      <c r="N21" s="6" t="n">
        <v>1</v>
      </c>
      <c r="O21" s="6" t="n"/>
      <c r="P21" s="6" t="n">
        <v>5475</v>
      </c>
      <c r="Q21" s="6" t="n">
        <v>1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^Warhead_Laser_Heavy, ^Warhead_Bullet_Medium, ^Warhead_Bullet_Light</t>
        </is>
      </c>
    </row>
    <row r="22">
      <c r="B22" s="7" t="inlineStr">
        <is>
          <t xml:space="preserve">  ↳ light_inf_lmg</t>
        </is>
      </c>
      <c r="C22" s="7" t="inlineStr">
        <is>
          <t>Armament@GARRISONED</t>
        </is>
      </c>
      <c r="L22" s="6" t="n">
        <v>4000</v>
      </c>
      <c r="M22" s="6" t="n">
        <v>20</v>
      </c>
      <c r="N22" s="6" t="n">
        <v>1</v>
      </c>
      <c r="O22" s="6" t="n"/>
      <c r="P22" s="6" t="n">
        <v>5475</v>
      </c>
      <c r="Q22" s="6" t="n">
        <v>0.875</v>
      </c>
      <c r="R22">
        <f>M22+IF(N22&gt;1,N(O22)*(N22-1),0)</f>
        <v/>
      </c>
      <c r="S22">
        <f>IFERROR(L22*MAX(N22,1)/R22*IF(ISBLANK(K19),1,K19),0)</f>
        <v/>
      </c>
      <c r="AB22" s="7" t="inlineStr">
        <is>
          <t>^Warhead_Bullet_Medium, ^Warhead_Bullet_Light</t>
        </is>
      </c>
    </row>
    <row r="23">
      <c r="B23" s="7" t="inlineStr">
        <is>
          <t xml:space="preserve">  ↳ light_inf_lmg_ordos_upgrade</t>
        </is>
      </c>
      <c r="C23" s="7" t="inlineStr">
        <is>
          <t>Armament@UpgradeGARRISONED</t>
        </is>
      </c>
      <c r="L23" s="6" t="n">
        <v>6000</v>
      </c>
      <c r="M23" s="6" t="n">
        <v>20</v>
      </c>
      <c r="N23" s="6" t="n">
        <v>1</v>
      </c>
      <c r="O23" s="6" t="n"/>
      <c r="P23" s="6" t="n">
        <v>5475</v>
      </c>
      <c r="Q23" s="6" t="n">
        <v>1</v>
      </c>
      <c r="R23">
        <f>M23+IF(N23&gt;1,N(O23)*(N23-1),0)</f>
        <v/>
      </c>
      <c r="S23">
        <f>IFERROR(L23*MAX(N23,1)/R23*IF(ISBLANK(K19),1,K19),0)</f>
        <v/>
      </c>
      <c r="AB23" s="7" t="inlineStr">
        <is>
          <t>^Warhead_Laser_Heavy, ^Warhead_Bullet_Medium, ^Warhead_Bullet_Light</t>
        </is>
      </c>
    </row>
    <row r="24">
      <c r="A24" t="inlineStr">
        <is>
          <t>d2k</t>
        </is>
      </c>
      <c r="B24" t="inlineStr">
        <is>
          <t>ordos_mortartrooper</t>
        </is>
      </c>
      <c r="C24" t="inlineStr">
        <is>
          <t>Ordos Mortar Trooper</t>
        </is>
      </c>
      <c r="D24" s="6" t="inlineStr">
        <is>
          <t>MortarInfantry</t>
        </is>
      </c>
      <c r="E24" s="6" t="n">
        <v>20000</v>
      </c>
      <c r="F24" s="6" t="n">
        <v>40</v>
      </c>
      <c r="G24" t="inlineStr">
        <is>
          <t>None</t>
        </is>
      </c>
      <c r="H24" s="6" t="n">
        <v>1</v>
      </c>
      <c r="I24" s="6" t="n">
        <v>0.6</v>
      </c>
      <c r="J24" s="6" t="n">
        <v>1</v>
      </c>
      <c r="K24" s="6" t="n"/>
      <c r="P24">
        <f>MAX(P25)</f>
        <v/>
      </c>
      <c r="S24">
        <f>S25</f>
        <v/>
      </c>
      <c r="T24">
        <f>(E24/100000+F24/100+(P24/1000)*J24/5+S24/200)*200*I24*H24</f>
        <v/>
      </c>
      <c r="U24">
        <f>((E24*F24/25000)+((P24/1000)*J24*S24/2.5))*I24*H24</f>
        <v/>
      </c>
      <c r="V24">
        <f>(E24*F24*(P24/1000)*J24*S24*I24*H24)/12500000</f>
        <v/>
      </c>
      <c r="W24">
        <f>(T24+U24+V24)/3</f>
        <v/>
      </c>
      <c r="X24" s="6" t="n">
        <v>600</v>
      </c>
      <c r="Y24">
        <f>IFERROR(W24-X24,"")</f>
        <v/>
      </c>
      <c r="Z24">
        <f>IFERROR(ABS(Y24)/MAX(X24,1),"")</f>
        <v/>
      </c>
      <c r="AA24">
        <f>IFERROR((X24-(((E24/100000+F24/100+S24/200)*200*I24*H24)+((E24*F24/25000)*I24*H24))/3)/(((J24/5)*200*I24*H24)+((J24*S24/2.5)*I24*H24)+((E24*F24*J24*S24*I24*H24)/12500000))/3*1000,"")</f>
        <v/>
      </c>
    </row>
    <row r="25">
      <c r="B25" s="7" t="inlineStr">
        <is>
          <t xml:space="preserve">  ↳ Dune_SiegeMortar</t>
        </is>
      </c>
      <c r="C25" s="7" t="inlineStr">
        <is>
          <t>Armament</t>
        </is>
      </c>
      <c r="L25" s="6" t="n">
        <v>40000</v>
      </c>
      <c r="M25" s="6" t="n">
        <v>80</v>
      </c>
      <c r="N25" s="6" t="n">
        <v>1</v>
      </c>
      <c r="O25" s="6" t="n"/>
      <c r="P25" s="6" t="n">
        <v>9920</v>
      </c>
      <c r="Q25" s="6" t="n">
        <v>1</v>
      </c>
      <c r="R25">
        <f>M25+IF(N25&gt;1,N(O25)*(N25-1),0)</f>
        <v/>
      </c>
      <c r="S25">
        <f>IFERROR(L25*MAX(N25,1)/R25*IF(ISBLANK(K24),1,K24),0)</f>
        <v/>
      </c>
      <c r="AB25" s="7" t="inlineStr">
        <is>
          <t>^Warhead_Demolition_Light, ^Warhead_Concussion_Medium, ^Warhead_CannonAP_Light, ^Warhead_CannonHE_Medium</t>
        </is>
      </c>
    </row>
    <row r="26">
      <c r="B26" s="7" t="inlineStr">
        <is>
          <t xml:space="preserve">  ↳ Dune_SiegeMortar</t>
        </is>
      </c>
      <c r="C26" s="7" t="inlineStr">
        <is>
          <t>Armament@garrisoned</t>
        </is>
      </c>
      <c r="L26" s="6" t="n">
        <v>40000</v>
      </c>
      <c r="M26" s="6" t="n">
        <v>80</v>
      </c>
      <c r="N26" s="6" t="n">
        <v>1</v>
      </c>
      <c r="O26" s="6" t="n"/>
      <c r="P26" s="6" t="n">
        <v>9920</v>
      </c>
      <c r="Q26" s="6" t="n">
        <v>1</v>
      </c>
      <c r="R26">
        <f>M26+IF(N26&gt;1,N(O26)*(N26-1),0)</f>
        <v/>
      </c>
      <c r="S26">
        <f>IFERROR(L26*MAX(N26,1)/R26*IF(ISBLANK(K24),1,K24),0)</f>
        <v/>
      </c>
      <c r="AB26" s="7" t="inlineStr">
        <is>
          <t>^Warhead_Demolition_Light, ^Warhead_Concussion_Medium, ^Warhead_CannonAP_Light, ^Warhead_CannonHE_Medium</t>
        </is>
      </c>
    </row>
    <row r="27">
      <c r="A27" t="inlineStr">
        <is>
          <t>d2k</t>
        </is>
      </c>
      <c r="B27" t="inlineStr">
        <is>
          <t>ordos_rockettrooper</t>
        </is>
      </c>
      <c r="C27" t="inlineStr">
        <is>
          <t>Ordos Rocket Trooper</t>
        </is>
      </c>
      <c r="D27" s="6" t="inlineStr">
        <is>
          <t>AntiTankAntiAirInfantry</t>
        </is>
      </c>
      <c r="E27" s="6" t="n">
        <v>12000</v>
      </c>
      <c r="F27" s="6" t="n">
        <v>48</v>
      </c>
      <c r="G27" t="inlineStr">
        <is>
          <t>Flak</t>
        </is>
      </c>
      <c r="H27" s="6" t="n">
        <v>1</v>
      </c>
      <c r="I27" s="6" t="n">
        <v>1</v>
      </c>
      <c r="J27" s="6" t="n">
        <v>1</v>
      </c>
      <c r="K27" s="6" t="n"/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300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D2K_Rocket_Trooper</t>
        </is>
      </c>
      <c r="C28" s="7" t="inlineStr">
        <is>
          <t>Armament</t>
        </is>
      </c>
      <c r="L28" s="6" t="n">
        <v>24000</v>
      </c>
      <c r="M28" s="6" t="n">
        <v>64</v>
      </c>
      <c r="N28" s="6" t="n">
        <v>1</v>
      </c>
      <c r="O28" s="6" t="n"/>
      <c r="P28" s="6" t="n">
        <v>6185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^Warhead_MissileAP_Light, ^Warhead_MissileAP_Medium, ^Warhead_MissileAP_Heavy</t>
        </is>
      </c>
    </row>
    <row r="29">
      <c r="B29" s="7" t="inlineStr">
        <is>
          <t xml:space="preserve">  ↳ D2K_Rocket_Trooper</t>
        </is>
      </c>
      <c r="C29" s="7" t="inlineStr">
        <is>
          <t>Armament@garrisoned</t>
        </is>
      </c>
      <c r="L29" s="6" t="n">
        <v>24000</v>
      </c>
      <c r="M29" s="6" t="n">
        <v>64</v>
      </c>
      <c r="N29" s="6" t="n">
        <v>1</v>
      </c>
      <c r="O29" s="6" t="n"/>
      <c r="P29" s="6" t="n">
        <v>6185</v>
      </c>
      <c r="Q29" s="6" t="n">
        <v>1</v>
      </c>
      <c r="R29">
        <f>M29+IF(N29&gt;1,N(O29)*(N29-1),0)</f>
        <v/>
      </c>
      <c r="S29">
        <f>IFERROR(L29*MAX(N29,1)/R29*IF(ISBLANK(K27),1,K27),0)</f>
        <v/>
      </c>
      <c r="AB29" s="7" t="inlineStr">
        <is>
          <t>^Warhead_MissileAP_Light, ^Warhead_MissileAP_Medium, ^Warhead_MissileAP_Heavy</t>
        </is>
      </c>
    </row>
    <row r="30">
      <c r="A30" t="inlineStr">
        <is>
          <t>d2k</t>
        </is>
      </c>
      <c r="B30" t="inlineStr">
        <is>
          <t>ordos_saboteur</t>
        </is>
      </c>
      <c r="C30" t="inlineStr">
        <is>
          <t>Saboteur</t>
        </is>
      </c>
      <c r="D30" s="6" t="inlineStr">
        <is>
          <t>Infantry</t>
        </is>
      </c>
      <c r="E30" s="6" t="n">
        <v>12000</v>
      </c>
      <c r="F30" s="6" t="n">
        <v>100</v>
      </c>
      <c r="G30" t="inlineStr">
        <is>
          <t>None</t>
        </is>
      </c>
      <c r="H30" s="6" t="n">
        <v>1</v>
      </c>
      <c r="I30" s="6" t="n">
        <v>1</v>
      </c>
      <c r="J30" s="6" t="n">
        <v>1</v>
      </c>
      <c r="K30" s="6" t="n"/>
      <c r="X30" s="6" t="n">
        <v>300</v>
      </c>
    </row>
    <row r="31">
      <c r="B31" s="7" t="inlineStr">
        <is>
          <t xml:space="preserve">  ↳ GenericC4</t>
        </is>
      </c>
      <c r="C31" s="7" t="inlineStr">
        <is>
          <t>Armament@c4</t>
        </is>
      </c>
      <c r="L31" s="6" t="n"/>
      <c r="M31" s="6" t="n">
        <v>20</v>
      </c>
      <c r="N31" s="6" t="n">
        <v>1</v>
      </c>
      <c r="O31" s="6" t="n"/>
      <c r="P31" s="6" t="n">
        <v>2000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/>
    </row>
    <row r="32">
      <c r="A32" s="4" t="inlineStr">
        <is>
          <t>VEHICLES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t="inlineStr">
        <is>
          <t>d2k</t>
        </is>
      </c>
      <c r="B33" t="inlineStr">
        <is>
          <t>ordos_apc</t>
        </is>
      </c>
      <c r="C33" t="inlineStr">
        <is>
          <t>Ordos APC</t>
        </is>
      </c>
      <c r="D33" s="6" t="inlineStr">
        <is>
          <t>SupportVehicle</t>
        </is>
      </c>
      <c r="E33" s="6" t="n">
        <v>67500</v>
      </c>
      <c r="F33" s="6" t="n">
        <v>105</v>
      </c>
      <c r="G33" t="inlineStr">
        <is>
          <t>Medium</t>
        </is>
      </c>
      <c r="H33" s="6" t="n">
        <v>1</v>
      </c>
      <c r="I33" s="6" t="n">
        <v>1.25</v>
      </c>
      <c r="J33" s="6" t="n">
        <v>1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2100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D2K_APC_Rocket</t>
        </is>
      </c>
      <c r="C34" s="7" t="inlineStr">
        <is>
          <t>Armament</t>
        </is>
      </c>
      <c r="L34" s="6" t="n">
        <v>24000</v>
      </c>
      <c r="M34" s="6" t="n">
        <v>42</v>
      </c>
      <c r="N34" s="6" t="n">
        <v>1</v>
      </c>
      <c r="O34" s="6" t="n"/>
      <c r="P34" s="6" t="n">
        <v>6500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^Warhead_MissileAP_Light, ^Warhead_MissileAP_Medium, ^Warhead_MissileAP_Heavy</t>
        </is>
      </c>
    </row>
    <row r="35">
      <c r="A35" t="inlineStr">
        <is>
          <t>d2k</t>
        </is>
      </c>
      <c r="B35" t="inlineStr">
        <is>
          <t>ordos_cobratank</t>
        </is>
      </c>
      <c r="C35" t="inlineStr">
        <is>
          <t>Cobra Tank</t>
        </is>
      </c>
      <c r="D35" s="6" t="inlineStr">
        <is>
          <t>ArtilleryTank</t>
        </is>
      </c>
      <c r="E35" s="6" t="n">
        <v>45000</v>
      </c>
      <c r="F35" s="6" t="n">
        <v>45</v>
      </c>
      <c r="G35" t="inlineStr">
        <is>
          <t>Medium</t>
        </is>
      </c>
      <c r="H35" s="6" t="n">
        <v>0.7020999999999999</v>
      </c>
      <c r="I35" s="6" t="n">
        <v>1</v>
      </c>
      <c r="J35" s="6" t="n">
        <v>1</v>
      </c>
      <c r="K35" s="6" t="n"/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(((E35/140000)+(F35/85)+(S35/525)+((P35/12000)*J35))*700/4+(((E35/140000)*(F35/85))+(((P35/12000)*J35)*(S35/525)))*700/2+((E35/140000)*(F35/85)*((P35/12000)*J35)*(S35/525))*700)*(H35/1.0)/3</f>
        <v/>
      </c>
      <c r="X35" s="6" t="n">
        <v>1500</v>
      </c>
      <c r="Y35">
        <f>IFERROR(W35-X35,"")</f>
        <v/>
      </c>
      <c r="Z35">
        <f>IFERROR(ABS(Y35)/MAX(X35,1),"")</f>
        <v/>
      </c>
      <c r="AA35">
        <f>IFERROR(ROUND(((3*X35-(((E35/140000)+(F35/85)+(S35/525))*700/4+((E35/140000)*(F35/85))*700/2)*(H35/1.0))/(700/4+((S35/525))*700/2+((E35/140000)*(F35/85)*(S35/525))*700)*(H35/1.0)*12000)/J35,-1),"")</f>
        <v/>
      </c>
    </row>
    <row r="36">
      <c r="B36" s="7" t="inlineStr">
        <is>
          <t xml:space="preserve">  ↳ 120mm_cobra</t>
        </is>
      </c>
      <c r="C36" s="7" t="inlineStr">
        <is>
          <t>Armament@PRIMARY</t>
        </is>
      </c>
      <c r="L36" s="6" t="n">
        <v>120000</v>
      </c>
      <c r="M36" s="6" t="n">
        <v>80</v>
      </c>
      <c r="N36" s="6" t="n">
        <v>1</v>
      </c>
      <c r="O36" s="6" t="n"/>
      <c r="P36" s="6" t="n">
        <v>7640</v>
      </c>
      <c r="Q36" s="6" t="n">
        <v>1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^Warhead_Demolition_Light, ^Warhead_Concussion_Medium, ^Warhead_CannonAP_Light, ^Warhead_CannonHE_Medium</t>
        </is>
      </c>
    </row>
    <row r="37">
      <c r="B37" s="7" t="inlineStr">
        <is>
          <t xml:space="preserve">  ↳ 120mm_cobra_deploy</t>
        </is>
      </c>
      <c r="C37" s="7" t="inlineStr">
        <is>
          <t>Armament@deployed</t>
        </is>
      </c>
      <c r="L37" s="6" t="n">
        <v>120000</v>
      </c>
      <c r="M37" s="6" t="n">
        <v>80</v>
      </c>
      <c r="N37" s="6" t="n">
        <v>1</v>
      </c>
      <c r="O37" s="6" t="n"/>
      <c r="P37" s="6" t="n">
        <v>7640</v>
      </c>
      <c r="Q37" s="6" t="n">
        <v>1</v>
      </c>
      <c r="R37">
        <f>M37+IF(N37&gt;1,N(O37)*(N37-1),0)</f>
        <v/>
      </c>
      <c r="S37">
        <f>IFERROR(L37*MAX(N37,1)/R37*IF(ISBLANK(K35),1,K35),0)</f>
        <v/>
      </c>
      <c r="AB37" s="7" t="inlineStr">
        <is>
          <t>^Warhead_Demolition_Light, ^Warhead_Concussion_Medium, ^Warhead_CannonAP_Light, ^Warhead_CannonHE_Medium</t>
        </is>
      </c>
    </row>
    <row r="38">
      <c r="A38" t="inlineStr">
        <is>
          <t>d2k</t>
        </is>
      </c>
      <c r="B38" t="inlineStr">
        <is>
          <t>ordos_combatautoguntank</t>
        </is>
      </c>
      <c r="C38" t="inlineStr">
        <is>
          <t>Combat Autogun Tank</t>
        </is>
      </c>
      <c r="D38" s="6" t="inlineStr">
        <is>
          <t>MainBattleTank</t>
        </is>
      </c>
      <c r="E38" s="6" t="n">
        <v>95000</v>
      </c>
      <c r="F38" s="6" t="n">
        <v>80</v>
      </c>
      <c r="G38" t="inlineStr">
        <is>
          <t>Heavy</t>
        </is>
      </c>
      <c r="H38" s="6" t="n">
        <v>0.7020999999999999</v>
      </c>
      <c r="I38" s="6" t="n">
        <v>1</v>
      </c>
      <c r="J38" s="6" t="n">
        <v>1</v>
      </c>
      <c r="K38" s="6" t="n">
        <v>0.0025</v>
      </c>
      <c r="P38">
        <f>MAX(P39)</f>
        <v/>
      </c>
      <c r="S38">
        <f>S39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(((E38/240000)+(F38/95)+(S38/600)+((P38/5500)*J38))*800/4+(((E38/240000)*(F38/95))+(((P38/5500)*J38)*(S38/600)))*800/2+((E38/240000)*(F38/95)*((P38/5500)*J38)*(S38/600))*800)*(H38/1.0)/3</f>
        <v/>
      </c>
      <c r="X38" s="6" t="n">
        <v>1500</v>
      </c>
      <c r="Y38">
        <f>IFERROR(W38-X38,"")</f>
        <v/>
      </c>
      <c r="Z38">
        <f>IFERROR(ABS(Y38)/MAX(X38,1),"")</f>
        <v/>
      </c>
      <c r="AA38">
        <f>IFERROR(ROUND(((3*X38-(((E38/240000)+(F38/95)+(S38/600))*800/4+((E38/240000)*(F38/95))*800/2)*(H38/1.0))/(800/4+((S38/600))*800/2+((E38/240000)*(F38/95)*(S38/600))*800)*(H38/1.0)*5500)/J38,-1),"")</f>
        <v/>
      </c>
    </row>
    <row r="39">
      <c r="B39" s="7" t="inlineStr">
        <is>
          <t xml:space="preserve">  ↳ autogun_tank_small</t>
        </is>
      </c>
      <c r="C39" s="7" t="inlineStr">
        <is>
          <t>Armament</t>
        </is>
      </c>
      <c r="L39" s="6" t="n">
        <v>12000</v>
      </c>
      <c r="M39" s="6" t="n">
        <v>24</v>
      </c>
      <c r="N39" s="6" t="n">
        <v>4</v>
      </c>
      <c r="O39" s="6" t="n">
        <v>2</v>
      </c>
      <c r="P39" s="6" t="n">
        <v>6220</v>
      </c>
      <c r="Q39" s="6" t="n">
        <v>1.25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^Warhead_CannonHE_Heavy, ^Warhead_MissileAP_Heavy</t>
        </is>
      </c>
    </row>
    <row r="40">
      <c r="A40" t="inlineStr">
        <is>
          <t>d2k</t>
        </is>
      </c>
      <c r="B40" t="inlineStr">
        <is>
          <t>ordos_combattank</t>
        </is>
      </c>
      <c r="C40" t="inlineStr">
        <is>
          <t>Ordos Combat Tank</t>
        </is>
      </c>
      <c r="D40" s="6" t="inlineStr">
        <is>
          <t>LightTank</t>
        </is>
      </c>
      <c r="E40" s="6" t="n">
        <v>85000</v>
      </c>
      <c r="F40" s="6" t="n">
        <v>85</v>
      </c>
      <c r="G40" t="inlineStr">
        <is>
          <t>Medium</t>
        </is>
      </c>
      <c r="H40" s="6" t="n">
        <v>1</v>
      </c>
      <c r="I40" s="6" t="n">
        <v>1</v>
      </c>
      <c r="J40" s="6" t="n">
        <v>1</v>
      </c>
      <c r="K40" s="6" t="n"/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(((E40/100000)+(F40/125)+(S40/200)+((P40/5000)*J40))*400/4+(((E40/100000)*(F40/125))+(((P40/5000)*J40)*(S40/200)))*400/2+((E40/100000)*(F40/125)*((P40/5000)*J40)*(S40/200))*400)*(H40/1.0)/3</f>
        <v/>
      </c>
      <c r="X40" s="6" t="n">
        <v>650</v>
      </c>
      <c r="Y40">
        <f>IFERROR(W40-X40,"")</f>
        <v/>
      </c>
      <c r="Z40">
        <f>IFERROR(ABS(Y40)/MAX(X40,1),"")</f>
        <v/>
      </c>
      <c r="AA40">
        <f>IFERROR(ROUND(((3*X40-(((E40/100000)+(F40/125)+(S40/200))*400/4+((E40/100000)*(F40/125))*400/2)*(H40/1.0))/(400/4+((S40/200))*400/2+((E40/100000)*(F40/125)*(S40/200))*400)*(H40/1.0)*5000)/J40,-1),"")</f>
        <v/>
      </c>
    </row>
    <row r="41">
      <c r="B41" s="7" t="inlineStr">
        <is>
          <t xml:space="preserve">  ↳ OrdosCombatTankCannon</t>
        </is>
      </c>
      <c r="C41" s="7" t="inlineStr">
        <is>
          <t>Armament</t>
        </is>
      </c>
      <c r="L41" s="6" t="n">
        <v>8000</v>
      </c>
      <c r="M41" s="6" t="n">
        <v>44</v>
      </c>
      <c r="N41" s="6" t="n">
        <v>1</v>
      </c>
      <c r="O41" s="6" t="n"/>
      <c r="P41" s="6" t="n">
        <v>5230</v>
      </c>
      <c r="Q41" s="6" t="n">
        <v>1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^Warhead_CannonHE_Medium</t>
        </is>
      </c>
    </row>
    <row r="42">
      <c r="A42" t="inlineStr">
        <is>
          <t>d2k</t>
        </is>
      </c>
      <c r="B42" t="inlineStr">
        <is>
          <t>ordos_deviatorartillery</t>
        </is>
      </c>
      <c r="C42" t="inlineStr">
        <is>
          <t>Deviator Artillery</t>
        </is>
      </c>
      <c r="D42" s="6" t="inlineStr">
        <is>
          <t>Artillery</t>
        </is>
      </c>
      <c r="E42" s="6" t="n">
        <v>55000</v>
      </c>
      <c r="F42" s="6" t="n">
        <v>55</v>
      </c>
      <c r="G42" t="inlineStr">
        <is>
          <t>Light</t>
        </is>
      </c>
      <c r="H42" s="6" t="n">
        <v>0.75</v>
      </c>
      <c r="I42" s="6" t="n">
        <v>0.5</v>
      </c>
      <c r="J42" s="6" t="n">
        <v>1.25</v>
      </c>
      <c r="K42" s="6" t="n"/>
      <c r="P42">
        <f>MAX(P43)</f>
        <v/>
      </c>
      <c r="S42">
        <f>S43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(((E42/60000)+(F42/75)+(S42/500)+((P42/15000)*J42))*500/4+(((E42/60000)*(F42/75))+(((P42/15000)*J42)*(S42/500)))*500/2+((E42/60000)*(F42/75)*((P42/15000)*J42)*(S42/500))*500)*(H42/1.0)/3</f>
        <v/>
      </c>
      <c r="X42" s="6" t="n">
        <v>1250</v>
      </c>
      <c r="Y42">
        <f>IFERROR(W42-X42,"")</f>
        <v/>
      </c>
      <c r="Z42">
        <f>IFERROR(ABS(Y42)/MAX(X42,1),"")</f>
        <v/>
      </c>
      <c r="AA42">
        <f>IFERROR(ROUND(((3*X42-(((E42/60000)+(F42/75)+(S42/500))*500/4+((E42/60000)*(F42/75))*500/2)*(H42/1.0))/(500/4+((S42/500))*500/2+((E42/60000)*(F42/75)*(S42/500))*500)*(H42/1.0)*15000)/J42,-1),"")</f>
        <v/>
      </c>
    </row>
    <row r="43">
      <c r="B43" s="7" t="inlineStr">
        <is>
          <t xml:space="preserve">  ↳ DeviatorMissile_Artillery</t>
        </is>
      </c>
      <c r="C43" s="7" t="inlineStr">
        <is>
          <t>Armament</t>
        </is>
      </c>
      <c r="L43" s="6" t="n">
        <v>60000</v>
      </c>
      <c r="M43" s="6" t="n">
        <v>150</v>
      </c>
      <c r="N43" s="6" t="n">
        <v>3</v>
      </c>
      <c r="O43" s="6" t="n">
        <v>25</v>
      </c>
      <c r="P43" s="6" t="n">
        <v>10025</v>
      </c>
      <c r="Q43" s="6" t="n">
        <v>1.25</v>
      </c>
      <c r="R43">
        <f>M43+IF(N43&gt;1,N(O43)*(N43-1),0)</f>
        <v/>
      </c>
      <c r="S43">
        <f>IFERROR(L43*MAX(N43,1)/R43*IF(ISBLANK(K42),1,K42),0)</f>
        <v/>
      </c>
      <c r="AB43" s="7" t="inlineStr">
        <is>
          <t>^Warhead_CannonHE_Heavy, ^Warhead_MissileAP_Heavy</t>
        </is>
      </c>
    </row>
    <row r="44">
      <c r="A44" t="inlineStr">
        <is>
          <t>d2k</t>
        </is>
      </c>
      <c r="B44" t="inlineStr">
        <is>
          <t>ordos_deviatortank</t>
        </is>
      </c>
      <c r="C44" t="inlineStr">
        <is>
          <t>Deviator Tank</t>
        </is>
      </c>
      <c r="D44" s="6" t="inlineStr">
        <is>
          <t>HighTechTank</t>
        </is>
      </c>
      <c r="E44" s="6" t="n">
        <v>85000</v>
      </c>
      <c r="F44" s="6" t="n">
        <v>115</v>
      </c>
      <c r="G44" t="inlineStr">
        <is>
          <t>Superheavy</t>
        </is>
      </c>
      <c r="H44" s="6" t="n">
        <v>0.75</v>
      </c>
      <c r="I44" s="6" t="n">
        <v>1</v>
      </c>
      <c r="J44" s="6" t="n">
        <v>1.25</v>
      </c>
      <c r="K44" s="6" t="n"/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(((E44/700000)+(F44/65)+(S44/2000)+((P44/6500)*J44))*2000/4+(((E44/700000)*(F44/65))+(((P44/6500)*J44)*(S44/2000)))*2000/2+((E44/700000)*(F44/65)*((P44/6500)*J44)*(S44/2000))*2000)*(H44/0.75)/3</f>
        <v/>
      </c>
      <c r="X44" s="6" t="n">
        <v>1600</v>
      </c>
      <c r="Y44">
        <f>IFERROR(W44-X44,"")</f>
        <v/>
      </c>
      <c r="Z44">
        <f>IFERROR(ABS(Y44)/MAX(X44,1),"")</f>
        <v/>
      </c>
      <c r="AA44">
        <f>IFERROR(ROUND(((3*X44-(((E44/700000)+(F44/65)+(S44/2000))*2000/4+((E44/700000)*(F44/65))*2000/2)*(H44/0.75))/(2000/4+((S44/2000))*2000/2+((E44/700000)*(F44/65)*(S44/2000))*2000)*(H44/0.75)*6500)/J44,-1),"")</f>
        <v/>
      </c>
    </row>
    <row r="45">
      <c r="B45" s="7" t="inlineStr">
        <is>
          <t xml:space="preserve">  ↳ DeviatorMissile</t>
        </is>
      </c>
      <c r="C45" s="7" t="inlineStr">
        <is>
          <t>Armament</t>
        </is>
      </c>
      <c r="L45" s="6" t="n">
        <v>40000</v>
      </c>
      <c r="M45" s="6" t="n">
        <v>98</v>
      </c>
      <c r="N45" s="6" t="n">
        <v>1</v>
      </c>
      <c r="O45" s="6" t="n"/>
      <c r="P45" s="6" t="n">
        <v>7070</v>
      </c>
      <c r="Q45" s="6" t="n">
        <v>1.25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^Warhead_CannonHE_Heavy, ^Warhead_MissileAP_Heavy</t>
        </is>
      </c>
    </row>
    <row r="46">
      <c r="A46" t="inlineStr">
        <is>
          <t>d2k</t>
        </is>
      </c>
      <c r="B46" t="inlineStr">
        <is>
          <t>ordos_dustdrone</t>
        </is>
      </c>
      <c r="C46" t="inlineStr">
        <is>
          <t>Dust Drone</t>
        </is>
      </c>
      <c r="D46" s="6" t="inlineStr">
        <is>
          <t>MissileVehicle</t>
        </is>
      </c>
      <c r="E46" s="6" t="n">
        <v>32500</v>
      </c>
      <c r="F46" s="6" t="n">
        <v>145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K46" s="6" t="n"/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(((E46/160000)+(F46/100)+(S46/1200)+((P46/8000)*J46))*1200/4+(((E46/160000)*(F46/100))+(((P46/8000)*J46)*(S46/1200)))*1200/2+((E46/160000)*(F46/100)*((P46/8000)*J46)*(S46/1200))*1200)*(H46/1.0)/3</f>
        <v/>
      </c>
      <c r="X46" s="6" t="n">
        <v>1400</v>
      </c>
      <c r="Y46">
        <f>IFERROR(W46-X46,"")</f>
        <v/>
      </c>
      <c r="Z46">
        <f>IFERROR(ABS(Y46)/MAX(X46,1),"")</f>
        <v/>
      </c>
      <c r="AA46">
        <f>IFERROR(ROUND(((3*X46-(((E46/160000)+(F46/100)+(S46/1200))*1200/4+((E46/160000)*(F46/100))*1200/2)*(H46/1.0))/(1200/4+((S46/1200))*1200/2+((E46/160000)*(F46/100)*(S46/1200))*1200)*(H46/1.0)*8000)/J46,-1),"")</f>
        <v/>
      </c>
    </row>
    <row r="47">
      <c r="B47" s="7" t="inlineStr">
        <is>
          <t xml:space="preserve">  ↳ D2K_APC_Rocket</t>
        </is>
      </c>
      <c r="C47" s="7" t="inlineStr">
        <is>
          <t>Armament</t>
        </is>
      </c>
      <c r="L47" s="6" t="n">
        <v>24000</v>
      </c>
      <c r="M47" s="6" t="n">
        <v>42</v>
      </c>
      <c r="N47" s="6" t="n">
        <v>1</v>
      </c>
      <c r="O47" s="6" t="n"/>
      <c r="P47" s="6" t="n">
        <v>6500</v>
      </c>
      <c r="Q47" s="6" t="n">
        <v>1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^Warhead_MissileAP_Light, ^Warhead_MissileAP_Medium, ^Warhead_MissileAP_Heavy</t>
        </is>
      </c>
    </row>
    <row r="48">
      <c r="A48" t="inlineStr">
        <is>
          <t>d2k</t>
        </is>
      </c>
      <c r="B48" t="inlineStr">
        <is>
          <t>ordos_heavyautoguntank</t>
        </is>
      </c>
      <c r="C48" t="inlineStr">
        <is>
          <t>Heavy Autogun Tank</t>
        </is>
      </c>
      <c r="D48" s="6" t="inlineStr">
        <is>
          <t>LineBreaker</t>
        </is>
      </c>
      <c r="E48" s="6" t="n">
        <v>160000</v>
      </c>
      <c r="F48" s="6" t="n">
        <v>75</v>
      </c>
      <c r="G48" t="inlineStr">
        <is>
          <t>Superheavy</t>
        </is>
      </c>
      <c r="H48" s="6" t="n">
        <v>0.75</v>
      </c>
      <c r="I48" s="6" t="n">
        <v>1</v>
      </c>
      <c r="J48" s="6" t="n">
        <v>1.25</v>
      </c>
      <c r="K48" s="6" t="n">
        <v>0.004</v>
      </c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(((E48/750000)+(F48/80)+(S48/1600)+((P48/2500)*J48))*1600/4+(((E48/750000)*(F48/80))+(((P48/2500)*J48)*(S48/1600)))*1600/2+((E48/750000)*(F48/80)*((P48/2500)*J48)*(S48/1600))*1600)*(H48/1.0)/3</f>
        <v/>
      </c>
      <c r="X48" s="6" t="n">
        <v>2800</v>
      </c>
      <c r="Y48">
        <f>IFERROR(W48-X48,"")</f>
        <v/>
      </c>
      <c r="Z48">
        <f>IFERROR(ABS(Y48)/MAX(X48,1),"")</f>
        <v/>
      </c>
      <c r="AA48">
        <f>IFERROR(ROUND(((3*X48-(((E48/750000)+(F48/80)+(S48/1600))*1600/4+((E48/750000)*(F48/80))*1600/2)*(H48/1.0))/(1600/4+((S48/1600))*1600/2+((E48/750000)*(F48/80)*(S48/1600))*1600)*(H48/1.0)*2500)/J48,-1),"")</f>
        <v/>
      </c>
    </row>
    <row r="49">
      <c r="B49" s="7" t="inlineStr">
        <is>
          <t xml:space="preserve">  ↳ autogun_tank</t>
        </is>
      </c>
      <c r="C49" s="7" t="inlineStr">
        <is>
          <t>Armament</t>
        </is>
      </c>
      <c r="L49" s="6" t="n">
        <v>12000</v>
      </c>
      <c r="M49" s="6" t="n">
        <v>24</v>
      </c>
      <c r="N49" s="6" t="n">
        <v>4</v>
      </c>
      <c r="O49" s="6" t="n">
        <v>2</v>
      </c>
      <c r="P49" s="6" t="n">
        <v>7480</v>
      </c>
      <c r="Q49" s="6" t="n">
        <v>1.25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^Warhead_CannonHE_Heavy, ^Warhead_MissileAP_Heavy</t>
        </is>
      </c>
    </row>
    <row r="50">
      <c r="A50" t="inlineStr">
        <is>
          <t>d2k</t>
        </is>
      </c>
      <c r="B50" t="inlineStr">
        <is>
          <t>ordos_heavycombattank</t>
        </is>
      </c>
      <c r="C50" t="inlineStr">
        <is>
          <t>Ordos Heavy Combat Tank</t>
        </is>
      </c>
      <c r="D50" s="6" t="inlineStr">
        <is>
          <t>MainBattleTank</t>
        </is>
      </c>
      <c r="E50" s="6" t="n">
        <v>115000</v>
      </c>
      <c r="F50" s="6" t="n">
        <v>75</v>
      </c>
      <c r="G50" t="inlineStr">
        <is>
          <t>Heavy</t>
        </is>
      </c>
      <c r="H50" s="6" t="n">
        <v>1</v>
      </c>
      <c r="I50" s="6" t="n">
        <v>1</v>
      </c>
      <c r="J50" s="6" t="n">
        <v>1</v>
      </c>
      <c r="K50" s="6" t="n"/>
      <c r="P50">
        <f>MAX(P51,P52)</f>
        <v/>
      </c>
      <c r="S50">
        <f>S51+S52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(((E50/240000)+(F50/95)+(S50/600)+((P50/5500)*J50))*800/4+(((E50/240000)*(F50/95))+(((P50/5500)*J50)*(S50/600)))*800/2+((E50/240000)*(F50/95)*((P50/5500)*J50)*(S50/600))*800)*(H50/1.0)/3</f>
        <v/>
      </c>
      <c r="X50" s="6" t="n">
        <v>950</v>
      </c>
      <c r="Y50">
        <f>IFERROR(W50-X50,"")</f>
        <v/>
      </c>
      <c r="Z50">
        <f>IFERROR(ABS(Y50)/MAX(X50,1),"")</f>
        <v/>
      </c>
      <c r="AA50">
        <f>IFERROR(ROUND(((3*X50-(((E50/240000)+(F50/95)+(S50/600))*800/4+((E50/240000)*(F50/95))*800/2)*(H50/1.0))/(800/4+((S50/600))*800/2+((E50/240000)*(F50/95)*(S50/600))*800)*(H50/1.0)*5500)/J50,-1),"")</f>
        <v/>
      </c>
    </row>
    <row r="51">
      <c r="B51" s="7" t="inlineStr">
        <is>
          <t xml:space="preserve">  ↳ HeavyOrdosCombatTankCannon</t>
        </is>
      </c>
      <c r="C51" s="7" t="inlineStr">
        <is>
          <t>Armament</t>
        </is>
      </c>
      <c r="L51" s="6" t="n">
        <v>10000</v>
      </c>
      <c r="M51" s="6" t="n">
        <v>40</v>
      </c>
      <c r="N51" s="6" t="n">
        <v>1</v>
      </c>
      <c r="O51" s="6" t="n"/>
      <c r="P51" s="6" t="n">
        <v>6000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^Warhead_CannonHE_Medium</t>
        </is>
      </c>
    </row>
    <row r="52">
      <c r="B52" s="7" t="inlineStr">
        <is>
          <t xml:space="preserve">  ↳ HeavyOrdosCombatTankRockets</t>
        </is>
      </c>
      <c r="C52" s="7" t="inlineStr">
        <is>
          <t>Armament@Rockets</t>
        </is>
      </c>
      <c r="L52" s="6" t="n">
        <v>10000</v>
      </c>
      <c r="M52" s="6" t="n">
        <v>70</v>
      </c>
      <c r="N52" s="6" t="n">
        <v>2</v>
      </c>
      <c r="O52" s="6" t="n">
        <v>10</v>
      </c>
      <c r="P52" s="6" t="n">
        <v>6000</v>
      </c>
      <c r="Q52" s="6" t="n">
        <v>1.25</v>
      </c>
      <c r="R52">
        <f>M52+IF(N52&gt;1,N(O52)*(N52-1),0)</f>
        <v/>
      </c>
      <c r="S52">
        <f>IFERROR(L52*MAX(N52,1)/R52*IF(ISBLANK(K50),1,K50),0)</f>
        <v/>
      </c>
      <c r="AB52" s="7" t="inlineStr">
        <is>
          <t>^Warhead_MissileAP_Heavy</t>
        </is>
      </c>
    </row>
    <row r="53">
      <c r="A53" t="inlineStr">
        <is>
          <t>d2k</t>
        </is>
      </c>
      <c r="B53" t="inlineStr">
        <is>
          <t>ordos_laboratorycrawler</t>
        </is>
      </c>
      <c r="C53" t="inlineStr">
        <is>
          <t>Laboratory Crawler</t>
        </is>
      </c>
      <c r="D53" s="6" t="inlineStr">
        <is>
          <t>SupportVehicle</t>
        </is>
      </c>
      <c r="E53" s="6" t="n">
        <v>137500</v>
      </c>
      <c r="F53" s="6" t="n">
        <v>105</v>
      </c>
      <c r="G53" t="inlineStr">
        <is>
          <t>Medium</t>
        </is>
      </c>
      <c r="H53" s="6" t="n">
        <v>0.75</v>
      </c>
      <c r="I53" s="6" t="n">
        <v>1.25</v>
      </c>
      <c r="J53" s="6" t="n">
        <v>1</v>
      </c>
      <c r="K53" s="6" t="n"/>
      <c r="P53">
        <f>MAX(P54,P55,P56)</f>
        <v/>
      </c>
      <c r="S53">
        <f>S54+S55+S56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(T53+U53+V53)/3</f>
        <v/>
      </c>
      <c r="X53" s="6" t="n">
        <v>4500</v>
      </c>
      <c r="Y53">
        <f>IFERROR(W53-X53,"")</f>
        <v/>
      </c>
      <c r="Z53">
        <f>IFERROR(ABS(Y53)/MAX(X53,1),"")</f>
        <v/>
      </c>
      <c r="AA53">
        <f>IFERROR((X53-(((E53/100000+F53/100+S53/200)*200*I53*H53)+((E53*F53/25000)*I53*H53))/3)/(((J53/5)*200*I53*H53)+((J53*S53/2.5)*I53*H53)+((E53*F53*J53*S53*I53*H53)/12500000))/3*1000,"")</f>
        <v/>
      </c>
    </row>
    <row r="54">
      <c r="B54" s="7" t="inlineStr">
        <is>
          <t xml:space="preserve">  ↳ Laboratory_Bioball</t>
        </is>
      </c>
      <c r="C54" s="7" t="inlineStr">
        <is>
          <t>Armament</t>
        </is>
      </c>
      <c r="L54" s="6" t="n">
        <v>50000</v>
      </c>
      <c r="M54" s="6" t="n">
        <v>42</v>
      </c>
      <c r="N54" s="6" t="n">
        <v>1</v>
      </c>
      <c r="O54" s="6" t="n"/>
      <c r="P54" s="6" t="n">
        <v>6500</v>
      </c>
      <c r="Q54" s="6" t="n">
        <v>1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^Warhead_Demolition_Light, ^Warhead_Concussion_Medium, ^Warhead_CannonHE_Heavy</t>
        </is>
      </c>
    </row>
    <row r="55">
      <c r="B55" s="7" t="inlineStr">
        <is>
          <t xml:space="preserve">  ↳ D2K_APC_Rocket_AA</t>
        </is>
      </c>
      <c r="C55" s="7" t="inlineStr">
        <is>
          <t>Armament@aa1</t>
        </is>
      </c>
      <c r="L55" s="6" t="n">
        <v>24000</v>
      </c>
      <c r="M55" s="6" t="n">
        <v>42</v>
      </c>
      <c r="N55" s="6" t="n">
        <v>1</v>
      </c>
      <c r="O55" s="6" t="n"/>
      <c r="P55" s="6" t="n">
        <v>6500</v>
      </c>
      <c r="Q55" s="6" t="n">
        <v>1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^Warhead_MissileAP_Light, ^Warhead_MissileAP_Medium, ^Warhead_MissileAP_Heavy</t>
        </is>
      </c>
    </row>
    <row r="56">
      <c r="B56" s="7" t="inlineStr">
        <is>
          <t xml:space="preserve">  ↳ D2K_APC_Rocket_AA</t>
        </is>
      </c>
      <c r="C56" s="7" t="inlineStr">
        <is>
          <t>Armament@aa2</t>
        </is>
      </c>
      <c r="L56" s="6" t="n">
        <v>24000</v>
      </c>
      <c r="M56" s="6" t="n">
        <v>42</v>
      </c>
      <c r="N56" s="6" t="n">
        <v>1</v>
      </c>
      <c r="O56" s="6" t="n"/>
      <c r="P56" s="6" t="n">
        <v>6500</v>
      </c>
      <c r="Q56" s="6" t="n">
        <v>1</v>
      </c>
      <c r="R56">
        <f>M56+IF(N56&gt;1,N(O56)*(N56-1),0)</f>
        <v/>
      </c>
      <c r="S56">
        <f>IFERROR(L56*MAX(N56,1)/R56*IF(ISBLANK(K53),1,K53),0)</f>
        <v/>
      </c>
      <c r="AB56" s="7" t="inlineStr">
        <is>
          <t>^Warhead_MissileAP_Light, ^Warhead_MissileAP_Medium, ^Warhead_MissileAP_Heavy</t>
        </is>
      </c>
    </row>
    <row r="57">
      <c r="A57" t="inlineStr">
        <is>
          <t>d2k</t>
        </is>
      </c>
      <c r="B57" t="inlineStr">
        <is>
          <t>ordos_lasertank</t>
        </is>
      </c>
      <c r="C57" t="inlineStr">
        <is>
          <t>Laser Tank</t>
        </is>
      </c>
      <c r="D57" s="6" t="inlineStr">
        <is>
          <t>HighTechTank</t>
        </is>
      </c>
      <c r="E57" s="6" t="n">
        <v>105000</v>
      </c>
      <c r="F57" s="6" t="n">
        <v>105</v>
      </c>
      <c r="G57" t="inlineStr">
        <is>
          <t>Superheavy</t>
        </is>
      </c>
      <c r="H57" s="6" t="n">
        <v>0.4925</v>
      </c>
      <c r="I57" s="6" t="n">
        <v>1</v>
      </c>
      <c r="J57" s="6" t="n">
        <v>1</v>
      </c>
      <c r="K57" s="6" t="n"/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(((E57/700000)+(F57/65)+(S57/2000)+((P57/6500)*J57))*2000/4+(((E57/700000)*(F57/65))+(((P57/6500)*J57)*(S57/2000)))*2000/2+((E57/700000)*(F57/65)*((P57/6500)*J57)*(S57/2000))*2000)*(H57/0.75)/3</f>
        <v/>
      </c>
      <c r="X57" s="6" t="n">
        <v>2400</v>
      </c>
      <c r="Y57">
        <f>IFERROR(W57-X57,"")</f>
        <v/>
      </c>
      <c r="Z57">
        <f>IFERROR(ABS(Y57)/MAX(X57,1),"")</f>
        <v/>
      </c>
      <c r="AA57">
        <f>IFERROR(ROUND(((3*X57-(((E57/700000)+(F57/65)+(S57/2000))*2000/4+((E57/700000)*(F57/65))*2000/2)*(H57/0.75))/(2000/4+((S57/2000))*2000/2+((E57/700000)*(F57/65)*(S57/2000))*2000)*(H57/0.75)*6500)/J57,-1),"")</f>
        <v/>
      </c>
    </row>
    <row r="58">
      <c r="B58" s="7" t="inlineStr">
        <is>
          <t xml:space="preserve">  ↳ ordos_lasertank</t>
        </is>
      </c>
      <c r="C58" s="7" t="inlineStr">
        <is>
          <t>Armament</t>
        </is>
      </c>
      <c r="L58" s="6" t="n">
        <v>40000</v>
      </c>
      <c r="M58" s="6" t="n">
        <v>55</v>
      </c>
      <c r="N58" s="6" t="n">
        <v>1</v>
      </c>
      <c r="O58" s="6" t="n"/>
      <c r="P58" s="6" t="n">
        <v>7275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^FlakWeapon, ^MediumMissile, ^RailgunWeapon, ^LaserWeapon</t>
        </is>
      </c>
    </row>
    <row r="59">
      <c r="A59" t="inlineStr">
        <is>
          <t>d2k</t>
        </is>
      </c>
      <c r="B59" t="inlineStr">
        <is>
          <t>ordos_mobileconstructionvehicle</t>
        </is>
      </c>
      <c r="C59" t="inlineStr">
        <is>
          <t>Ordos Mobile Construction Vehicle</t>
        </is>
      </c>
      <c r="D59" s="6" t="inlineStr">
        <is>
          <t>SupportVehicle</t>
        </is>
      </c>
      <c r="E59" s="6" t="n">
        <v>300000</v>
      </c>
      <c r="F59" s="6" t="n">
        <v>75</v>
      </c>
      <c r="G59" t="inlineStr">
        <is>
          <t>Medium</t>
        </is>
      </c>
      <c r="H59" s="6" t="n">
        <v>0.8048999999999999</v>
      </c>
      <c r="I59" s="6" t="n">
        <v>1</v>
      </c>
      <c r="J59" s="6" t="n">
        <v>1</v>
      </c>
      <c r="K59" s="6" t="n"/>
      <c r="X59" s="6" t="n">
        <v>5000</v>
      </c>
    </row>
    <row r="60">
      <c r="A60" t="inlineStr">
        <is>
          <t>d2k</t>
        </is>
      </c>
      <c r="B60" t="inlineStr">
        <is>
          <t>ordos_pythontank</t>
        </is>
      </c>
      <c r="C60" t="inlineStr">
        <is>
          <t>Python Tank</t>
        </is>
      </c>
      <c r="D60" s="6" t="inlineStr">
        <is>
          <t>ArtilleryTank</t>
        </is>
      </c>
      <c r="E60" s="6" t="n">
        <v>70000</v>
      </c>
      <c r="F60" s="6" t="n">
        <v>40</v>
      </c>
      <c r="G60" t="inlineStr">
        <is>
          <t>Medium</t>
        </is>
      </c>
      <c r="H60" s="6" t="n">
        <v>0.7020999999999999</v>
      </c>
      <c r="I60" s="6" t="n">
        <v>1</v>
      </c>
      <c r="J60" s="6" t="n">
        <v>1</v>
      </c>
      <c r="K60" s="6" t="n"/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(((E60/140000)+(F60/85)+(S60/525)+((P60/12000)*J60))*700/4+(((E60/140000)*(F60/85))+(((P60/12000)*J60)*(S60/525)))*700/2+((E60/140000)*(F60/85)*((P60/12000)*J60)*(S60/525))*700)*(H60/1.0)/3</f>
        <v/>
      </c>
      <c r="X60" s="6" t="n">
        <v>2500</v>
      </c>
      <c r="Y60">
        <f>IFERROR(W60-X60,"")</f>
        <v/>
      </c>
      <c r="Z60">
        <f>IFERROR(ABS(Y60)/MAX(X60,1),"")</f>
        <v/>
      </c>
      <c r="AA60">
        <f>IFERROR(ROUND(((3*X60-(((E60/140000)+(F60/85)+(S60/525))*700/4+((E60/140000)*(F60/85))*700/2)*(H60/1.0))/(700/4+((S60/525))*700/2+((E60/140000)*(F60/85)*(S60/525))*700)*(H60/1.0)*12000)/J60,-1),"")</f>
        <v/>
      </c>
    </row>
    <row r="61">
      <c r="B61" s="7" t="inlineStr">
        <is>
          <t xml:space="preserve">  ↳ 120mm_python</t>
        </is>
      </c>
      <c r="C61" s="7" t="inlineStr">
        <is>
          <t>Armament@PRIMARY</t>
        </is>
      </c>
      <c r="L61" s="6" t="n">
        <v>120000</v>
      </c>
      <c r="M61" s="6" t="n">
        <v>123</v>
      </c>
      <c r="N61" s="6" t="n">
        <v>2</v>
      </c>
      <c r="O61" s="6" t="n">
        <v>0</v>
      </c>
      <c r="P61" s="6" t="n">
        <v>9380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^Warhead_Demolition_Light, ^Warhead_Concussion_Medium, ^Warhead_CannonAP_Light, ^Warhead_CannonHE_Medium</t>
        </is>
      </c>
    </row>
    <row r="62">
      <c r="B62" s="7" t="inlineStr">
        <is>
          <t xml:space="preserve">  ↳ 120mm_python_deploy</t>
        </is>
      </c>
      <c r="C62" s="7" t="inlineStr">
        <is>
          <t>Armament@deployed</t>
        </is>
      </c>
      <c r="L62" s="6" t="n">
        <v>120000</v>
      </c>
      <c r="M62" s="6" t="n">
        <v>123</v>
      </c>
      <c r="N62" s="6" t="n">
        <v>2</v>
      </c>
      <c r="O62" s="6" t="n">
        <v>0</v>
      </c>
      <c r="P62" s="6" t="n">
        <v>9380</v>
      </c>
      <c r="Q62" s="6" t="n">
        <v>1</v>
      </c>
      <c r="R62">
        <f>M62+IF(N62&gt;1,N(O62)*(N62-1),0)</f>
        <v/>
      </c>
      <c r="S62">
        <f>IFERROR(L62*MAX(N62,1)/R62*IF(ISBLANK(K60),1,K60),0)</f>
        <v/>
      </c>
      <c r="AB62" s="7" t="inlineStr">
        <is>
          <t>^Warhead_Demolition_Light, ^Warhead_Concussion_Medium, ^Warhead_CannonAP_Light, ^Warhead_CannonHE_Medium</t>
        </is>
      </c>
    </row>
    <row r="63">
      <c r="A63" t="inlineStr">
        <is>
          <t>d2k</t>
        </is>
      </c>
      <c r="B63" t="inlineStr">
        <is>
          <t>ordos_raider</t>
        </is>
      </c>
      <c r="C63" t="inlineStr">
        <is>
          <t>Ordos Raider</t>
        </is>
      </c>
      <c r="D63" s="6" t="inlineStr">
        <is>
          <t>ScoutVehicle</t>
        </is>
      </c>
      <c r="E63" s="6" t="n">
        <v>60000</v>
      </c>
      <c r="F63" s="6" t="n">
        <v>180</v>
      </c>
      <c r="G63" t="inlineStr">
        <is>
          <t>Scout</t>
        </is>
      </c>
      <c r="H63" s="6" t="n">
        <v>1</v>
      </c>
      <c r="I63" s="6" t="n">
        <v>1.25</v>
      </c>
      <c r="J63" s="6" t="n">
        <v>1</v>
      </c>
      <c r="K63" s="6" t="n"/>
      <c r="P63">
        <f>MAX(P64,P65)</f>
        <v/>
      </c>
      <c r="S63">
        <f>S64+S65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(((E63/30000)+(F63/200)+(S63/450)+((P63/4500)*J63))*300/4+(((E63/30000)*(F63/200))+(((P63/4500)*J63)*(S63/450)))*300/2+((E63/30000)*(F63/200)*((P63/4500)*J63)*(S63/450))*300)*(H63/1.0)/3</f>
        <v/>
      </c>
      <c r="X63" s="6" t="n">
        <v>1200</v>
      </c>
      <c r="Y63">
        <f>IFERROR(W63-X63,"")</f>
        <v/>
      </c>
      <c r="Z63">
        <f>IFERROR(ABS(Y63)/MAX(X63,1),"")</f>
        <v/>
      </c>
      <c r="AA63">
        <f>IFERROR(ROUND(((3*X63-(((E63/30000)+(F63/200)+(S63/450))*300/4+((E63/30000)*(F63/200))*300/2)*(H63/1.0))/(300/4+((S63/450))*300/2+((E63/30000)*(F63/200)*(S63/450))*300)*(H63/1.0)*4500)/J63,-1),"")</f>
        <v/>
      </c>
    </row>
    <row r="64">
      <c r="B64" s="7" t="inlineStr">
        <is>
          <t xml:space="preserve">  ↳ HMGo</t>
        </is>
      </c>
      <c r="C64" s="7" t="inlineStr">
        <is>
          <t>Armament@damage</t>
        </is>
      </c>
      <c r="L64" s="6" t="n">
        <v>4000</v>
      </c>
      <c r="M64" s="6" t="n">
        <v>8</v>
      </c>
      <c r="N64" s="6" t="n">
        <v>9</v>
      </c>
      <c r="O64" s="6" t="n">
        <v>2</v>
      </c>
      <c r="P64" s="6" t="n">
        <v>6000</v>
      </c>
      <c r="Q64" s="6" t="n">
        <v>0.75</v>
      </c>
      <c r="R64">
        <f>M64+IF(N64&gt;1,N(O64)*(N64-1),0)</f>
        <v/>
      </c>
      <c r="S64">
        <f>IFERROR(L64*MAX(N64,1)/R64*IF(ISBLANK(K63),1,K63),0)</f>
        <v/>
      </c>
      <c r="AB64" s="7" t="inlineStr">
        <is>
          <t>^Warhead_Bullet_Light</t>
        </is>
      </c>
    </row>
    <row r="65">
      <c r="B65" s="7" t="inlineStr">
        <is>
          <t xml:space="preserve">  ↳ HMGo_upgrade</t>
        </is>
      </c>
      <c r="C65" s="7" t="inlineStr">
        <is>
          <t>Armament@damageLaser</t>
        </is>
      </c>
      <c r="L65" s="6" t="n">
        <v>6000</v>
      </c>
      <c r="M65" s="6" t="n">
        <v>8</v>
      </c>
      <c r="N65" s="6" t="n">
        <v>9</v>
      </c>
      <c r="O65" s="6" t="n">
        <v>2</v>
      </c>
      <c r="P65" s="6" t="n">
        <v>6000</v>
      </c>
      <c r="Q65" s="6" t="n">
        <v>1</v>
      </c>
      <c r="R65">
        <f>M65+IF(N65&gt;1,N(O65)*(N65-1),0)</f>
        <v/>
      </c>
      <c r="S65">
        <f>IFERROR(L65*MAX(N65,1)/R65*IF(ISBLANK(K63),1,K63),0)</f>
        <v/>
      </c>
      <c r="AB65" s="7" t="inlineStr">
        <is>
          <t>^Warhead_Laser_Heavy, ^Warhead_Bullet_Medium, ^Warhead_Bullet_Light</t>
        </is>
      </c>
    </row>
    <row r="66">
      <c r="A66" t="inlineStr">
        <is>
          <t>d2k</t>
        </is>
      </c>
      <c r="B66" t="inlineStr">
        <is>
          <t>ordos_spiceharvester</t>
        </is>
      </c>
      <c r="C66" t="inlineStr">
        <is>
          <t>Ordos Spice Harvester</t>
        </is>
      </c>
      <c r="D66" s="6" t="inlineStr">
        <is>
          <t>Harvester</t>
        </is>
      </c>
      <c r="E66" s="6" t="n">
        <v>200000</v>
      </c>
      <c r="F66" s="6" t="n">
        <v>45</v>
      </c>
      <c r="G66" t="inlineStr">
        <is>
          <t>Heavy</t>
        </is>
      </c>
      <c r="H66" s="6" t="n">
        <v>0.8919</v>
      </c>
      <c r="I66" s="6" t="n">
        <v>1</v>
      </c>
      <c r="J66" s="6" t="n">
        <v>1</v>
      </c>
      <c r="K66" s="6" t="n"/>
      <c r="X66" s="6" t="n">
        <v>500</v>
      </c>
    </row>
    <row r="67">
      <c r="A67" t="inlineStr">
        <is>
          <t>d2k</t>
        </is>
      </c>
      <c r="B67" t="inlineStr">
        <is>
          <t>ordos_stealthraider</t>
        </is>
      </c>
      <c r="C67" t="inlineStr">
        <is>
          <t>Stealth Raider</t>
        </is>
      </c>
      <c r="D67" s="6" t="inlineStr">
        <is>
          <t>ScoutVehicle</t>
        </is>
      </c>
      <c r="E67" s="6" t="n">
        <v>60000</v>
      </c>
      <c r="F67" s="6" t="n">
        <v>180</v>
      </c>
      <c r="G67" t="inlineStr">
        <is>
          <t>Scout</t>
        </is>
      </c>
      <c r="H67" s="6" t="n">
        <v>1</v>
      </c>
      <c r="I67" s="6" t="n">
        <v>1.25</v>
      </c>
      <c r="J67" s="6" t="n">
        <v>1.25</v>
      </c>
      <c r="K67" s="6" t="n"/>
      <c r="P67">
        <f>MAX(P68,P69)</f>
        <v/>
      </c>
      <c r="S67">
        <f>S68+S69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(((E67/30000)+(F67/200)+(S67/450)+((P67/4500)*J67))*300/4+(((E67/30000)*(F67/200))+(((P67/4500)*J67)*(S67/450)))*300/2+((E67/30000)*(F67/200)*((P67/4500)*J67)*(S67/450))*300)*(H67/1.0)/3</f>
        <v/>
      </c>
      <c r="X67" s="6" t="n">
        <v>1300</v>
      </c>
      <c r="Y67">
        <f>IFERROR(W67-X67,"")</f>
        <v/>
      </c>
      <c r="Z67">
        <f>IFERROR(ABS(Y67)/MAX(X67,1),"")</f>
        <v/>
      </c>
      <c r="AA67">
        <f>IFERROR(ROUND(((3*X67-(((E67/30000)+(F67/200)+(S67/450))*300/4+((E67/30000)*(F67/200))*300/2)*(H67/1.0))/(300/4+((S67/450))*300/2+((E67/30000)*(F67/200)*(S67/450))*300)*(H67/1.0)*4500)/J67,-1),"")</f>
        <v/>
      </c>
    </row>
    <row r="68">
      <c r="B68" s="7" t="inlineStr">
        <is>
          <t xml:space="preserve">  ↳ HMGstealth</t>
        </is>
      </c>
      <c r="C68" s="7" t="inlineStr">
        <is>
          <t>Armament@damage</t>
        </is>
      </c>
      <c r="L68" s="6" t="n">
        <v>4000</v>
      </c>
      <c r="M68" s="6" t="n">
        <v>33</v>
      </c>
      <c r="N68" s="6" t="n">
        <v>4</v>
      </c>
      <c r="O68" s="6" t="n">
        <v>2</v>
      </c>
      <c r="P68" s="6" t="n">
        <v>4857</v>
      </c>
      <c r="Q68" s="6" t="n">
        <v>0.875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^Warhead_Bullet_Light, ^Warhead_Bullet_Medium</t>
        </is>
      </c>
    </row>
    <row r="69">
      <c r="B69" s="7" t="inlineStr">
        <is>
          <t xml:space="preserve">  ↳ HMGstealth_upgrade</t>
        </is>
      </c>
      <c r="C69" s="7" t="inlineStr">
        <is>
          <t>Armament@damageLaser</t>
        </is>
      </c>
      <c r="L69" s="6" t="n">
        <v>6000</v>
      </c>
      <c r="M69" s="6" t="n">
        <v>33</v>
      </c>
      <c r="N69" s="6" t="n">
        <v>4</v>
      </c>
      <c r="O69" s="6" t="n">
        <v>2</v>
      </c>
      <c r="P69" s="6" t="n">
        <v>4857</v>
      </c>
      <c r="Q69" s="6" t="n">
        <v>1</v>
      </c>
      <c r="R69">
        <f>M69+IF(N69&gt;1,N(O69)*(N69-1),0)</f>
        <v/>
      </c>
      <c r="S69">
        <f>IFERROR(L69*MAX(N69,1)/R69*IF(ISBLANK(K67),1,K67),0)</f>
        <v/>
      </c>
      <c r="AB69" s="7" t="inlineStr">
        <is>
          <t>^Warhead_Laser_Heavy, ^Warhead_Bullet_Light, ^Warhead_Bullet_Medium</t>
        </is>
      </c>
    </row>
    <row r="70">
      <c r="A70" t="inlineStr">
        <is>
          <t>d2k</t>
        </is>
      </c>
      <c r="B70" t="inlineStr">
        <is>
          <t>ordos_tankdestroyer</t>
        </is>
      </c>
      <c r="C70" t="inlineStr">
        <is>
          <t>Tank Destroyer</t>
        </is>
      </c>
      <c r="D70" s="6" t="inlineStr">
        <is>
          <t>TankDestroyer</t>
        </is>
      </c>
      <c r="E70" s="6" t="n">
        <v>80000</v>
      </c>
      <c r="F70" s="6" t="n">
        <v>90</v>
      </c>
      <c r="G70" t="inlineStr">
        <is>
          <t>Heavy</t>
        </is>
      </c>
      <c r="H70" s="6" t="n">
        <v>0.4925</v>
      </c>
      <c r="I70" s="6" t="n">
        <v>1</v>
      </c>
      <c r="J70" s="6" t="n">
        <v>1</v>
      </c>
      <c r="K70" s="6" t="n"/>
      <c r="P70">
        <f>MAX(P71)</f>
        <v/>
      </c>
      <c r="S70">
        <f>S71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(((E70/150000)+(F70/70)+(S70/900)+((P70/7500)*J70))*600/4+(((E70/150000)*(F70/70))+(((P70/7500)*J70)*(S70/900)))*600/2+((E70/150000)*(F70/70)*((P70/7500)*J70)*(S70/900))*600)*(H70/1.0)/3</f>
        <v/>
      </c>
      <c r="X70" s="6" t="n">
        <v>2200</v>
      </c>
      <c r="Y70">
        <f>IFERROR(W70-X70,"")</f>
        <v/>
      </c>
      <c r="Z70">
        <f>IFERROR(ABS(Y70)/MAX(X70,1),"")</f>
        <v/>
      </c>
      <c r="AA70">
        <f>IFERROR(ROUND(((3*X70-(((E70/150000)+(F70/70)+(S70/900))*600/4+((E70/150000)*(F70/70))*600/2)*(H70/1.0))/(600/4+((S70/900))*600/2+((E70/150000)*(F70/70)*(S70/900))*600)*(H70/1.0)*7500)/J70,-1),"")</f>
        <v/>
      </c>
    </row>
    <row r="71">
      <c r="B71" s="7" t="inlineStr">
        <is>
          <t xml:space="preserve">  ↳ 120mm_td</t>
        </is>
      </c>
      <c r="C71" s="7" t="inlineStr">
        <is>
          <t>Armament</t>
        </is>
      </c>
      <c r="L71" s="6" t="n">
        <v>56000</v>
      </c>
      <c r="M71" s="6" t="n">
        <v>72</v>
      </c>
      <c r="N71" s="6" t="n">
        <v>1</v>
      </c>
      <c r="O71" s="6" t="n"/>
      <c r="P71" s="6" t="n">
        <v>8500</v>
      </c>
      <c r="Q71" s="6" t="n">
        <v>1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^Warhead_CannonHE_Medium</t>
        </is>
      </c>
    </row>
    <row r="72">
      <c r="A72" s="4" t="inlineStr">
        <is>
          <t>AIRCRAFT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t="inlineStr">
        <is>
          <t>d2k</t>
        </is>
      </c>
      <c r="B73" t="inlineStr">
        <is>
          <t>carryall_reinforce.ordos</t>
        </is>
      </c>
      <c r="C73" t="inlineStr">
        <is>
          <t>Advanced Carryall</t>
        </is>
      </c>
      <c r="D73" s="6" t="inlineStr">
        <is>
          <t>Aircraft</t>
        </is>
      </c>
      <c r="E73" s="6" t="n">
        <v>500000</v>
      </c>
      <c r="F73" s="6" t="n">
        <v>156</v>
      </c>
      <c r="G73" t="inlineStr">
        <is>
          <t>Bomber</t>
        </is>
      </c>
      <c r="H73" s="6" t="n">
        <v>1</v>
      </c>
      <c r="I73" s="6" t="n">
        <v>1</v>
      </c>
      <c r="J73" s="6" t="n">
        <v>1</v>
      </c>
      <c r="K73" s="6" t="n"/>
      <c r="P73">
        <f>MAX(P74,P75)</f>
        <v/>
      </c>
      <c r="S73">
        <f>S74+S75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(T73+U73+V73)/3</f>
        <v/>
      </c>
      <c r="X73" s="6" t="n">
        <v>5000</v>
      </c>
      <c r="Y73">
        <f>IFERROR(W73-X73,"")</f>
        <v/>
      </c>
      <c r="Z73">
        <f>IFERROR(ABS(Y73)/MAX(X73,1),"")</f>
        <v/>
      </c>
      <c r="AA73">
        <f>IFERROR((X73-(((E73/100000+F73/100+S73/200)*200*I73*H73)+((E73*F73/25000)*I73*H73))/3)/(((J73/5)*200*I73*H73)+((J73*S73/2.5)*I73*H73)+((E73*F73*J73*S73*I73*H73)/12500000))/3*1000,"")</f>
        <v/>
      </c>
    </row>
    <row r="74">
      <c r="B74" s="7" t="inlineStr">
        <is>
          <t xml:space="preserve">  ↳ d2kCarryallChainGun</t>
        </is>
      </c>
      <c r="C74" s="7" t="inlineStr">
        <is>
          <t>Armament@PRIMARY</t>
        </is>
      </c>
      <c r="L74" s="6" t="n">
        <v>4000</v>
      </c>
      <c r="M74" s="6" t="n">
        <v>20</v>
      </c>
      <c r="N74" s="6" t="n">
        <v>4</v>
      </c>
      <c r="O74" s="6" t="n">
        <v>1</v>
      </c>
      <c r="P74" s="6" t="n">
        <v>4000</v>
      </c>
      <c r="Q74" s="6" t="n">
        <v>1</v>
      </c>
      <c r="R74">
        <f>M74+IF(N74&gt;1,N(O74)*(N74-1),0)</f>
        <v/>
      </c>
      <c r="S74">
        <f>IFERROR(L74*MAX(N74,1)/R74*IF(ISBLANK(K73),1,K73),0)</f>
        <v/>
      </c>
      <c r="AB74" s="7" t="inlineStr">
        <is>
          <t>^Warhead_Bullet_Medium</t>
        </is>
      </c>
    </row>
    <row r="75">
      <c r="B75" s="7" t="inlineStr">
        <is>
          <t xml:space="preserve">  ↳ d2kCarryallChainGun_upgrade</t>
        </is>
      </c>
      <c r="C75" s="7" t="inlineStr">
        <is>
          <t>Armament@PRIMARYLaser</t>
        </is>
      </c>
      <c r="L75" s="6" t="n">
        <v>6000</v>
      </c>
      <c r="M75" s="6" t="n">
        <v>20</v>
      </c>
      <c r="N75" s="6" t="n">
        <v>4</v>
      </c>
      <c r="O75" s="6" t="n">
        <v>1</v>
      </c>
      <c r="P75" s="6" t="n">
        <v>4000</v>
      </c>
      <c r="Q75" s="6" t="n">
        <v>1.125</v>
      </c>
      <c r="R75">
        <f>M75+IF(N75&gt;1,N(O75)*(N75-1),0)</f>
        <v/>
      </c>
      <c r="S75">
        <f>IFERROR(L75*MAX(N75,1)/R75*IF(ISBLANK(K73),1,K73),0)</f>
        <v/>
      </c>
      <c r="AB75" s="7" t="inlineStr">
        <is>
          <t>^Warhead_Laser_Heavy, ^Warhead_Bullet_Medium</t>
        </is>
      </c>
    </row>
    <row r="76">
      <c r="A76" t="inlineStr">
        <is>
          <t>d2k</t>
        </is>
      </c>
      <c r="B76" t="inlineStr">
        <is>
          <t>ordos_advancedcarryall</t>
        </is>
      </c>
      <c r="C76" t="inlineStr">
        <is>
          <t>Advanced Carryall</t>
        </is>
      </c>
      <c r="D76" s="6" t="inlineStr">
        <is>
          <t>Aircraft</t>
        </is>
      </c>
      <c r="E76" s="6" t="n">
        <v>200000</v>
      </c>
      <c r="F76" s="6" t="n">
        <v>156</v>
      </c>
      <c r="G76" t="inlineStr">
        <is>
          <t>Bomber</t>
        </is>
      </c>
      <c r="H76" s="6" t="n">
        <v>0.7333</v>
      </c>
      <c r="I76" s="6" t="n">
        <v>1</v>
      </c>
      <c r="J76" s="6" t="n">
        <v>1</v>
      </c>
      <c r="K76" s="6" t="n"/>
      <c r="P76">
        <f>MAX(P77,P78)</f>
        <v/>
      </c>
      <c r="S76">
        <f>S77+S78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2000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d2kCarryallChainGun</t>
        </is>
      </c>
      <c r="C77" s="7" t="inlineStr">
        <is>
          <t>Armament@PRIMARY</t>
        </is>
      </c>
      <c r="L77" s="6" t="n">
        <v>4000</v>
      </c>
      <c r="M77" s="6" t="n">
        <v>20</v>
      </c>
      <c r="N77" s="6" t="n">
        <v>4</v>
      </c>
      <c r="O77" s="6" t="n">
        <v>1</v>
      </c>
      <c r="P77" s="6" t="n">
        <v>4000</v>
      </c>
      <c r="Q77" s="6" t="n">
        <v>1</v>
      </c>
      <c r="R77">
        <f>M77+IF(N77&gt;1,N(O77)*(N77-1),0)</f>
        <v/>
      </c>
      <c r="S77">
        <f>IFERROR(L77*MAX(N77,1)/R77*IF(ISBLANK(K76),1,K76),0)</f>
        <v/>
      </c>
      <c r="AB77" s="7" t="inlineStr">
        <is>
          <t>^Warhead_Bullet_Medium</t>
        </is>
      </c>
    </row>
    <row r="78">
      <c r="B78" s="7" t="inlineStr">
        <is>
          <t xml:space="preserve">  ↳ d2kCarryallChainGun_upgrade</t>
        </is>
      </c>
      <c r="C78" s="7" t="inlineStr">
        <is>
          <t>Armament@PRIMARYLaser</t>
        </is>
      </c>
      <c r="L78" s="6" t="n">
        <v>6000</v>
      </c>
      <c r="M78" s="6" t="n">
        <v>20</v>
      </c>
      <c r="N78" s="6" t="n">
        <v>4</v>
      </c>
      <c r="O78" s="6" t="n">
        <v>1</v>
      </c>
      <c r="P78" s="6" t="n">
        <v>4000</v>
      </c>
      <c r="Q78" s="6" t="n">
        <v>1.125</v>
      </c>
      <c r="R78">
        <f>M78+IF(N78&gt;1,N(O78)*(N78-1),0)</f>
        <v/>
      </c>
      <c r="S78">
        <f>IFERROR(L78*MAX(N78,1)/R78*IF(ISBLANK(K76),1,K76),0)</f>
        <v/>
      </c>
      <c r="AB78" s="7" t="inlineStr">
        <is>
          <t>^Warhead_Laser_Heavy, ^Warhead_Bullet_Medium</t>
        </is>
      </c>
    </row>
    <row r="79">
      <c r="A79" t="inlineStr">
        <is>
          <t>d2k</t>
        </is>
      </c>
      <c r="B79" t="inlineStr">
        <is>
          <t>ordos_airmine</t>
        </is>
      </c>
      <c r="C79" t="inlineStr">
        <is>
          <t>Air Mine</t>
        </is>
      </c>
      <c r="D79" s="6" t="inlineStr">
        <is>
          <t>Bomber</t>
        </is>
      </c>
      <c r="E79" s="6" t="n">
        <v>25000</v>
      </c>
      <c r="F79" s="6" t="n">
        <v>35</v>
      </c>
      <c r="G79" t="inlineStr">
        <is>
          <t>Light</t>
        </is>
      </c>
      <c r="H79" s="6" t="n">
        <v>0.7333</v>
      </c>
      <c r="I79" s="6" t="n">
        <v>1</v>
      </c>
      <c r="J79" s="6" t="n">
        <v>1</v>
      </c>
      <c r="K79" s="6" t="n"/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(T79+U79+V79)/3</f>
        <v/>
      </c>
      <c r="X79" s="6" t="n">
        <v>500</v>
      </c>
      <c r="Y79">
        <f>IFERROR(W79-X79,"")</f>
        <v/>
      </c>
      <c r="Z79">
        <f>IFERROR(ABS(Y79)/MAX(X79,1),"")</f>
        <v/>
      </c>
      <c r="AA79">
        <f>IFERROR((X79-(((E79/100000+F79/100+S79/200)*200*I79*H79)+((E79*F79/25000)*I79*H79))/3)/(((J79/5)*200*I79*H79)+((J79*S79/2.5)*I79*H79)+((E79*F79*J79*S79*I79*H79)/12500000))/3*1000,"")</f>
        <v/>
      </c>
    </row>
    <row r="80">
      <c r="B80" s="7" t="inlineStr">
        <is>
          <t xml:space="preserve">  ↳ ordos_airmine</t>
        </is>
      </c>
      <c r="C80" s="7" t="inlineStr">
        <is>
          <t>Armament@PRIMARY</t>
        </is>
      </c>
      <c r="L80" s="6" t="n">
        <v>22000</v>
      </c>
      <c r="M80" s="6" t="n">
        <v>132</v>
      </c>
      <c r="N80" s="6" t="n">
        <v>15</v>
      </c>
      <c r="O80" s="6" t="n">
        <v>0</v>
      </c>
      <c r="P80" s="6" t="n">
        <v>2048</v>
      </c>
      <c r="Q80" s="6" t="n">
        <v>1.25</v>
      </c>
      <c r="R80">
        <f>M80+IF(N80&gt;1,N(O80)*(N80-1),0)</f>
        <v/>
      </c>
      <c r="S80">
        <f>IFERROR(L80*MAX(N80,1)/R80*IF(ISBLANK(K79),1,K79),0)</f>
        <v/>
      </c>
      <c r="AB80" s="7" t="inlineStr">
        <is>
          <t>^Warhead_MissileAP_Heavy</t>
        </is>
      </c>
    </row>
    <row r="81">
      <c r="A81" t="inlineStr">
        <is>
          <t>d2k</t>
        </is>
      </c>
      <c r="B81" t="inlineStr">
        <is>
          <t>ordos_banshee</t>
        </is>
      </c>
      <c r="C81" t="inlineStr">
        <is>
          <t>Banshee</t>
        </is>
      </c>
      <c r="D81" s="6" t="inlineStr">
        <is>
          <t>Helicopter</t>
        </is>
      </c>
      <c r="E81" s="6" t="n">
        <v>37500</v>
      </c>
      <c r="F81" s="6" t="n">
        <v>165</v>
      </c>
      <c r="G81" t="inlineStr">
        <is>
          <t>Helicopter</t>
        </is>
      </c>
      <c r="H81" s="6" t="n">
        <v>0.75</v>
      </c>
      <c r="I81" s="6" t="n">
        <v>1</v>
      </c>
      <c r="J81" s="6" t="n">
        <v>1</v>
      </c>
      <c r="K81" s="6" t="n"/>
      <c r="P81">
        <f>MAX(P82,P83,P84)</f>
        <v/>
      </c>
      <c r="S81">
        <f>S82+S83+S84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2250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Laboratory_Bioball</t>
        </is>
      </c>
      <c r="C82" s="7" t="inlineStr">
        <is>
          <t>Armament</t>
        </is>
      </c>
      <c r="L82" s="6" t="n">
        <v>50000</v>
      </c>
      <c r="M82" s="6" t="n">
        <v>42</v>
      </c>
      <c r="N82" s="6" t="n">
        <v>1</v>
      </c>
      <c r="O82" s="6" t="n"/>
      <c r="P82" s="6" t="n">
        <v>6500</v>
      </c>
      <c r="Q82" s="6" t="n">
        <v>1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^Warhead_Demolition_Light, ^Warhead_Concussion_Medium, ^Warhead_CannonHE_Heavy</t>
        </is>
      </c>
    </row>
    <row r="83">
      <c r="B83" s="7" t="inlineStr">
        <is>
          <t xml:space="preserve">  ↳ D2K_APC_Rocket_AA</t>
        </is>
      </c>
      <c r="C83" s="7" t="inlineStr">
        <is>
          <t>Armament@aa1</t>
        </is>
      </c>
      <c r="L83" s="6" t="n">
        <v>24000</v>
      </c>
      <c r="M83" s="6" t="n">
        <v>42</v>
      </c>
      <c r="N83" s="6" t="n">
        <v>1</v>
      </c>
      <c r="O83" s="6" t="n"/>
      <c r="P83" s="6" t="n">
        <v>6500</v>
      </c>
      <c r="Q83" s="6" t="n">
        <v>1</v>
      </c>
      <c r="R83">
        <f>M83+IF(N83&gt;1,N(O83)*(N83-1),0)</f>
        <v/>
      </c>
      <c r="S83">
        <f>IFERROR(L83*MAX(N83,1)/R83*IF(ISBLANK(K81),1,K81),0)</f>
        <v/>
      </c>
      <c r="AB83" s="7" t="inlineStr">
        <is>
          <t>^Warhead_MissileAP_Light, ^Warhead_MissileAP_Medium, ^Warhead_MissileAP_Heavy</t>
        </is>
      </c>
    </row>
    <row r="84">
      <c r="B84" s="7" t="inlineStr">
        <is>
          <t xml:space="preserve">  ↳ D2K_APC_Rocket_AA</t>
        </is>
      </c>
      <c r="C84" s="7" t="inlineStr">
        <is>
          <t>Armament@aa2</t>
        </is>
      </c>
      <c r="L84" s="6" t="n">
        <v>24000</v>
      </c>
      <c r="M84" s="6" t="n">
        <v>42</v>
      </c>
      <c r="N84" s="6" t="n">
        <v>1</v>
      </c>
      <c r="O84" s="6" t="n"/>
      <c r="P84" s="6" t="n">
        <v>6500</v>
      </c>
      <c r="Q84" s="6" t="n">
        <v>1</v>
      </c>
      <c r="R84">
        <f>M84+IF(N84&gt;1,N(O84)*(N84-1),0)</f>
        <v/>
      </c>
      <c r="S84">
        <f>IFERROR(L84*MAX(N84,1)/R84*IF(ISBLANK(K81),1,K81),0)</f>
        <v/>
      </c>
      <c r="AB84" s="7" t="inlineStr">
        <is>
          <t>^Warhead_MissileAP_Light, ^Warhead_MissileAP_Medium, ^Warhead_MissileAP_Heavy</t>
        </is>
      </c>
    </row>
    <row r="85">
      <c r="A85" t="inlineStr">
        <is>
          <t>d2k</t>
        </is>
      </c>
      <c r="B85" t="inlineStr">
        <is>
          <t>ordos_eyeinthesky</t>
        </is>
      </c>
      <c r="C85" t="inlineStr">
        <is>
          <t>Eye In The Sky</t>
        </is>
      </c>
      <c r="D85" s="6" t="inlineStr">
        <is>
          <t>Bomber</t>
        </is>
      </c>
      <c r="E85" s="6" t="n">
        <v>150000</v>
      </c>
      <c r="F85" s="6" t="n">
        <v>180</v>
      </c>
      <c r="G85" t="inlineStr">
        <is>
          <t>Bomber</t>
        </is>
      </c>
      <c r="H85" s="6" t="n">
        <v>0.75</v>
      </c>
      <c r="I85" s="6" t="n">
        <v>1</v>
      </c>
      <c r="J85" s="6" t="n">
        <v>1</v>
      </c>
      <c r="K85" s="6" t="n"/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2500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eye_bomberguy</t>
        </is>
      </c>
      <c r="C86" s="7" t="inlineStr">
        <is>
          <t>Armament@PRIMARY</t>
        </is>
      </c>
      <c r="L86" s="6" t="n">
        <v>100000</v>
      </c>
      <c r="M86" s="6" t="n">
        <v>125</v>
      </c>
      <c r="N86" s="6" t="n">
        <v>1</v>
      </c>
      <c r="O86" s="6" t="n"/>
      <c r="P86" s="6" t="n">
        <v>3905</v>
      </c>
      <c r="Q86" s="6" t="n">
        <v>1</v>
      </c>
      <c r="R86">
        <f>M86+IF(N86&gt;1,N(O86)*(N86-1),0)</f>
        <v/>
      </c>
      <c r="S86">
        <f>IFERROR(L86*MAX(N86,1)/R86*IF(ISBLANK(K85),1,K85),0)</f>
        <v/>
      </c>
      <c r="AB86" s="7" t="inlineStr">
        <is>
          <t>^Grenade, ^MediumChemicalWeapon, ^MediumFlameWeapon, ^ShrapnelWeapon, ^HeavyBomb</t>
        </is>
      </c>
    </row>
    <row r="87">
      <c r="A87" t="inlineStr">
        <is>
          <t>d2k</t>
        </is>
      </c>
      <c r="B87" t="inlineStr">
        <is>
          <t>ordos_swarmerdrone</t>
        </is>
      </c>
      <c r="C87" t="inlineStr">
        <is>
          <t>Swarmer Drone</t>
        </is>
      </c>
      <c r="D87" s="6" t="inlineStr">
        <is>
          <t>Fighter</t>
        </is>
      </c>
      <c r="E87" s="6" t="n">
        <v>20000</v>
      </c>
      <c r="F87" s="6" t="n">
        <v>260</v>
      </c>
      <c r="G87" t="inlineStr">
        <is>
          <t>Fighter</t>
        </is>
      </c>
      <c r="H87" s="6" t="n">
        <v>1</v>
      </c>
      <c r="I87" s="6" t="n">
        <v>1</v>
      </c>
      <c r="J87" s="6" t="n">
        <v>1</v>
      </c>
      <c r="K87" s="6" t="n"/>
      <c r="P87">
        <f>MAX(P88,P89)</f>
        <v/>
      </c>
      <c r="S87">
        <f>S88+S89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800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d2kChainGun</t>
        </is>
      </c>
      <c r="C88" s="7" t="inlineStr">
        <is>
          <t>Armament@PRIMARY</t>
        </is>
      </c>
      <c r="L88" s="6" t="n">
        <v>4000</v>
      </c>
      <c r="M88" s="6" t="n">
        <v>60</v>
      </c>
      <c r="N88" s="6" t="n">
        <v>5</v>
      </c>
      <c r="O88" s="6" t="n">
        <v>2</v>
      </c>
      <c r="P88" s="6" t="n">
        <v>6184</v>
      </c>
      <c r="Q88" s="6" t="n">
        <v>1</v>
      </c>
      <c r="R88">
        <f>M88+IF(N88&gt;1,N(O88)*(N88-1),0)</f>
        <v/>
      </c>
      <c r="S88">
        <f>IFERROR(L88*MAX(N88,1)/R88*IF(ISBLANK(K87),1,K87),0)</f>
        <v/>
      </c>
      <c r="AB88" s="7" t="inlineStr">
        <is>
          <t>^Warhead_Bullet_Medium</t>
        </is>
      </c>
    </row>
    <row r="89">
      <c r="B89" s="7" t="inlineStr">
        <is>
          <t xml:space="preserve">  ↳ d2kChainGun_upgrade</t>
        </is>
      </c>
      <c r="C89" s="7" t="inlineStr">
        <is>
          <t>Armament@PRIMARYLaser</t>
        </is>
      </c>
      <c r="L89" s="6" t="n">
        <v>8000</v>
      </c>
      <c r="M89" s="6" t="n">
        <v>60</v>
      </c>
      <c r="N89" s="6" t="n">
        <v>5</v>
      </c>
      <c r="O89" s="6" t="n">
        <v>2</v>
      </c>
      <c r="P89" s="6" t="n">
        <v>6184</v>
      </c>
      <c r="Q89" s="6" t="n">
        <v>1.125</v>
      </c>
      <c r="R89">
        <f>M89+IF(N89&gt;1,N(O89)*(N89-1),0)</f>
        <v/>
      </c>
      <c r="S89">
        <f>IFERROR(L89*MAX(N89,1)/R89*IF(ISBLANK(K87),1,K87),0)</f>
        <v/>
      </c>
      <c r="AB89" s="7" t="inlineStr">
        <is>
          <t>^Warhead_Laser_Heavy, ^Warhead_Bullet_Medium</t>
        </is>
      </c>
    </row>
    <row r="90">
      <c r="A90" t="inlineStr">
        <is>
          <t>d2k</t>
        </is>
      </c>
      <c r="B90" t="inlineStr">
        <is>
          <t>ordos_wraith</t>
        </is>
      </c>
      <c r="C90" t="inlineStr">
        <is>
          <t>Wraith</t>
        </is>
      </c>
      <c r="D90" s="6" t="inlineStr">
        <is>
          <t>Spaceship</t>
        </is>
      </c>
      <c r="E90" s="6" t="n">
        <v>375000</v>
      </c>
      <c r="F90" s="6" t="n">
        <v>45</v>
      </c>
      <c r="G90" t="inlineStr">
        <is>
          <t>Spaceship</t>
        </is>
      </c>
      <c r="H90" s="6" t="n">
        <v>0.3143</v>
      </c>
      <c r="I90" s="6" t="n">
        <v>1</v>
      </c>
      <c r="J90" s="6" t="n">
        <v>1</v>
      </c>
      <c r="K90" s="6" t="n"/>
      <c r="P90">
        <f>MAX(P91)</f>
        <v/>
      </c>
      <c r="S90">
        <f>S91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7000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Wraith_ToxinMissiles</t>
        </is>
      </c>
      <c r="C91" s="7" t="inlineStr">
        <is>
          <t>Armament@PRIMARY</t>
        </is>
      </c>
      <c r="L91" s="6" t="n">
        <v>60000</v>
      </c>
      <c r="M91" s="6" t="n">
        <v>125</v>
      </c>
      <c r="N91" s="6" t="n">
        <v>4</v>
      </c>
      <c r="O91" s="6" t="n">
        <v>25</v>
      </c>
      <c r="P91" s="6" t="n">
        <v>8370</v>
      </c>
      <c r="Q91" s="6" t="n">
        <v>1.25</v>
      </c>
      <c r="R91">
        <f>M91+IF(N91&gt;1,N(O91)*(N91-1),0)</f>
        <v/>
      </c>
      <c r="S91">
        <f>IFERROR(L91*MAX(N91,1)/R91*IF(ISBLANK(K90),1,K90),0)</f>
        <v/>
      </c>
      <c r="AB91" s="7" t="inlineStr">
        <is>
          <t>^Warhead_CannonHE_Heavy, ^Warhead_MissileAP_Heavy</t>
        </is>
      </c>
    </row>
    <row r="92">
      <c r="A92" s="4" t="inlineStr">
        <is>
          <t>BUILDINGS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t="inlineStr">
        <is>
          <t>d2k</t>
        </is>
      </c>
      <c r="B93" t="inlineStr">
        <is>
          <t>ordos_artilleryplatform</t>
        </is>
      </c>
      <c r="C93" t="inlineStr">
        <is>
          <t>Artillery Platform</t>
        </is>
      </c>
      <c r="D93" s="6" t="inlineStr">
        <is>
          <t>AdvancedDefense</t>
        </is>
      </c>
      <c r="E93" s="6" t="n">
        <v>125000</v>
      </c>
      <c r="F93" s="6" t="n"/>
      <c r="G93" t="inlineStr">
        <is>
          <t>Concrete</t>
        </is>
      </c>
      <c r="H93" s="6" t="n">
        <v>1</v>
      </c>
      <c r="I93" s="6" t="n">
        <v>0.325</v>
      </c>
      <c r="J93" s="6" t="n">
        <v>1</v>
      </c>
      <c r="K93" s="6" t="n"/>
      <c r="X93" s="6" t="n">
        <v>1200</v>
      </c>
    </row>
    <row r="94">
      <c r="B94" s="7" t="inlineStr">
        <is>
          <t xml:space="preserve">  ↳ D2K_155mm_turret</t>
        </is>
      </c>
      <c r="C94" s="7" t="inlineStr">
        <is>
          <t>Armament</t>
        </is>
      </c>
      <c r="L94" s="6" t="n">
        <v>48000</v>
      </c>
      <c r="M94" s="6" t="n">
        <v>74</v>
      </c>
      <c r="N94" s="6" t="n">
        <v>1</v>
      </c>
      <c r="O94" s="6" t="n"/>
      <c r="P94" s="6" t="n">
        <v>10000</v>
      </c>
      <c r="Q94" s="6" t="n">
        <v>1</v>
      </c>
      <c r="R94">
        <f>M94+IF(N94&gt;1,N(O94)*(N94-1),0)</f>
        <v/>
      </c>
      <c r="S94">
        <f>IFERROR(L94*MAX(N94,1)/R94*IF(ISBLANK(K93),1,K93),0)</f>
        <v/>
      </c>
      <c r="AB94" s="7" t="inlineStr">
        <is>
          <t>^Warhead_Demolition_Light, ^Warhead_Demolition_Heavy, ^Warhead_Concussion_Medium, ^Warhead_CannonHE_Medium</t>
        </is>
      </c>
    </row>
    <row r="95">
      <c r="A95" t="inlineStr">
        <is>
          <t>d2k</t>
        </is>
      </c>
      <c r="B95" t="inlineStr">
        <is>
          <t>ordos_autogunturret</t>
        </is>
      </c>
      <c r="C95" t="inlineStr">
        <is>
          <t>Autogun Turret</t>
        </is>
      </c>
      <c r="D95" s="6" t="inlineStr">
        <is>
          <t>AdvancedDefense</t>
        </is>
      </c>
      <c r="E95" s="6" t="n">
        <v>75000</v>
      </c>
      <c r="F95" s="6" t="n"/>
      <c r="G95" t="inlineStr">
        <is>
          <t>Concrete</t>
        </is>
      </c>
      <c r="H95" s="6" t="n">
        <v>1</v>
      </c>
      <c r="I95" s="6" t="n">
        <v>0.325</v>
      </c>
      <c r="J95" s="6" t="n">
        <v>1.25</v>
      </c>
      <c r="K95" s="6" t="n"/>
      <c r="X95" s="6" t="n">
        <v>1100</v>
      </c>
    </row>
    <row r="96">
      <c r="B96" s="7" t="inlineStr">
        <is>
          <t xml:space="preserve">  ↳ ordos_autogunturret</t>
        </is>
      </c>
      <c r="C96" s="7" t="inlineStr">
        <is>
          <t>Armament</t>
        </is>
      </c>
      <c r="L96" s="6" t="n">
        <v>6000</v>
      </c>
      <c r="M96" s="6" t="n">
        <v>22</v>
      </c>
      <c r="N96" s="6" t="n">
        <v>4</v>
      </c>
      <c r="O96" s="6" t="n">
        <v>2</v>
      </c>
      <c r="P96" s="6" t="n">
        <v>7700</v>
      </c>
      <c r="Q96" s="6" t="n">
        <v>1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^Warhead_Bullet_Light, ^Warhead_Bullet_Medium, ^Warhead_CannonHE_Heavy</t>
        </is>
      </c>
    </row>
    <row r="97">
      <c r="A97" t="inlineStr">
        <is>
          <t>d2k</t>
        </is>
      </c>
      <c r="B97" t="inlineStr">
        <is>
          <t>ordos_barracks</t>
        </is>
      </c>
      <c r="C97" t="inlineStr">
        <is>
          <t>Ordos Barracks</t>
        </is>
      </c>
      <c r="D97" s="6" t="inlineStr">
        <is>
          <t>Building</t>
        </is>
      </c>
      <c r="E97" s="6" t="n">
        <v>200000</v>
      </c>
      <c r="F97" s="6" t="n"/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K97" s="6" t="n"/>
      <c r="X97" s="6" t="n">
        <v>1000</v>
      </c>
    </row>
    <row r="98">
      <c r="A98" t="inlineStr">
        <is>
          <t>d2k</t>
        </is>
      </c>
      <c r="B98" t="inlineStr">
        <is>
          <t>ordos_constructionyard</t>
        </is>
      </c>
      <c r="C98" t="inlineStr">
        <is>
          <t>Ordos Construction Yard</t>
        </is>
      </c>
      <c r="D98" s="6" t="inlineStr">
        <is>
          <t>Building</t>
        </is>
      </c>
      <c r="E98" s="6" t="n">
        <v>1000000</v>
      </c>
      <c r="F98" s="6" t="n"/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K98" s="6" t="n"/>
      <c r="X98" s="6" t="n">
        <v>5000</v>
      </c>
    </row>
    <row r="99">
      <c r="A99" t="inlineStr">
        <is>
          <t>d2k</t>
        </is>
      </c>
      <c r="B99" t="inlineStr">
        <is>
          <t>ordos_heavyfactory</t>
        </is>
      </c>
      <c r="C99" t="inlineStr">
        <is>
          <t>Ordos Heavy Factory</t>
        </is>
      </c>
      <c r="D99" s="6" t="inlineStr">
        <is>
          <t>Building</t>
        </is>
      </c>
      <c r="E99" s="6" t="n">
        <v>400000</v>
      </c>
      <c r="F99" s="6" t="n"/>
      <c r="G99" t="inlineStr">
        <is>
          <t>Concrete</t>
        </is>
      </c>
      <c r="H99" s="6" t="n">
        <v>1</v>
      </c>
      <c r="I99" s="6" t="n">
        <v>1</v>
      </c>
      <c r="J99" s="6" t="n">
        <v>1</v>
      </c>
      <c r="K99" s="6" t="n"/>
      <c r="X99" s="6" t="n">
        <v>2000</v>
      </c>
    </row>
    <row r="100">
      <c r="A100" t="inlineStr">
        <is>
          <t>d2k</t>
        </is>
      </c>
      <c r="B100" t="inlineStr">
        <is>
          <t>ordos_hightechfactory</t>
        </is>
      </c>
      <c r="C100" t="inlineStr">
        <is>
          <t>High Tech Factory</t>
        </is>
      </c>
      <c r="D100" s="6" t="inlineStr">
        <is>
          <t>Building</t>
        </is>
      </c>
      <c r="E100" s="6" t="n">
        <v>300000</v>
      </c>
      <c r="F100" s="6" t="n"/>
      <c r="G100" t="inlineStr">
        <is>
          <t>Concrete</t>
        </is>
      </c>
      <c r="H100" s="6" t="n">
        <v>0.8462</v>
      </c>
      <c r="I100" s="6" t="n">
        <v>1</v>
      </c>
      <c r="J100" s="6" t="n">
        <v>1</v>
      </c>
      <c r="K100" s="6" t="n"/>
      <c r="X100" s="6" t="n">
        <v>1500</v>
      </c>
    </row>
    <row r="101">
      <c r="A101" t="inlineStr">
        <is>
          <t>d2k</t>
        </is>
      </c>
      <c r="B101" t="inlineStr">
        <is>
          <t>ordos_ixresearchcenter</t>
        </is>
      </c>
      <c r="C101" t="inlineStr">
        <is>
          <t>Ix Research Center</t>
        </is>
      </c>
      <c r="D101" s="6" t="inlineStr">
        <is>
          <t>Building</t>
        </is>
      </c>
      <c r="E101" s="6" t="n">
        <v>500000</v>
      </c>
      <c r="F101" s="6" t="n"/>
      <c r="G101" t="inlineStr">
        <is>
          <t>Concrete</t>
        </is>
      </c>
      <c r="H101" s="6" t="n">
        <v>0.8462</v>
      </c>
      <c r="I101" s="6" t="n">
        <v>1</v>
      </c>
      <c r="J101" s="6" t="n">
        <v>1</v>
      </c>
      <c r="K101" s="6" t="n"/>
      <c r="X101" s="6" t="n">
        <v>5000</v>
      </c>
    </row>
    <row r="102">
      <c r="A102" t="inlineStr">
        <is>
          <t>d2k</t>
        </is>
      </c>
      <c r="B102" t="inlineStr">
        <is>
          <t>ordos_lightfactory</t>
        </is>
      </c>
      <c r="C102" t="inlineStr">
        <is>
          <t>Ordos Light Factory</t>
        </is>
      </c>
      <c r="D102" s="6" t="inlineStr">
        <is>
          <t>Building</t>
        </is>
      </c>
      <c r="E102" s="6" t="n">
        <v>200000</v>
      </c>
      <c r="F102" s="6" t="n"/>
      <c r="G102" t="inlineStr">
        <is>
          <t>Concrete</t>
        </is>
      </c>
      <c r="H102" s="6" t="n">
        <v>1</v>
      </c>
      <c r="I102" s="6" t="n">
        <v>1</v>
      </c>
      <c r="J102" s="6" t="n">
        <v>1</v>
      </c>
      <c r="K102" s="6" t="n"/>
      <c r="X102" s="6" t="n">
        <v>1000</v>
      </c>
    </row>
    <row r="103">
      <c r="A103" t="inlineStr">
        <is>
          <t>d2k</t>
        </is>
      </c>
      <c r="B103" t="inlineStr">
        <is>
          <t>ordos_outpost</t>
        </is>
      </c>
      <c r="C103" t="inlineStr">
        <is>
          <t>Ordos Outpost</t>
        </is>
      </c>
      <c r="D103" s="6" t="inlineStr">
        <is>
          <t>Building</t>
        </is>
      </c>
      <c r="E103" s="6" t="n">
        <v>250000</v>
      </c>
      <c r="F103" s="6" t="n"/>
      <c r="G103" t="inlineStr">
        <is>
          <t>Wood</t>
        </is>
      </c>
      <c r="H103" s="6" t="n">
        <v>1</v>
      </c>
      <c r="I103" s="6" t="n">
        <v>1</v>
      </c>
      <c r="J103" s="6" t="n">
        <v>1</v>
      </c>
      <c r="K103" s="6" t="n"/>
      <c r="X103" s="6" t="n">
        <v>2500</v>
      </c>
    </row>
    <row r="104">
      <c r="A104" t="inlineStr">
        <is>
          <t>d2k</t>
        </is>
      </c>
      <c r="B104" t="inlineStr">
        <is>
          <t>ordos_palace</t>
        </is>
      </c>
      <c r="C104" t="inlineStr">
        <is>
          <t>Palace</t>
        </is>
      </c>
      <c r="D104" s="6" t="inlineStr">
        <is>
          <t>Building</t>
        </is>
      </c>
      <c r="E104" s="6" t="n">
        <v>1000000</v>
      </c>
      <c r="F104" s="6" t="n"/>
      <c r="G104" t="inlineStr">
        <is>
          <t>Concrete</t>
        </is>
      </c>
      <c r="H104" s="6" t="n">
        <v>0.5593</v>
      </c>
      <c r="I104" s="6" t="n">
        <v>1</v>
      </c>
      <c r="J104" s="6" t="n">
        <v>1</v>
      </c>
      <c r="K104" s="6" t="n"/>
      <c r="X104" s="6" t="n">
        <v>10000</v>
      </c>
    </row>
    <row r="105">
      <c r="A105" t="inlineStr">
        <is>
          <t>d2k</t>
        </is>
      </c>
      <c r="B105" t="inlineStr">
        <is>
          <t>ordos_refineryordos</t>
        </is>
      </c>
      <c r="C105" t="inlineStr">
        <is>
          <t>Refinery</t>
        </is>
      </c>
      <c r="D105" s="6" t="inlineStr">
        <is>
          <t>Building</t>
        </is>
      </c>
      <c r="E105" s="6" t="n">
        <v>300000</v>
      </c>
      <c r="F105" s="6" t="n"/>
      <c r="G105" t="inlineStr">
        <is>
          <t>Concrete</t>
        </is>
      </c>
      <c r="H105" s="6" t="n">
        <v>1</v>
      </c>
      <c r="I105" s="6" t="n">
        <v>1</v>
      </c>
      <c r="J105" s="6" t="n">
        <v>1</v>
      </c>
      <c r="K105" s="6" t="n"/>
      <c r="X105" s="6" t="n">
        <v>3000</v>
      </c>
    </row>
    <row r="106">
      <c r="A106" t="inlineStr">
        <is>
          <t>d2k</t>
        </is>
      </c>
      <c r="B106" t="inlineStr">
        <is>
          <t>ordos_repairpad</t>
        </is>
      </c>
      <c r="C106" t="inlineStr">
        <is>
          <t>Ordos Repair Pad</t>
        </is>
      </c>
      <c r="D106" s="6" t="inlineStr">
        <is>
          <t>Building</t>
        </is>
      </c>
      <c r="E106" s="6" t="n">
        <v>250000</v>
      </c>
      <c r="F106" s="6" t="n"/>
      <c r="G106" t="inlineStr">
        <is>
          <t>Concrete</t>
        </is>
      </c>
      <c r="H106" s="6" t="n">
        <v>0.8919</v>
      </c>
      <c r="I106" s="6" t="n">
        <v>1</v>
      </c>
      <c r="J106" s="6" t="n">
        <v>1</v>
      </c>
      <c r="K106" s="6" t="n"/>
      <c r="X106" s="6" t="n">
        <v>1000</v>
      </c>
    </row>
    <row r="107">
      <c r="A107" t="inlineStr">
        <is>
          <t>d2k</t>
        </is>
      </c>
      <c r="B107" t="inlineStr">
        <is>
          <t>ordos_starport</t>
        </is>
      </c>
      <c r="C107" t="inlineStr">
        <is>
          <t>Starport</t>
        </is>
      </c>
      <c r="D107" s="6" t="inlineStr">
        <is>
          <t>Building</t>
        </is>
      </c>
      <c r="E107" s="6" t="n">
        <v>500000</v>
      </c>
      <c r="F107" s="6" t="n"/>
      <c r="G107" t="inlineStr">
        <is>
          <t>Concrete</t>
        </is>
      </c>
      <c r="H107" s="6" t="n">
        <v>0.5593</v>
      </c>
      <c r="I107" s="6" t="n">
        <v>1</v>
      </c>
      <c r="J107" s="6" t="n">
        <v>1</v>
      </c>
      <c r="K107" s="6" t="n"/>
      <c r="X107" s="6" t="n">
        <v>5000</v>
      </c>
    </row>
    <row r="108">
      <c r="A108" t="inlineStr">
        <is>
          <t>d2k</t>
        </is>
      </c>
      <c r="B108" t="inlineStr">
        <is>
          <t>ordos_storagesilo</t>
        </is>
      </c>
      <c r="C108" t="inlineStr">
        <is>
          <t>Storage Silo</t>
        </is>
      </c>
      <c r="D108" s="6" t="inlineStr">
        <is>
          <t>Building</t>
        </is>
      </c>
      <c r="E108" s="6" t="n">
        <v>50000</v>
      </c>
      <c r="F108" s="6" t="n"/>
      <c r="G108" t="inlineStr">
        <is>
          <t>Wood</t>
        </is>
      </c>
      <c r="H108" s="6" t="n">
        <v>1</v>
      </c>
      <c r="I108" s="6" t="n">
        <v>1</v>
      </c>
      <c r="J108" s="6" t="n">
        <v>1</v>
      </c>
      <c r="K108" s="6" t="n"/>
      <c r="X108" s="6" t="n">
        <v>150</v>
      </c>
    </row>
    <row r="109">
      <c r="A109" t="inlineStr">
        <is>
          <t>d2k</t>
        </is>
      </c>
      <c r="B109" t="inlineStr">
        <is>
          <t>ordos_windtrap</t>
        </is>
      </c>
      <c r="C109" t="inlineStr">
        <is>
          <t>Wind Trap</t>
        </is>
      </c>
      <c r="D109" s="6" t="inlineStr">
        <is>
          <t>Building</t>
        </is>
      </c>
      <c r="E109" s="6" t="n">
        <v>200000</v>
      </c>
      <c r="F109" s="6" t="n"/>
      <c r="G109" t="inlineStr">
        <is>
          <t>Concrete</t>
        </is>
      </c>
      <c r="H109" s="6" t="n">
        <v>1</v>
      </c>
      <c r="I109" s="6" t="n">
        <v>1</v>
      </c>
      <c r="J109" s="6" t="n">
        <v>1</v>
      </c>
      <c r="K109" s="6" t="n"/>
      <c r="X109" s="6" t="n">
        <v>500</v>
      </c>
    </row>
    <row r="110">
      <c r="A110" s="4" t="inlineStr">
        <is>
          <t>UPGRADES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t="inlineStr">
        <is>
          <t>d2k</t>
        </is>
      </c>
      <c r="B111" t="inlineStr">
        <is>
          <t>ordos_upgrade_antiairtrooper</t>
        </is>
      </c>
      <c r="C111" t="inlineStr">
        <is>
          <t>Anti Air Trooper Upgrade</t>
        </is>
      </c>
      <c r="D111" s="6" t="inlineStr">
        <is>
          <t>UnitUpgrade</t>
        </is>
      </c>
      <c r="E111" s="6" t="n"/>
      <c r="F111" s="6" t="n"/>
      <c r="H111" s="6" t="n">
        <v>0.8462</v>
      </c>
      <c r="I111" s="6" t="n">
        <v>1</v>
      </c>
      <c r="J111" s="6" t="n">
        <v>1</v>
      </c>
      <c r="K111" s="6" t="n"/>
      <c r="X111" s="6" t="n">
        <v>2500</v>
      </c>
    </row>
    <row r="112">
      <c r="A112" t="inlineStr">
        <is>
          <t>d2k</t>
        </is>
      </c>
      <c r="B112" t="inlineStr">
        <is>
          <t>ordos_upgrade_biologicalwarfare</t>
        </is>
      </c>
      <c r="C112" t="inlineStr">
        <is>
          <t>Biological Warfare</t>
        </is>
      </c>
      <c r="D112" s="6" t="inlineStr">
        <is>
          <t>TechUpgrade</t>
        </is>
      </c>
      <c r="E112" s="6" t="n"/>
      <c r="F112" s="6" t="n"/>
      <c r="H112" s="6" t="n">
        <v>0.5593</v>
      </c>
      <c r="I112" s="6" t="n">
        <v>1</v>
      </c>
      <c r="J112" s="6" t="n">
        <v>1</v>
      </c>
      <c r="K112" s="6" t="n"/>
      <c r="X112" s="6" t="n">
        <v>7500</v>
      </c>
    </row>
    <row r="113">
      <c r="A113" t="inlineStr">
        <is>
          <t>d2k</t>
        </is>
      </c>
      <c r="B113" t="inlineStr">
        <is>
          <t>ordos_upgrade_contraband</t>
        </is>
      </c>
      <c r="C113" t="inlineStr">
        <is>
          <t>Contraband</t>
        </is>
      </c>
      <c r="D113" s="6" t="inlineStr">
        <is>
          <t>TechUpgrade</t>
        </is>
      </c>
      <c r="E113" s="6" t="n"/>
      <c r="F113" s="6" t="n"/>
      <c r="H113" s="6" t="n">
        <v>0.5593</v>
      </c>
      <c r="I113" s="6" t="n">
        <v>1</v>
      </c>
      <c r="J113" s="6" t="n">
        <v>1</v>
      </c>
      <c r="K113" s="6" t="n"/>
      <c r="X113" s="6" t="n">
        <v>7500</v>
      </c>
    </row>
    <row r="114">
      <c r="A114" t="inlineStr">
        <is>
          <t>d2k</t>
        </is>
      </c>
      <c r="B114" t="inlineStr">
        <is>
          <t>ordos_upgrade_heavyautoguntank</t>
        </is>
      </c>
      <c r="C114" t="inlineStr">
        <is>
          <t>Heavy Autogun Tank Upgrade</t>
        </is>
      </c>
      <c r="D114" s="6" t="inlineStr">
        <is>
          <t>UnitUpgrade</t>
        </is>
      </c>
      <c r="E114" s="6" t="n"/>
      <c r="F114" s="6" t="n"/>
      <c r="H114" s="6" t="n">
        <v>0.5593</v>
      </c>
      <c r="I114" s="6" t="n">
        <v>1</v>
      </c>
      <c r="J114" s="6" t="n">
        <v>1</v>
      </c>
      <c r="K114" s="6" t="n"/>
      <c r="X114" s="6" t="n">
        <v>2500</v>
      </c>
    </row>
    <row r="115">
      <c r="A115" t="inlineStr">
        <is>
          <t>d2k</t>
        </is>
      </c>
      <c r="B115" t="inlineStr">
        <is>
          <t>ordos_upgrade_heavycombattank</t>
        </is>
      </c>
      <c r="C115" t="inlineStr">
        <is>
          <t>Heavy Combat Tank Upgrade</t>
        </is>
      </c>
      <c r="D115" s="6" t="inlineStr">
        <is>
          <t>UnitUpgrade</t>
        </is>
      </c>
      <c r="E115" s="6" t="n"/>
      <c r="F115" s="6" t="n"/>
      <c r="H115" s="6" t="n">
        <v>0.8462</v>
      </c>
      <c r="I115" s="6" t="n">
        <v>1</v>
      </c>
      <c r="J115" s="6" t="n">
        <v>1</v>
      </c>
      <c r="K115" s="6" t="n"/>
      <c r="X115" s="6" t="n">
        <v>2500</v>
      </c>
    </row>
    <row r="116">
      <c r="A116" t="inlineStr">
        <is>
          <t>d2k</t>
        </is>
      </c>
      <c r="B116" t="inlineStr">
        <is>
          <t>ordos_upgrade_heavycombattankrockets</t>
        </is>
      </c>
      <c r="C116" t="inlineStr">
        <is>
          <t>Heavy Combat Tank Rockets Upgrade</t>
        </is>
      </c>
      <c r="D116" s="6" t="inlineStr">
        <is>
          <t>UnitUpgrade</t>
        </is>
      </c>
      <c r="E116" s="6" t="n"/>
      <c r="F116" s="6" t="n"/>
      <c r="H116" s="6" t="n">
        <v>0.5593</v>
      </c>
      <c r="I116" s="6" t="n">
        <v>1</v>
      </c>
      <c r="J116" s="6" t="n">
        <v>1</v>
      </c>
      <c r="K116" s="6" t="n"/>
      <c r="X116" s="6" t="n">
        <v>2500</v>
      </c>
    </row>
    <row r="117">
      <c r="A117" t="inlineStr">
        <is>
          <t>d2k</t>
        </is>
      </c>
      <c r="B117" t="inlineStr">
        <is>
          <t>ordos_upgrade_hoverdrive</t>
        </is>
      </c>
      <c r="C117" t="inlineStr">
        <is>
          <t>Hover Drive</t>
        </is>
      </c>
      <c r="D117" s="6" t="inlineStr">
        <is>
          <t>TechUpgrade</t>
        </is>
      </c>
      <c r="E117" s="6" t="n"/>
      <c r="F117" s="6" t="n"/>
      <c r="H117" s="6" t="n">
        <v>0.5593</v>
      </c>
      <c r="I117" s="6" t="n">
        <v>1</v>
      </c>
      <c r="J117" s="6" t="n">
        <v>1</v>
      </c>
      <c r="K117" s="6" t="n"/>
      <c r="X117" s="6" t="n">
        <v>7500</v>
      </c>
    </row>
    <row r="118">
      <c r="A118" t="inlineStr">
        <is>
          <t>d2k</t>
        </is>
      </c>
      <c r="B118" t="inlineStr">
        <is>
          <t>ordos_upgrade_lasercartridges</t>
        </is>
      </c>
      <c r="C118" t="inlineStr">
        <is>
          <t>Laser Cartridges</t>
        </is>
      </c>
      <c r="D118" s="6" t="inlineStr">
        <is>
          <t>ResearchedUpgrade</t>
        </is>
      </c>
      <c r="E118" s="6" t="n"/>
      <c r="F118" s="6" t="n"/>
      <c r="H118" s="6" t="n">
        <v>0.8462</v>
      </c>
      <c r="I118" s="6" t="n">
        <v>1</v>
      </c>
      <c r="J118" s="6" t="n">
        <v>1</v>
      </c>
      <c r="K118" s="6" t="n"/>
      <c r="X118" s="6" t="n">
        <v>5000</v>
      </c>
    </row>
    <row r="119">
      <c r="A119" t="inlineStr">
        <is>
          <t>d2k</t>
        </is>
      </c>
      <c r="B119" t="inlineStr">
        <is>
          <t>ordos_upgrade_lightfactory</t>
        </is>
      </c>
      <c r="C119" t="inlineStr">
        <is>
          <t>Light Factory Upgrade</t>
        </is>
      </c>
      <c r="D119" s="6" t="inlineStr">
        <is>
          <t>ResearchedUpgrade</t>
        </is>
      </c>
      <c r="E119" s="6" t="n"/>
      <c r="F119" s="6" t="n"/>
      <c r="H119" s="6" t="n">
        <v>0.5238</v>
      </c>
      <c r="I119" s="6" t="n">
        <v>1</v>
      </c>
      <c r="J119" s="6" t="n">
        <v>1</v>
      </c>
      <c r="K119" s="6" t="n"/>
      <c r="X119" s="6" t="n">
        <v>1250</v>
      </c>
    </row>
    <row r="120">
      <c r="A120" t="inlineStr">
        <is>
          <t>d2k</t>
        </is>
      </c>
      <c r="B120" t="inlineStr">
        <is>
          <t>ordos_upgrade_rapidfirearmorpiercingbelts</t>
        </is>
      </c>
      <c r="C120" t="inlineStr">
        <is>
          <t>Rapid Fire Armor-Piercing Belts</t>
        </is>
      </c>
      <c r="D120" s="6" t="inlineStr">
        <is>
          <t>TechUpgrade</t>
        </is>
      </c>
      <c r="E120" s="6" t="n"/>
      <c r="F120" s="6" t="n"/>
      <c r="H120" s="6" t="n">
        <v>0.5593</v>
      </c>
      <c r="I120" s="6" t="n">
        <v>1</v>
      </c>
      <c r="J120" s="6" t="n">
        <v>1</v>
      </c>
      <c r="K120" s="6" t="n"/>
      <c r="X120" s="6" t="n">
        <v>7500</v>
      </c>
    </row>
    <row r="121">
      <c r="A121" t="inlineStr">
        <is>
          <t>d2k</t>
        </is>
      </c>
      <c r="B121" t="inlineStr">
        <is>
          <t>ordos_upgrade_shields</t>
        </is>
      </c>
      <c r="C121" t="inlineStr">
        <is>
          <t>Ordos Shields</t>
        </is>
      </c>
      <c r="D121" s="6" t="inlineStr">
        <is>
          <t>TechUpgrade</t>
        </is>
      </c>
      <c r="E121" s="6" t="n"/>
      <c r="F121" s="6" t="n"/>
      <c r="H121" s="6" t="n">
        <v>0.5593</v>
      </c>
      <c r="I121" s="6" t="n">
        <v>1</v>
      </c>
      <c r="J121" s="6" t="n">
        <v>1</v>
      </c>
      <c r="K121" s="6" t="n"/>
      <c r="X121" s="6" t="n">
        <v>7500</v>
      </c>
    </row>
    <row r="122">
      <c r="A122" s="4" t="inlineStr">
        <is>
          <t>PROMOTIONS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t="inlineStr">
        <is>
          <t>d2k</t>
        </is>
      </c>
      <c r="B123" t="inlineStr">
        <is>
          <t>ordos_promotion_banshees</t>
        </is>
      </c>
      <c r="C123" t="inlineStr">
        <is>
          <t>Unlock Banshees</t>
        </is>
      </c>
      <c r="D123" s="6" t="inlineStr">
        <is>
          <t>PromotionUpgrade</t>
        </is>
      </c>
      <c r="E123" s="6" t="n"/>
      <c r="F123" s="6" t="n"/>
      <c r="H123" s="6" t="n">
        <v>1</v>
      </c>
      <c r="I123" s="6" t="n">
        <v>1</v>
      </c>
      <c r="J123" s="6" t="n">
        <v>1</v>
      </c>
      <c r="K123" s="6" t="n"/>
      <c r="X123" s="6" t="n"/>
    </row>
    <row r="124">
      <c r="A124" t="inlineStr">
        <is>
          <t>d2k</t>
        </is>
      </c>
      <c r="B124" t="inlineStr">
        <is>
          <t>ordos_promotion_chemicaltrooper</t>
        </is>
      </c>
      <c r="C124" t="inlineStr">
        <is>
          <t>Unlock Chemical Trooper</t>
        </is>
      </c>
      <c r="D124" s="6" t="inlineStr">
        <is>
          <t>PromotionUpgrade</t>
        </is>
      </c>
      <c r="E124" s="6" t="n"/>
      <c r="F124" s="6" t="n"/>
      <c r="H124" s="6" t="n">
        <v>1</v>
      </c>
      <c r="I124" s="6" t="n">
        <v>1</v>
      </c>
      <c r="J124" s="6" t="n">
        <v>1</v>
      </c>
      <c r="K124" s="6" t="n"/>
      <c r="X124" s="6" t="n"/>
    </row>
    <row r="125">
      <c r="A125" t="inlineStr">
        <is>
          <t>d2k</t>
        </is>
      </c>
      <c r="B125" t="inlineStr">
        <is>
          <t>ordos_promotion_contaminator</t>
        </is>
      </c>
      <c r="C125" t="inlineStr">
        <is>
          <t>Unlock Contaminator</t>
        </is>
      </c>
      <c r="D125" s="6" t="inlineStr">
        <is>
          <t>PromotionUpgrade</t>
        </is>
      </c>
      <c r="E125" s="6" t="n"/>
      <c r="F125" s="6" t="n"/>
      <c r="H125" s="6" t="n">
        <v>1</v>
      </c>
      <c r="I125" s="6" t="n">
        <v>1</v>
      </c>
      <c r="J125" s="6" t="n">
        <v>1</v>
      </c>
      <c r="K125" s="6" t="n"/>
      <c r="X125" s="6" t="n"/>
    </row>
    <row r="126">
      <c r="A126" t="inlineStr">
        <is>
          <t>d2k</t>
        </is>
      </c>
      <c r="B126" t="inlineStr">
        <is>
          <t>ordos_promotion_deviatortank</t>
        </is>
      </c>
      <c r="C126" t="inlineStr">
        <is>
          <t>Unlock Deviator Tank</t>
        </is>
      </c>
      <c r="D126" s="6" t="inlineStr">
        <is>
          <t>PromotionUpgrade</t>
        </is>
      </c>
      <c r="E126" s="6" t="n"/>
      <c r="F126" s="6" t="n"/>
      <c r="H126" s="6" t="n">
        <v>1</v>
      </c>
      <c r="I126" s="6" t="n">
        <v>1</v>
      </c>
      <c r="J126" s="6" t="n">
        <v>1</v>
      </c>
      <c r="K126" s="6" t="n"/>
      <c r="X126" s="6" t="n"/>
    </row>
    <row r="127">
      <c r="A127" t="inlineStr">
        <is>
          <t>d2k</t>
        </is>
      </c>
      <c r="B127" t="inlineStr">
        <is>
          <t>ordos_promotion_dustdrone</t>
        </is>
      </c>
      <c r="C127" t="inlineStr">
        <is>
          <t>Unlock Dust Drone</t>
        </is>
      </c>
      <c r="D127" s="6" t="inlineStr">
        <is>
          <t>PromotionUpgrade</t>
        </is>
      </c>
      <c r="E127" s="6" t="n"/>
      <c r="F127" s="6" t="n"/>
      <c r="H127" s="6" t="n">
        <v>1</v>
      </c>
      <c r="I127" s="6" t="n">
        <v>1</v>
      </c>
      <c r="J127" s="6" t="n">
        <v>1</v>
      </c>
      <c r="K127" s="6" t="n"/>
      <c r="X127" s="6" t="n"/>
    </row>
    <row r="128">
      <c r="A128" t="inlineStr">
        <is>
          <t>d2k</t>
        </is>
      </c>
      <c r="B128" t="inlineStr">
        <is>
          <t>ordos_promotion_laboratorycrawler</t>
        </is>
      </c>
      <c r="C128" t="inlineStr">
        <is>
          <t>Unlock Laboratory Crawler</t>
        </is>
      </c>
      <c r="D128" s="6" t="inlineStr">
        <is>
          <t>PromotionUpgrade</t>
        </is>
      </c>
      <c r="E128" s="6" t="n"/>
      <c r="F128" s="6" t="n"/>
      <c r="H128" s="6" t="n">
        <v>1</v>
      </c>
      <c r="I128" s="6" t="n">
        <v>1</v>
      </c>
      <c r="J128" s="6" t="n">
        <v>1</v>
      </c>
      <c r="K128" s="6" t="n"/>
      <c r="X128" s="6" t="n"/>
    </row>
    <row r="129">
      <c r="A129" t="inlineStr">
        <is>
          <t>d2k</t>
        </is>
      </c>
      <c r="B129" t="inlineStr">
        <is>
          <t>ordos_promotion_lasertank</t>
        </is>
      </c>
      <c r="C129" t="inlineStr">
        <is>
          <t>Unlock Laser Tank</t>
        </is>
      </c>
      <c r="D129" s="6" t="inlineStr">
        <is>
          <t>PromotionUpgrade</t>
        </is>
      </c>
      <c r="E129" s="6" t="n"/>
      <c r="F129" s="6" t="n"/>
      <c r="H129" s="6" t="n">
        <v>1</v>
      </c>
      <c r="I129" s="6" t="n">
        <v>1</v>
      </c>
      <c r="J129" s="6" t="n">
        <v>1</v>
      </c>
      <c r="K129" s="6" t="n"/>
      <c r="X129" s="6" t="n"/>
    </row>
    <row r="130">
      <c r="A130" t="inlineStr">
        <is>
          <t>d2k</t>
        </is>
      </c>
      <c r="B130" t="inlineStr">
        <is>
          <t>ordos_promotion_leecher</t>
        </is>
      </c>
      <c r="C130" t="inlineStr">
        <is>
          <t>Unlock Leecher</t>
        </is>
      </c>
      <c r="D130" s="6" t="inlineStr">
        <is>
          <t>PromotionUpgrade</t>
        </is>
      </c>
      <c r="E130" s="6" t="n"/>
      <c r="F130" s="6" t="n"/>
      <c r="H130" s="6" t="n">
        <v>1</v>
      </c>
      <c r="I130" s="6" t="n">
        <v>1</v>
      </c>
      <c r="J130" s="6" t="n">
        <v>1</v>
      </c>
      <c r="K130" s="6" t="n"/>
      <c r="X130" s="6" t="n"/>
    </row>
    <row r="131">
      <c r="A131" t="inlineStr">
        <is>
          <t>d2k</t>
        </is>
      </c>
      <c r="B131" t="inlineStr">
        <is>
          <t>ordos_promotion_mortartroopers</t>
        </is>
      </c>
      <c r="C131" t="inlineStr">
        <is>
          <t>Unlock Mortar Troopers</t>
        </is>
      </c>
      <c r="D131" s="6" t="inlineStr">
        <is>
          <t>PromotionUpgrade</t>
        </is>
      </c>
      <c r="E131" s="6" t="n"/>
      <c r="F131" s="6" t="n"/>
      <c r="H131" s="6" t="n">
        <v>1</v>
      </c>
      <c r="I131" s="6" t="n">
        <v>1</v>
      </c>
      <c r="J131" s="6" t="n">
        <v>1</v>
      </c>
      <c r="K131" s="6" t="n"/>
      <c r="X131" s="6" t="n"/>
    </row>
    <row r="132">
      <c r="A132" t="inlineStr">
        <is>
          <t>d2k</t>
        </is>
      </c>
      <c r="B132" t="inlineStr">
        <is>
          <t>ordos_promotion_python</t>
        </is>
      </c>
      <c r="C132" t="inlineStr">
        <is>
          <t>Unlock Python</t>
        </is>
      </c>
      <c r="D132" s="6" t="inlineStr">
        <is>
          <t>PromotionUpgrade</t>
        </is>
      </c>
      <c r="E132" s="6" t="n"/>
      <c r="F132" s="6" t="n"/>
      <c r="H132" s="6" t="n">
        <v>1</v>
      </c>
      <c r="I132" s="6" t="n">
        <v>1</v>
      </c>
      <c r="J132" s="6" t="n">
        <v>1</v>
      </c>
      <c r="K132" s="6" t="n"/>
      <c r="X132" s="6" t="n"/>
    </row>
    <row r="133">
      <c r="A133" t="inlineStr">
        <is>
          <t>d2k</t>
        </is>
      </c>
      <c r="B133" t="inlineStr">
        <is>
          <t>ordos_promotion_stealthraider</t>
        </is>
      </c>
      <c r="C133" t="inlineStr">
        <is>
          <t>Unlock Stealth Raider</t>
        </is>
      </c>
      <c r="D133" s="6" t="inlineStr">
        <is>
          <t>PromotionUpgrade</t>
        </is>
      </c>
      <c r="E133" s="6" t="n"/>
      <c r="F133" s="6" t="n"/>
      <c r="H133" s="6" t="n">
        <v>1</v>
      </c>
      <c r="I133" s="6" t="n">
        <v>1</v>
      </c>
      <c r="J133" s="6" t="n">
        <v>1</v>
      </c>
      <c r="K133" s="6" t="n"/>
      <c r="X133" s="6" t="n"/>
    </row>
    <row r="134">
      <c r="A134" t="inlineStr">
        <is>
          <t>d2k</t>
        </is>
      </c>
      <c r="B134" t="inlineStr">
        <is>
          <t>ordos_promotion_wraith</t>
        </is>
      </c>
      <c r="C134" t="inlineStr">
        <is>
          <t>Unlock Wraith</t>
        </is>
      </c>
      <c r="D134" s="6" t="inlineStr">
        <is>
          <t>PromotionUpgrade</t>
        </is>
      </c>
      <c r="E134" s="6" t="n"/>
      <c r="F134" s="6" t="n"/>
      <c r="H134" s="6" t="n">
        <v>1</v>
      </c>
      <c r="I134" s="6" t="n">
        <v>1</v>
      </c>
      <c r="J134" s="6" t="n">
        <v>1</v>
      </c>
      <c r="K134" s="6" t="n"/>
      <c r="X134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heavy_inf.ixian</t>
        </is>
      </c>
      <c r="C3" t="inlineStr">
        <is>
          <t>Rashidan</t>
        </is>
      </c>
      <c r="D3" s="6" t="inlineStr">
        <is>
          <t>MeleeInfantry</t>
        </is>
      </c>
      <c r="E3" s="6" t="n">
        <v>32000</v>
      </c>
      <c r="F3" s="6" t="n">
        <v>50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K3" s="6" t="n"/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400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RashidanGun</t>
        </is>
      </c>
      <c r="C4" s="7" t="inlineStr">
        <is>
          <t>Armament@PRIMARY</t>
        </is>
      </c>
      <c r="L4" s="6" t="n">
        <v>8000</v>
      </c>
      <c r="M4" s="6" t="n">
        <v>69</v>
      </c>
      <c r="N4" s="6" t="n">
        <v>4</v>
      </c>
      <c r="O4" s="6" t="n">
        <v>0</v>
      </c>
      <c r="P4" s="6" t="n">
        <v>3800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^LightMissile, ^MediumMissile, ^SmallArms, ^Chaingun</t>
        </is>
      </c>
    </row>
    <row r="5">
      <c r="B5" s="7" t="inlineStr">
        <is>
          <t xml:space="preserve">  ↳ RashidanGun_upgrade</t>
        </is>
      </c>
      <c r="C5" s="7" t="inlineStr">
        <is>
          <t>Armament@Upgrade</t>
        </is>
      </c>
      <c r="L5" s="6" t="n">
        <v>16000</v>
      </c>
      <c r="M5" s="6" t="n">
        <v>69</v>
      </c>
      <c r="N5" s="6" t="n">
        <v>4</v>
      </c>
      <c r="O5" s="6" t="n">
        <v>0</v>
      </c>
      <c r="P5" s="6" t="n">
        <v>3800</v>
      </c>
      <c r="Q5" s="6" t="n">
        <v>1.25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^Warhead_CannonHE_Heavy, ^Warhead_MissileHE_Heavy</t>
        </is>
      </c>
    </row>
    <row r="6">
      <c r="B6" s="7" t="inlineStr">
        <is>
          <t xml:space="preserve">  ↳ RashidanGun</t>
        </is>
      </c>
      <c r="C6" s="7" t="inlineStr">
        <is>
          <t>Armament@GARRISONED</t>
        </is>
      </c>
      <c r="L6" s="6" t="n">
        <v>8000</v>
      </c>
      <c r="M6" s="6" t="n">
        <v>69</v>
      </c>
      <c r="N6" s="6" t="n">
        <v>4</v>
      </c>
      <c r="O6" s="6" t="n">
        <v>0</v>
      </c>
      <c r="P6" s="6" t="n">
        <v>3800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^LightMissile, ^MediumMissile, ^SmallArms, ^Chaingun</t>
        </is>
      </c>
    </row>
    <row r="7">
      <c r="B7" s="7" t="inlineStr">
        <is>
          <t xml:space="preserve">  ↳ RashidanGun_upgrade</t>
        </is>
      </c>
      <c r="C7" s="7" t="inlineStr">
        <is>
          <t>Armament@UpgradeGARRISONED</t>
        </is>
      </c>
      <c r="L7" s="6" t="n">
        <v>16000</v>
      </c>
      <c r="M7" s="6" t="n">
        <v>69</v>
      </c>
      <c r="N7" s="6" t="n">
        <v>4</v>
      </c>
      <c r="O7" s="6" t="n">
        <v>0</v>
      </c>
      <c r="P7" s="6" t="n">
        <v>3800</v>
      </c>
      <c r="Q7" s="6" t="n">
        <v>1.25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^Warhead_CannonHE_Heavy, ^Warhead_MissileHE_Heavy</t>
        </is>
      </c>
    </row>
    <row r="8">
      <c r="A8" t="inlineStr">
        <is>
          <t>d2k</t>
        </is>
      </c>
      <c r="B8" t="inlineStr">
        <is>
          <t>ixian_lightinfantry</t>
        </is>
      </c>
      <c r="C8" t="inlineStr">
        <is>
          <t>Ixian Light Infantry</t>
        </is>
      </c>
      <c r="D8" s="6" t="inlineStr">
        <is>
          <t>ScoutInfantry</t>
        </is>
      </c>
      <c r="E8" s="6" t="n">
        <v>32000</v>
      </c>
      <c r="F8" s="6" t="n">
        <v>56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K8" s="6" t="n">
        <v>0.0113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(((E8/20000)+(F8/60)+(S8/60)+((P8/5000)*J8))*100/4+(((E8/20000)*(F8/60))+(((P8/5000)*J8)*(S8/60)))*100/2+((E8/20000)*(F8/60)*((P8/5000)*J8)*(S8/60))*100)*(H8/1.0)/3</f>
        <v/>
      </c>
      <c r="X8" s="6" t="n">
        <v>150</v>
      </c>
      <c r="Y8">
        <f>IFERROR(W8-X8,"")</f>
        <v/>
      </c>
      <c r="Z8">
        <f>IFERROR(ABS(Y8)/MAX(X8,1),"")</f>
        <v/>
      </c>
      <c r="AA8">
        <f>IFERROR(ROUND(((3*X8-(((E8/20000)+(F8/60)+(S8/60))*100/4+((E8/20000)*(F8/60))*100/2)*(H8/1.0))/(100/4+((S8/60))*100/2+((E8/20000)*(F8/60)*(S8/60))*100)*(H8/1.0)*5000)/J8,-1),"")</f>
        <v/>
      </c>
    </row>
    <row r="9">
      <c r="B9" s="7" t="inlineStr">
        <is>
          <t xml:space="preserve">  ↳ light_inf_lmg</t>
        </is>
      </c>
      <c r="C9" s="7" t="inlineStr">
        <is>
          <t>Armament@PRIMARY</t>
        </is>
      </c>
      <c r="L9" s="6" t="n">
        <v>4000</v>
      </c>
      <c r="M9" s="6" t="n">
        <v>20</v>
      </c>
      <c r="N9" s="6" t="n">
        <v>1</v>
      </c>
      <c r="O9" s="6" t="n"/>
      <c r="P9" s="6" t="n">
        <v>5475</v>
      </c>
      <c r="Q9" s="6" t="n">
        <v>0.875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^Warhead_Bullet_Medium, ^Warhead_Bullet_Light</t>
        </is>
      </c>
    </row>
    <row r="10">
      <c r="B10" s="7" t="inlineStr">
        <is>
          <t xml:space="preserve">  ↳ light_inf_lmg_upgrade</t>
        </is>
      </c>
      <c r="C10" s="7" t="inlineStr">
        <is>
          <t>Armament@Upgrade</t>
        </is>
      </c>
      <c r="L10" s="6" t="n">
        <v>6000</v>
      </c>
      <c r="M10" s="6" t="n">
        <v>20</v>
      </c>
      <c r="N10" s="6" t="n">
        <v>1</v>
      </c>
      <c r="O10" s="6" t="n"/>
      <c r="P10" s="6" t="n">
        <v>4500</v>
      </c>
      <c r="Q10" s="6" t="n">
        <v>1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^Warhead_Bullet_Medium, ^Warhead_Bullet_Light, ^Warhead_CannonHE_Heavy</t>
        </is>
      </c>
    </row>
    <row r="11">
      <c r="B11" s="7" t="inlineStr">
        <is>
          <t xml:space="preserve">  ↳ light_inf_lmg</t>
        </is>
      </c>
      <c r="C11" s="7" t="inlineStr">
        <is>
          <t>Armament@GARRISONED</t>
        </is>
      </c>
      <c r="L11" s="6" t="n">
        <v>4000</v>
      </c>
      <c r="M11" s="6" t="n">
        <v>20</v>
      </c>
      <c r="N11" s="6" t="n">
        <v>1</v>
      </c>
      <c r="O11" s="6" t="n"/>
      <c r="P11" s="6" t="n">
        <v>5475</v>
      </c>
      <c r="Q11" s="6" t="n">
        <v>0.875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^Warhead_Bullet_Medium, ^Warhead_Bullet_Light</t>
        </is>
      </c>
    </row>
    <row r="12">
      <c r="B12" s="7" t="inlineStr">
        <is>
          <t xml:space="preserve">  ↳ light_inf_lmg_upgrade</t>
        </is>
      </c>
      <c r="C12" s="7" t="inlineStr">
        <is>
          <t>Armament@UpgradeGARRISONED</t>
        </is>
      </c>
      <c r="L12" s="6" t="n">
        <v>6000</v>
      </c>
      <c r="M12" s="6" t="n">
        <v>20</v>
      </c>
      <c r="N12" s="6" t="n">
        <v>1</v>
      </c>
      <c r="O12" s="6" t="n"/>
      <c r="P12" s="6" t="n">
        <v>4500</v>
      </c>
      <c r="Q12" s="6" t="n">
        <v>1</v>
      </c>
      <c r="R12">
        <f>M12+IF(N12&gt;1,N(O12)*(N12-1),0)</f>
        <v/>
      </c>
      <c r="S12">
        <f>IFERROR(L12*MAX(N12,1)/R12*IF(ISBLANK(K8),1,K8),0)</f>
        <v/>
      </c>
      <c r="AB12" s="7" t="inlineStr">
        <is>
          <t>^Warhead_Bullet_Medium, ^Warhead_Bullet_Light, ^Warhead_CannonHE_Heavy</t>
        </is>
      </c>
    </row>
    <row r="13">
      <c r="A13" t="inlineStr">
        <is>
          <t>d2k</t>
        </is>
      </c>
      <c r="B13" t="inlineStr">
        <is>
          <t>ixian_rockettrooper</t>
        </is>
      </c>
      <c r="C13" t="inlineStr">
        <is>
          <t>Ixian Rocket Trooper</t>
        </is>
      </c>
      <c r="D13" s="6" t="inlineStr">
        <is>
          <t>AntiTankAntiAirInfantry</t>
        </is>
      </c>
      <c r="E13" s="6" t="n">
        <v>12000</v>
      </c>
      <c r="F13" s="6" t="n">
        <v>48</v>
      </c>
      <c r="G13" t="inlineStr">
        <is>
          <t>Flak</t>
        </is>
      </c>
      <c r="H13" s="6" t="n">
        <v>1</v>
      </c>
      <c r="I13" s="6" t="n">
        <v>1</v>
      </c>
      <c r="J13" s="6" t="n">
        <v>1</v>
      </c>
      <c r="K13" s="6" t="n"/>
      <c r="P13">
        <f>MAX(P14)</f>
        <v/>
      </c>
      <c r="S13">
        <f>S14</f>
        <v/>
      </c>
      <c r="T13">
        <f>(E13/100000+F13/100+(P13/1000)*J13/5+S13/200)*200*I13*H13</f>
        <v/>
      </c>
      <c r="U13">
        <f>((E13*F13/25000)+((P13/1000)*J13*S13/2.5))*I13*H13</f>
        <v/>
      </c>
      <c r="V13">
        <f>(E13*F13*(P13/1000)*J13*S13*I13*H13)/12500000</f>
        <v/>
      </c>
      <c r="W13">
        <f>(T13+U13+V13)/3</f>
        <v/>
      </c>
      <c r="X13" s="6" t="n">
        <v>300</v>
      </c>
      <c r="Y13">
        <f>IFERROR(W13-X13,"")</f>
        <v/>
      </c>
      <c r="Z13">
        <f>IFERROR(ABS(Y13)/MAX(X13,1),"")</f>
        <v/>
      </c>
      <c r="AA13">
        <f>IFERROR((X13-(((E13/100000+F13/100+S13/200)*200*I13*H13)+((E13*F13/25000)*I13*H13))/3)/(((J13/5)*200*I13*H13)+((J13*S13/2.5)*I13*H13)+((E13*F13*J13*S13*I13*H13)/12500000))/3*1000,"")</f>
        <v/>
      </c>
    </row>
    <row r="14">
      <c r="B14" s="7" t="inlineStr">
        <is>
          <t xml:space="preserve">  ↳ D2K_Rocket_Trooper</t>
        </is>
      </c>
      <c r="C14" s="7" t="inlineStr">
        <is>
          <t>Armament</t>
        </is>
      </c>
      <c r="L14" s="6" t="n">
        <v>24000</v>
      </c>
      <c r="M14" s="6" t="n">
        <v>64</v>
      </c>
      <c r="N14" s="6" t="n">
        <v>1</v>
      </c>
      <c r="O14" s="6" t="n"/>
      <c r="P14" s="6" t="n">
        <v>6185</v>
      </c>
      <c r="Q14" s="6" t="n">
        <v>1</v>
      </c>
      <c r="R14">
        <f>M14+IF(N14&gt;1,N(O14)*(N14-1),0)</f>
        <v/>
      </c>
      <c r="S14">
        <f>IFERROR(L14*MAX(N14,1)/R14*IF(ISBLANK(K13),1,K13),0)</f>
        <v/>
      </c>
      <c r="AB14" s="7" t="inlineStr">
        <is>
          <t>^Warhead_MissileAP_Light, ^Warhead_MissileAP_Medium, ^Warhead_MissileAP_Heavy</t>
        </is>
      </c>
    </row>
    <row r="15">
      <c r="B15" s="7" t="inlineStr">
        <is>
          <t xml:space="preserve">  ↳ D2K_Rocket_Trooper</t>
        </is>
      </c>
      <c r="C15" s="7" t="inlineStr">
        <is>
          <t>Armament@garrisoned</t>
        </is>
      </c>
      <c r="L15" s="6" t="n">
        <v>24000</v>
      </c>
      <c r="M15" s="6" t="n">
        <v>64</v>
      </c>
      <c r="N15" s="6" t="n">
        <v>1</v>
      </c>
      <c r="O15" s="6" t="n"/>
      <c r="P15" s="6" t="n">
        <v>6185</v>
      </c>
      <c r="Q15" s="6" t="n">
        <v>1</v>
      </c>
      <c r="R15">
        <f>M15+IF(N15&gt;1,N(O15)*(N15-1),0)</f>
        <v/>
      </c>
      <c r="S15">
        <f>IFERROR(L15*MAX(N15,1)/R15*IF(ISBLANK(K13),1,K13),0)</f>
        <v/>
      </c>
      <c r="AB15" s="7" t="inlineStr">
        <is>
          <t>^Warhead_MissileAP_Light, ^Warhead_MissileAP_Medium, ^Warhead_MissileAP_Heavy</t>
        </is>
      </c>
    </row>
    <row r="16">
      <c r="A16" t="inlineStr">
        <is>
          <t>d2k</t>
        </is>
      </c>
      <c r="B16" t="inlineStr">
        <is>
          <t>ixian_shockinfantry</t>
        </is>
      </c>
      <c r="C16" t="inlineStr">
        <is>
          <t>Shock Infantry</t>
        </is>
      </c>
      <c r="D16" s="6" t="inlineStr">
        <is>
          <t>HeavyInfantry</t>
        </is>
      </c>
      <c r="E16" s="6" t="n">
        <v>36000</v>
      </c>
      <c r="F16" s="6" t="n">
        <v>45</v>
      </c>
      <c r="G16" t="inlineStr">
        <is>
          <t>Plate</t>
        </is>
      </c>
      <c r="H16" s="6" t="n">
        <v>0.5238</v>
      </c>
      <c r="I16" s="6" t="n">
        <v>1</v>
      </c>
      <c r="J16" s="6" t="n">
        <v>1</v>
      </c>
      <c r="K16" s="6" t="n"/>
      <c r="P16">
        <f>MAX(P17)</f>
        <v/>
      </c>
      <c r="S16">
        <f>S17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500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D2K_ShockGunInf</t>
        </is>
      </c>
      <c r="C17" s="7" t="inlineStr">
        <is>
          <t>Armament@PRIMARY</t>
        </is>
      </c>
      <c r="L17" s="6" t="n">
        <v>18000</v>
      </c>
      <c r="M17" s="6" t="n">
        <v>45</v>
      </c>
      <c r="N17" s="6" t="n">
        <v>1</v>
      </c>
      <c r="O17" s="6" t="n"/>
      <c r="P17" s="6" t="n">
        <v>5818</v>
      </c>
      <c r="Q17" s="6" t="n">
        <v>1.25</v>
      </c>
      <c r="R17">
        <f>M17+IF(N17&gt;1,N(O17)*(N17-1),0)</f>
        <v/>
      </c>
      <c r="S17">
        <f>IFERROR(L17*MAX(N17,1)/R17*IF(ISBLANK(K16),1,K16),0)</f>
        <v/>
      </c>
      <c r="AB17" s="7" t="inlineStr">
        <is>
          <t>^Warhead_Storm_Heavy</t>
        </is>
      </c>
    </row>
    <row r="18">
      <c r="B18" s="7" t="inlineStr">
        <is>
          <t xml:space="preserve">  ↳ D2K_ShockGunInf</t>
        </is>
      </c>
      <c r="C18" s="7" t="inlineStr">
        <is>
          <t>Armament@GARRISONED</t>
        </is>
      </c>
      <c r="L18" s="6" t="n">
        <v>18000</v>
      </c>
      <c r="M18" s="6" t="n">
        <v>45</v>
      </c>
      <c r="N18" s="6" t="n">
        <v>1</v>
      </c>
      <c r="O18" s="6" t="n"/>
      <c r="P18" s="6" t="n">
        <v>5818</v>
      </c>
      <c r="Q18" s="6" t="n">
        <v>1.25</v>
      </c>
      <c r="R18">
        <f>M18+IF(N18&gt;1,N(O18)*(N18-1),0)</f>
        <v/>
      </c>
      <c r="S18">
        <f>IFERROR(L18*MAX(N18,1)/R18*IF(ISBLANK(K16),1,K16),0)</f>
        <v/>
      </c>
      <c r="AB18" s="7" t="inlineStr">
        <is>
          <t>^Warhead_Storm_Heavy</t>
        </is>
      </c>
    </row>
    <row r="19">
      <c r="A19" t="inlineStr">
        <is>
          <t>d2k</t>
        </is>
      </c>
      <c r="B19" t="inlineStr">
        <is>
          <t>ixian_storminfantry</t>
        </is>
      </c>
      <c r="C19" t="inlineStr">
        <is>
          <t>Storm Infantry</t>
        </is>
      </c>
      <c r="D19" s="6" t="inlineStr">
        <is>
          <t>HeavyInfantry</t>
        </is>
      </c>
      <c r="E19" s="6" t="n">
        <v>44000</v>
      </c>
      <c r="F19" s="6" t="n">
        <v>44</v>
      </c>
      <c r="G19" t="inlineStr">
        <is>
          <t>Plate</t>
        </is>
      </c>
      <c r="H19" s="6" t="n">
        <v>0.5238</v>
      </c>
      <c r="I19" s="6" t="n">
        <v>1</v>
      </c>
      <c r="J19" s="6" t="n">
        <v>1</v>
      </c>
      <c r="K19" s="6" t="n"/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800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D2K_StormGunInf</t>
        </is>
      </c>
      <c r="C20" s="7" t="inlineStr">
        <is>
          <t>Armament@PRIMARY</t>
        </is>
      </c>
      <c r="L20" s="6" t="n">
        <v>24000</v>
      </c>
      <c r="M20" s="6" t="n">
        <v>66</v>
      </c>
      <c r="N20" s="6" t="n">
        <v>1</v>
      </c>
      <c r="O20" s="6" t="n"/>
      <c r="P20" s="6" t="n">
        <v>6275</v>
      </c>
      <c r="Q20" s="6" t="n">
        <v>1.25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^Warhead_Storm_Heavy</t>
        </is>
      </c>
    </row>
    <row r="21">
      <c r="B21" s="7" t="inlineStr">
        <is>
          <t xml:space="preserve">  ↳ D2K_StormGunInf</t>
        </is>
      </c>
      <c r="C21" s="7" t="inlineStr">
        <is>
          <t>Armament@GARRISONED</t>
        </is>
      </c>
      <c r="L21" s="6" t="n">
        <v>24000</v>
      </c>
      <c r="M21" s="6" t="n">
        <v>66</v>
      </c>
      <c r="N21" s="6" t="n">
        <v>1</v>
      </c>
      <c r="O21" s="6" t="n"/>
      <c r="P21" s="6" t="n">
        <v>6275</v>
      </c>
      <c r="Q21" s="6" t="n">
        <v>1.25</v>
      </c>
      <c r="R21">
        <f>M21+IF(N21&gt;1,N(O21)*(N21-1),0)</f>
        <v/>
      </c>
      <c r="S21">
        <f>IFERROR(L21*MAX(N21,1)/R21*IF(ISBLANK(K19),1,K19),0)</f>
        <v/>
      </c>
      <c r="AB21" s="7" t="inlineStr">
        <is>
          <t>^Warhead_Storm_Heavy</t>
        </is>
      </c>
    </row>
    <row r="22">
      <c r="A22" t="inlineStr">
        <is>
          <t>d2k</t>
        </is>
      </c>
      <c r="B22" t="inlineStr">
        <is>
          <t>ixian_twinrockettrooper</t>
        </is>
      </c>
      <c r="C22" t="inlineStr">
        <is>
          <t>Twin Rocket Trooper</t>
        </is>
      </c>
      <c r="D22" s="6" t="inlineStr">
        <is>
          <t>AntiTankAntiAirInfantry</t>
        </is>
      </c>
      <c r="E22" s="6" t="n">
        <v>24000</v>
      </c>
      <c r="F22" s="6" t="n">
        <v>48</v>
      </c>
      <c r="G22" t="inlineStr">
        <is>
          <t>Flak</t>
        </is>
      </c>
      <c r="H22" s="6" t="n">
        <v>1</v>
      </c>
      <c r="I22" s="6" t="n">
        <v>0.5</v>
      </c>
      <c r="J22" s="6" t="n">
        <v>1</v>
      </c>
      <c r="K22" s="6" t="n"/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600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D2K_Rocket_Trooper1</t>
        </is>
      </c>
      <c r="C23" s="7" t="inlineStr">
        <is>
          <t>Armament</t>
        </is>
      </c>
      <c r="L23" s="6" t="n">
        <v>24000</v>
      </c>
      <c r="M23" s="6" t="n">
        <v>64</v>
      </c>
      <c r="N23" s="6" t="n">
        <v>1</v>
      </c>
      <c r="O23" s="6" t="n"/>
      <c r="P23" s="6" t="n">
        <v>6502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^Warhead_Flak_Medium, ^Warhead_MissileAP_Light, ^Warhead_MissileAP_Heavy</t>
        </is>
      </c>
    </row>
    <row r="24">
      <c r="B24" s="7" t="inlineStr">
        <is>
          <t xml:space="preserve">  ↳ D2K_Rocket_Trooper2</t>
        </is>
      </c>
      <c r="C24" s="7" t="inlineStr">
        <is>
          <t>Armament@SECONDARY</t>
        </is>
      </c>
      <c r="L24" s="6" t="n">
        <v>24000</v>
      </c>
      <c r="M24" s="6" t="n">
        <v>64</v>
      </c>
      <c r="N24" s="6" t="n">
        <v>1</v>
      </c>
      <c r="O24" s="6" t="n"/>
      <c r="P24" s="6" t="n">
        <v>6502</v>
      </c>
      <c r="Q24" s="6" t="n">
        <v>1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^Warhead_Demolition_Light, ^Warhead_Railgun_Heavy, ^Warhead_CannonHE_Medium</t>
        </is>
      </c>
    </row>
    <row r="25">
      <c r="B25" s="7" t="inlineStr">
        <is>
          <t xml:space="preserve">  ↳ D2K_Rocket_Trooper1</t>
        </is>
      </c>
      <c r="C25" s="7" t="inlineStr">
        <is>
          <t>Armament@garrisoned</t>
        </is>
      </c>
      <c r="L25" s="6" t="n">
        <v>24000</v>
      </c>
      <c r="M25" s="6" t="n">
        <v>64</v>
      </c>
      <c r="N25" s="6" t="n">
        <v>1</v>
      </c>
      <c r="O25" s="6" t="n"/>
      <c r="P25" s="6" t="n">
        <v>6502</v>
      </c>
      <c r="Q25" s="6" t="n">
        <v>1</v>
      </c>
      <c r="R25">
        <f>M25+IF(N25&gt;1,N(O25)*(N25-1),0)</f>
        <v/>
      </c>
      <c r="S25">
        <f>IFERROR(L25*MAX(N25,1)/R25*IF(ISBLANK(K22),1,K22),0)</f>
        <v/>
      </c>
      <c r="AB25" s="7" t="inlineStr">
        <is>
          <t>^Warhead_Flak_Medium, ^Warhead_MissileAP_Light, ^Warhead_MissileAP_Heavy</t>
        </is>
      </c>
    </row>
    <row r="26">
      <c r="B26" s="7" t="inlineStr">
        <is>
          <t xml:space="preserve">  ↳ D2K_Rocket_Trooper2</t>
        </is>
      </c>
      <c r="C26" s="7" t="inlineStr">
        <is>
          <t>Armament@SECONDARYgarrisoned</t>
        </is>
      </c>
      <c r="L26" s="6" t="n">
        <v>24000</v>
      </c>
      <c r="M26" s="6" t="n">
        <v>64</v>
      </c>
      <c r="N26" s="6" t="n">
        <v>1</v>
      </c>
      <c r="O26" s="6" t="n"/>
      <c r="P26" s="6" t="n">
        <v>6502</v>
      </c>
      <c r="Q26" s="6" t="n">
        <v>1</v>
      </c>
      <c r="R26">
        <f>M26+IF(N26&gt;1,N(O26)*(N26-1),0)</f>
        <v/>
      </c>
      <c r="S26">
        <f>IFERROR(L26*MAX(N26,1)/R26*IF(ISBLANK(K22),1,K22),0)</f>
        <v/>
      </c>
      <c r="AB26" s="7" t="inlineStr">
        <is>
          <t>^Warhead_Demolition_Light, ^Warhead_Railgun_Heavy, ^Warhead_CannonHE_Medium</t>
        </is>
      </c>
    </row>
    <row r="27">
      <c r="A27" s="4" t="inlineStr">
        <is>
          <t>VEHICLES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t="inlineStr">
        <is>
          <t>d2k</t>
        </is>
      </c>
      <c r="B28" t="inlineStr">
        <is>
          <t>apparition.ixian</t>
        </is>
      </c>
      <c r="C28" t="inlineStr">
        <is>
          <t>Apparition</t>
        </is>
      </c>
      <c r="D28" s="6" t="inlineStr">
        <is>
          <t>MeleeInfantry</t>
        </is>
      </c>
      <c r="E28" s="6" t="n">
        <v>37500</v>
      </c>
      <c r="F28" s="6" t="n">
        <v>160</v>
      </c>
      <c r="G28" t="inlineStr">
        <is>
          <t>Plate</t>
        </is>
      </c>
      <c r="H28" s="6" t="n">
        <v>1</v>
      </c>
      <c r="I28" s="6" t="n">
        <v>1</v>
      </c>
      <c r="J28" s="6" t="n">
        <v>1</v>
      </c>
      <c r="K28" s="6" t="n"/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2000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d2k_basq</t>
        </is>
      </c>
      <c r="C29" s="7" t="inlineStr">
        <is>
          <t>Armament</t>
        </is>
      </c>
      <c r="L29" s="6" t="n">
        <v>32000</v>
      </c>
      <c r="M29" s="6" t="n">
        <v>25</v>
      </c>
      <c r="N29" s="6" t="n">
        <v>1</v>
      </c>
      <c r="O29" s="6" t="n"/>
      <c r="P29" s="6" t="n">
        <v>3333</v>
      </c>
      <c r="Q29" s="6" t="n">
        <v>0.75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^Warhead_Flak_Light</t>
        </is>
      </c>
    </row>
    <row r="30">
      <c r="B30" s="7" t="inlineStr">
        <is>
          <t xml:space="preserve">  ↳ d2k_basq_AA</t>
        </is>
      </c>
      <c r="C30" s="7" t="inlineStr">
        <is>
          <t>Armament@aa</t>
        </is>
      </c>
      <c r="L30" s="6" t="n">
        <v>32000</v>
      </c>
      <c r="M30" s="6" t="n">
        <v>25</v>
      </c>
      <c r="N30" s="6" t="n">
        <v>1</v>
      </c>
      <c r="O30" s="6" t="n"/>
      <c r="P30" s="6" t="n">
        <v>6666</v>
      </c>
      <c r="Q30" s="6" t="n">
        <v>0.75</v>
      </c>
      <c r="R30">
        <f>M30+IF(N30&gt;1,N(O30)*(N30-1),0)</f>
        <v/>
      </c>
      <c r="S30">
        <f>IFERROR(L30*MAX(N30,1)/R30*IF(ISBLANK(K28),1,K28),0)</f>
        <v/>
      </c>
      <c r="AB30" s="7" t="inlineStr">
        <is>
          <t>^Warhead_Flak_Light</t>
        </is>
      </c>
    </row>
    <row r="31">
      <c r="A31" t="inlineStr">
        <is>
          <t>d2k</t>
        </is>
      </c>
      <c r="B31" t="inlineStr">
        <is>
          <t>duelist_tank.ixian</t>
        </is>
      </c>
      <c r="C31" t="inlineStr">
        <is>
          <t>Ix Duelist Tank</t>
        </is>
      </c>
      <c r="D31" s="6" t="inlineStr">
        <is>
          <t>HighTechTank</t>
        </is>
      </c>
      <c r="E31" s="6" t="n">
        <v>240000</v>
      </c>
      <c r="F31" s="6" t="n">
        <v>45</v>
      </c>
      <c r="G31" t="inlineStr">
        <is>
          <t>Superheavy</t>
        </is>
      </c>
      <c r="H31" s="6" t="n">
        <v>0.75</v>
      </c>
      <c r="I31" s="6" t="n">
        <v>1</v>
      </c>
      <c r="J31" s="6" t="n">
        <v>1</v>
      </c>
      <c r="K31" s="6" t="n">
        <v>0.005</v>
      </c>
      <c r="P31">
        <f>MAX(P32,P33,P34)</f>
        <v/>
      </c>
      <c r="S31">
        <f>S32+S33+S34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(((E31/700000)+(F31/65)+(S31/2000)+((P31/6500)*J31))*2000/4+(((E31/700000)*(F31/65))+(((P31/6500)*J31)*(S31/2000)))*2000/2+((E31/700000)*(F31/65)*((P31/6500)*J31)*(S31/2000))*2000)*(H31/0.75)/3</f>
        <v/>
      </c>
      <c r="X31" s="6" t="n">
        <v>1800</v>
      </c>
      <c r="Y31">
        <f>IFERROR(W31-X31,"")</f>
        <v/>
      </c>
      <c r="Z31">
        <f>IFERROR(ABS(Y31)/MAX(X31,1),"")</f>
        <v/>
      </c>
      <c r="AA31">
        <f>IFERROR(ROUND(((3*X31-(((E31/700000)+(F31/65)+(S31/2000))*2000/4+((E31/700000)*(F31/65))*2000/2)*(H31/0.75))/(2000/4+((S31/2000))*2000/2+((E31/700000)*(F31/65)*(S31/2000))*2000)*(H31/0.75)*6500)/J31,-1),"")</f>
        <v/>
      </c>
    </row>
    <row r="32">
      <c r="B32" s="7" t="inlineStr">
        <is>
          <t xml:space="preserve">  ↳ DuelistTankCannon</t>
        </is>
      </c>
      <c r="C32" s="7" t="inlineStr">
        <is>
          <t>Armament</t>
        </is>
      </c>
      <c r="L32" s="6" t="n">
        <v>84000</v>
      </c>
      <c r="M32" s="6" t="n">
        <v>140</v>
      </c>
      <c r="N32" s="6" t="n">
        <v>1</v>
      </c>
      <c r="O32" s="6" t="n"/>
      <c r="P32" s="6" t="n">
        <v>7000</v>
      </c>
      <c r="Q32" s="6" t="n">
        <v>1.125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^Warhead_CannonHE_Heavy, ^Warhead_CannonHE_Medium</t>
        </is>
      </c>
    </row>
    <row r="33">
      <c r="B33" s="7" t="inlineStr">
        <is>
          <t xml:space="preserve">  ↳ HMG_Duelist</t>
        </is>
      </c>
      <c r="C33" s="7" t="inlineStr">
        <is>
          <t>Armament@Guns</t>
        </is>
      </c>
      <c r="L33" s="6" t="n">
        <v>12000</v>
      </c>
      <c r="M33" s="6" t="n">
        <v>64</v>
      </c>
      <c r="N33" s="6" t="n">
        <v>4</v>
      </c>
      <c r="O33" s="6" t="n">
        <v>2</v>
      </c>
      <c r="P33" s="6" t="n">
        <v>7000</v>
      </c>
      <c r="Q33" s="6" t="n">
        <v>1</v>
      </c>
      <c r="R33">
        <f>M33+IF(N33&gt;1,N(O33)*(N33-1),0)</f>
        <v/>
      </c>
      <c r="S33">
        <f>IFERROR(L33*MAX(N33,1)/R33*IF(ISBLANK(K31),1,K31),0)</f>
        <v/>
      </c>
      <c r="AB33" s="7" t="inlineStr">
        <is>
          <t>^LightMissile, ^Grenade, ^SmallArms, ^MediumMissile, ^FlakWeapon, ^Chaingun</t>
        </is>
      </c>
    </row>
    <row r="34">
      <c r="B34" s="7" t="inlineStr">
        <is>
          <t xml:space="preserve">  ↳ HMG_Duelist_upgrade</t>
        </is>
      </c>
      <c r="C34" s="7" t="inlineStr">
        <is>
          <t>Armament@Upgrade</t>
        </is>
      </c>
      <c r="L34" s="6" t="n">
        <v>18000</v>
      </c>
      <c r="M34" s="6" t="n">
        <v>64</v>
      </c>
      <c r="N34" s="6" t="n">
        <v>4</v>
      </c>
      <c r="O34" s="6" t="n">
        <v>2</v>
      </c>
      <c r="P34" s="6" t="n">
        <v>7000</v>
      </c>
      <c r="Q34" s="6" t="n">
        <v>1.25</v>
      </c>
      <c r="R34">
        <f>M34+IF(N34&gt;1,N(O34)*(N34-1),0)</f>
        <v/>
      </c>
      <c r="S34">
        <f>IFERROR(L34*MAX(N34,1)/R34*IF(ISBLANK(K31),1,K31),0)</f>
        <v/>
      </c>
      <c r="AB34" s="7" t="inlineStr">
        <is>
          <t>^Warhead_CannonHE_Heavy</t>
        </is>
      </c>
    </row>
    <row r="35">
      <c r="A35" t="inlineStr">
        <is>
          <t>d2k</t>
        </is>
      </c>
      <c r="B35" t="inlineStr">
        <is>
          <t>heavy_rocket_raider.ixian</t>
        </is>
      </c>
      <c r="C35" t="inlineStr">
        <is>
          <t>Heavy Ix Raider</t>
        </is>
      </c>
      <c r="D35" s="6" t="inlineStr">
        <is>
          <t>SupportVehicle</t>
        </is>
      </c>
      <c r="E35" s="6" t="n">
        <v>85000</v>
      </c>
      <c r="F35" s="6" t="n">
        <v>140</v>
      </c>
      <c r="G35" t="inlineStr">
        <is>
          <t>Heavy</t>
        </is>
      </c>
      <c r="H35" s="6" t="n">
        <v>1</v>
      </c>
      <c r="I35" s="6" t="n">
        <v>1.25</v>
      </c>
      <c r="J35" s="6" t="n">
        <v>1.25</v>
      </c>
      <c r="K35" s="6" t="n">
        <v>0.005</v>
      </c>
      <c r="P35">
        <f>MAX(P36,P37,P38)</f>
        <v/>
      </c>
      <c r="S35">
        <f>S36+S37+S38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2000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D2K_Bazooka2</t>
        </is>
      </c>
      <c r="C36" s="7" t="inlineStr">
        <is>
          <t>Armament@damage</t>
        </is>
      </c>
      <c r="L36" s="6" t="n">
        <v>6000</v>
      </c>
      <c r="M36" s="6" t="n">
        <v>5</v>
      </c>
      <c r="N36" s="6" t="n">
        <v>1</v>
      </c>
      <c r="O36" s="6" t="n"/>
      <c r="P36" s="6" t="n">
        <v>6400</v>
      </c>
      <c r="Q36" s="6" t="n">
        <v>1.25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^Warhead_MissileAP_Heavy</t>
        </is>
      </c>
    </row>
    <row r="37">
      <c r="B37" s="7" t="inlineStr">
        <is>
          <t xml:space="preserve">  ↳ RaiderGuns</t>
        </is>
      </c>
      <c r="C37" s="7" t="inlineStr">
        <is>
          <t>Armament@Guns</t>
        </is>
      </c>
      <c r="L37" s="6" t="n">
        <v>4000</v>
      </c>
      <c r="M37" s="6" t="n">
        <v>40</v>
      </c>
      <c r="N37" s="6" t="n">
        <v>4</v>
      </c>
      <c r="O37" s="6" t="n">
        <v>2</v>
      </c>
      <c r="P37" s="6" t="n">
        <v>6400</v>
      </c>
      <c r="Q37" s="6" t="n">
        <v>0.875</v>
      </c>
      <c r="R37">
        <f>M37+IF(N37&gt;1,N(O37)*(N37-1),0)</f>
        <v/>
      </c>
      <c r="S37">
        <f>IFERROR(L37*MAX(N37,1)/R37*IF(ISBLANK(K35),1,K35),0)</f>
        <v/>
      </c>
      <c r="AB37" s="7" t="inlineStr">
        <is>
          <t>^Warhead_Bullet_Light, ^Warhead_Bullet_Medium</t>
        </is>
      </c>
    </row>
    <row r="38">
      <c r="B38" s="7" t="inlineStr">
        <is>
          <t xml:space="preserve">  ↳ RaiderGuns_upgrade</t>
        </is>
      </c>
      <c r="C38" s="7" t="inlineStr">
        <is>
          <t>Armament@Upgrade</t>
        </is>
      </c>
      <c r="L38" s="6" t="n">
        <v>6000</v>
      </c>
      <c r="M38" s="6" t="n">
        <v>40</v>
      </c>
      <c r="N38" s="6" t="n">
        <v>4</v>
      </c>
      <c r="O38" s="6" t="n">
        <v>2</v>
      </c>
      <c r="P38" s="6" t="n">
        <v>6400</v>
      </c>
      <c r="Q38" s="6" t="n">
        <v>1</v>
      </c>
      <c r="R38">
        <f>M38+IF(N38&gt;1,N(O38)*(N38-1),0)</f>
        <v/>
      </c>
      <c r="S38">
        <f>IFERROR(L38*MAX(N38,1)/R38*IF(ISBLANK(K35),1,K35),0)</f>
        <v/>
      </c>
      <c r="AB38" s="7" t="inlineStr">
        <is>
          <t>^Warhead_CannonHE_Heavy, ^Warhead_Bullet_Light, ^Warhead_Bullet_Medium</t>
        </is>
      </c>
    </row>
    <row r="39">
      <c r="A39" t="inlineStr">
        <is>
          <t>d2k</t>
        </is>
      </c>
      <c r="B39" t="inlineStr">
        <is>
          <t>ixian_heavykodatank</t>
        </is>
      </c>
      <c r="C39" t="inlineStr">
        <is>
          <t>Heavy Koda Tank</t>
        </is>
      </c>
      <c r="D39" s="6" t="inlineStr">
        <is>
          <t>MainBattleTank</t>
        </is>
      </c>
      <c r="E39" s="6" t="n">
        <v>95000</v>
      </c>
      <c r="F39" s="6" t="n">
        <v>58</v>
      </c>
      <c r="G39" t="inlineStr">
        <is>
          <t>Heavy</t>
        </is>
      </c>
      <c r="H39" s="6" t="n">
        <v>0.8919</v>
      </c>
      <c r="I39" s="6" t="n">
        <v>1</v>
      </c>
      <c r="J39" s="6" t="n">
        <v>1</v>
      </c>
      <c r="K39" s="6" t="n"/>
      <c r="P39">
        <f>MAX(P40)</f>
        <v/>
      </c>
      <c r="S39">
        <f>S40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(((E39/240000)+(F39/95)+(S39/600)+((P39/5500)*J39))*800/4+(((E39/240000)*(F39/95))+(((P39/5500)*J39)*(S39/600)))*800/2+((E39/240000)*(F39/95)*((P39/5500)*J39)*(S39/600))*800)*(H39/1.0)/3</f>
        <v/>
      </c>
      <c r="X39" s="6" t="n">
        <v>1100</v>
      </c>
      <c r="Y39">
        <f>IFERROR(W39-X39,"")</f>
        <v/>
      </c>
      <c r="Z39">
        <f>IFERROR(ABS(Y39)/MAX(X39,1),"")</f>
        <v/>
      </c>
      <c r="AA39">
        <f>IFERROR(ROUND(((3*X39-(((E39/240000)+(F39/95)+(S39/600))*800/4+((E39/240000)*(F39/95))*800/2)*(H39/1.0))/(800/4+((S39/600))*800/2+((E39/240000)*(F39/95)*(S39/600))*800)*(H39/1.0)*5500)/J39,-1),"")</f>
        <v/>
      </c>
    </row>
    <row r="40">
      <c r="B40" s="7" t="inlineStr">
        <is>
          <t xml:space="preserve">  ↳ HeavyIxianCombatTankCannon</t>
        </is>
      </c>
      <c r="C40" s="7" t="inlineStr">
        <is>
          <t>Armament</t>
        </is>
      </c>
      <c r="L40" s="6" t="n">
        <v>18000</v>
      </c>
      <c r="M40" s="6" t="n">
        <v>40</v>
      </c>
      <c r="N40" s="6" t="n">
        <v>1</v>
      </c>
      <c r="O40" s="6" t="n"/>
      <c r="P40" s="6" t="n">
        <v>6000</v>
      </c>
      <c r="Q40" s="6" t="n">
        <v>1</v>
      </c>
      <c r="R40">
        <f>M40+IF(N40&gt;1,N(O40)*(N40-1),0)</f>
        <v/>
      </c>
      <c r="S40">
        <f>IFERROR(L40*MAX(N40,1)/R40*IF(ISBLANK(K39),1,K39),0)</f>
        <v/>
      </c>
      <c r="AB40" s="7" t="inlineStr">
        <is>
          <t>^Warhead_CannonHE_Heavy, ^Warhead_CannonAP_Light, ^Warhead_CannonHE_Medium</t>
        </is>
      </c>
    </row>
    <row r="41">
      <c r="A41" t="inlineStr">
        <is>
          <t>d2k</t>
        </is>
      </c>
      <c r="B41" t="inlineStr">
        <is>
          <t>ixian_ixcombatsiege</t>
        </is>
      </c>
      <c r="C41" t="inlineStr">
        <is>
          <t>Ix Combat Siege</t>
        </is>
      </c>
      <c r="D41" s="6" t="inlineStr">
        <is>
          <t>ArtilleryTank</t>
        </is>
      </c>
      <c r="E41" s="6" t="n">
        <v>80000</v>
      </c>
      <c r="F41" s="6" t="n">
        <v>80</v>
      </c>
      <c r="G41" t="inlineStr">
        <is>
          <t>Medium</t>
        </is>
      </c>
      <c r="H41" s="6" t="n">
        <v>1</v>
      </c>
      <c r="I41" s="6" t="n">
        <v>1</v>
      </c>
      <c r="J41" s="6" t="n">
        <v>1</v>
      </c>
      <c r="K41" s="6" t="n"/>
      <c r="P41">
        <f>MAX(P42)</f>
        <v/>
      </c>
      <c r="S41">
        <f>S42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(((E41/140000)+(F41/85)+(S41/525)+((P41/12000)*J41))*700/4+(((E41/140000)*(F41/85))+(((P41/12000)*J41)*(S41/525)))*700/2+((E41/140000)*(F41/85)*((P41/12000)*J41)*(S41/525))*700)*(H41/1.0)/3</f>
        <v/>
      </c>
      <c r="X41" s="6" t="n">
        <v>1200</v>
      </c>
      <c r="Y41">
        <f>IFERROR(W41-X41,"")</f>
        <v/>
      </c>
      <c r="Z41">
        <f>IFERROR(ABS(Y41)/MAX(X41,1),"")</f>
        <v/>
      </c>
      <c r="AA41">
        <f>IFERROR(ROUND(((3*X41-(((E41/140000)+(F41/85)+(S41/525))*700/4+((E41/140000)*(F41/85))*700/2)*(H41/1.0))/(700/4+((S41/525))*700/2+((E41/140000)*(F41/85)*(S41/525))*700)*(H41/1.0)*12000)/J41,-1),"")</f>
        <v/>
      </c>
    </row>
    <row r="42">
      <c r="B42" s="7" t="inlineStr">
        <is>
          <t xml:space="preserve">  ↳ D2K_155mm3</t>
        </is>
      </c>
      <c r="C42" s="7" t="inlineStr">
        <is>
          <t>Armament</t>
        </is>
      </c>
      <c r="L42" s="6" t="n">
        <v>24000</v>
      </c>
      <c r="M42" s="6" t="n">
        <v>80</v>
      </c>
      <c r="N42" s="6" t="n">
        <v>1</v>
      </c>
      <c r="O42" s="6" t="n"/>
      <c r="P42" s="6" t="n">
        <v>8686</v>
      </c>
      <c r="Q42" s="6" t="n">
        <v>1</v>
      </c>
      <c r="R42">
        <f>M42+IF(N42&gt;1,N(O42)*(N42-1),0)</f>
        <v/>
      </c>
      <c r="S42">
        <f>IFERROR(L42*MAX(N42,1)/R42*IF(ISBLANK(K41),1,K41),0)</f>
        <v/>
      </c>
      <c r="AB42" s="7" t="inlineStr">
        <is>
          <t>^Warhead_Demolition_Light, ^Warhead_Demolition_Heavy, ^Warhead_Concussion_Medium</t>
        </is>
      </c>
    </row>
    <row r="43">
      <c r="A43" t="inlineStr">
        <is>
          <t>d2k</t>
        </is>
      </c>
      <c r="B43" t="inlineStr">
        <is>
          <t>ixian_ixmissiletank</t>
        </is>
      </c>
      <c r="C43" t="inlineStr">
        <is>
          <t>Ix Missile Tank</t>
        </is>
      </c>
      <c r="D43" s="6" t="inlineStr">
        <is>
          <t>MissileVehicle</t>
        </is>
      </c>
      <c r="E43" s="6" t="n">
        <v>50000</v>
      </c>
      <c r="F43" s="6" t="n">
        <v>50</v>
      </c>
      <c r="G43" t="inlineStr">
        <is>
          <t>Light</t>
        </is>
      </c>
      <c r="H43" s="6" t="n">
        <v>0.75</v>
      </c>
      <c r="I43" s="6" t="n">
        <v>1</v>
      </c>
      <c r="J43" s="6" t="n">
        <v>1.25</v>
      </c>
      <c r="K43" s="6" t="n"/>
      <c r="P43">
        <f>MAX(P44)</f>
        <v/>
      </c>
      <c r="S43">
        <f>S44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(((E43/160000)+(F43/100)+(S43/1200)+((P43/8000)*J43))*1200/4+(((E43/160000)*(F43/100))+(((P43/8000)*J43)*(S43/1200)))*1200/2+((E43/160000)*(F43/100)*((P43/8000)*J43)*(S43/1200))*1200)*(H43/1.0)/3</f>
        <v/>
      </c>
      <c r="X43" s="6" t="n">
        <v>2250</v>
      </c>
      <c r="Y43">
        <f>IFERROR(W43-X43,"")</f>
        <v/>
      </c>
      <c r="Z43">
        <f>IFERROR(ABS(Y43)/MAX(X43,1),"")</f>
        <v/>
      </c>
      <c r="AA43">
        <f>IFERROR(ROUND(((3*X43-(((E43/160000)+(F43/100)+(S43/1200))*1200/4+((E43/160000)*(F43/100))*1200/2)*(H43/1.0))/(1200/4+((S43/1200))*1200/2+((E43/160000)*(F43/100)*(S43/1200))*1200)*(H43/1.0)*8000)/J43,-1),"")</f>
        <v/>
      </c>
    </row>
    <row r="44">
      <c r="B44" s="7" t="inlineStr">
        <is>
          <t xml:space="preserve">  ↳ mtank_pri2</t>
        </is>
      </c>
      <c r="C44" s="7" t="inlineStr">
        <is>
          <t>Armament</t>
        </is>
      </c>
      <c r="L44" s="6" t="n">
        <v>24000</v>
      </c>
      <c r="M44" s="6" t="n">
        <v>5</v>
      </c>
      <c r="N44" s="6" t="n">
        <v>1</v>
      </c>
      <c r="O44" s="6" t="n"/>
      <c r="P44" s="6" t="n">
        <v>10052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^Warhead_Demolition_Light, ^Warhead_Flame_Medium, ^Warhead_MissileAP_Heavy</t>
        </is>
      </c>
    </row>
    <row r="45">
      <c r="A45" t="inlineStr">
        <is>
          <t>d2k</t>
        </is>
      </c>
      <c r="B45" t="inlineStr">
        <is>
          <t>ixian_ixprojector</t>
        </is>
      </c>
      <c r="C45" t="inlineStr">
        <is>
          <t>Ix Projector</t>
        </is>
      </c>
      <c r="D45" s="6" t="inlineStr">
        <is>
          <t>EpicVehicle</t>
        </is>
      </c>
      <c r="E45" s="6" t="n">
        <v>100000</v>
      </c>
      <c r="F45" s="6" t="n">
        <v>100</v>
      </c>
      <c r="G45" t="inlineStr">
        <is>
          <t>Superheavy</t>
        </is>
      </c>
      <c r="H45" s="6" t="n">
        <v>0.4925</v>
      </c>
      <c r="I45" s="6" t="n">
        <v>1</v>
      </c>
      <c r="J45" s="6" t="n">
        <v>1</v>
      </c>
      <c r="K45" s="6" t="n"/>
      <c r="P45">
        <f>MAX(P46,P47)</f>
        <v/>
      </c>
      <c r="S45">
        <f>S46+S47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(((E45/4000000)+(F45/60)+(S45/20000)+((P45/8500)*J45))*10000/4+(((E45/4000000)*(F45/60))+(((P45/8500)*J45)*(S45/20000)))*10000/2+((E45/4000000)*(F45/60)*((P45/8500)*J45)*(S45/20000))*10000)*(H45/0.75)/3</f>
        <v/>
      </c>
      <c r="X45" s="6" t="n">
        <v>5000</v>
      </c>
      <c r="Y45">
        <f>IFERROR(W45-X45,"")</f>
        <v/>
      </c>
      <c r="Z45">
        <f>IFERROR(ABS(Y45)/MAX(X45,1),"")</f>
        <v/>
      </c>
      <c r="AA45">
        <f>IFERROR(ROUND(((3*X45-(((E45/4000000)+(F45/60)+(S45/20000))*10000/4+((E45/4000000)*(F45/60))*10000/2)*(H45/0.75))/(10000/4+((S45/20000))*10000/2+((E45/4000000)*(F45/60)*(S45/20000))*10000)*(H45/0.75)*8500)/J45,-1),"")</f>
        <v/>
      </c>
    </row>
    <row r="46">
      <c r="B46" s="7" t="inlineStr">
        <is>
          <t xml:space="preserve">  ↳ IxianCharge_EMP</t>
        </is>
      </c>
      <c r="C46" s="7" t="inlineStr">
        <is>
          <t>Armament@Anim</t>
        </is>
      </c>
      <c r="L46" s="6" t="n">
        <v>1</v>
      </c>
      <c r="M46" s="6" t="n">
        <v>3</v>
      </c>
      <c r="N46" s="6" t="n">
        <v>1</v>
      </c>
      <c r="O46" s="6" t="n"/>
      <c r="P46" s="6" t="n">
        <v>20000</v>
      </c>
      <c r="Q46" s="6" t="n">
        <v>1</v>
      </c>
      <c r="R46">
        <f>M46+IF(N46&gt;1,N(O46)*(N46-1),0)</f>
        <v/>
      </c>
      <c r="S46">
        <f>IFERROR(L46*MAX(N46,1)/R46*IF(ISBLANK(K45),1,K45),0)</f>
        <v/>
      </c>
      <c r="AB46" s="7" t="inlineStr"/>
    </row>
    <row r="47">
      <c r="B47" s="7" t="inlineStr">
        <is>
          <t xml:space="preserve">  ↳ IxianDisable_EMP</t>
        </is>
      </c>
      <c r="C47" s="7" t="inlineStr">
        <is>
          <t>Armament@End</t>
        </is>
      </c>
      <c r="L47" s="6" t="n">
        <v>2000</v>
      </c>
      <c r="M47" s="6" t="n">
        <v>4</v>
      </c>
      <c r="N47" s="6" t="n">
        <v>1</v>
      </c>
      <c r="O47" s="6" t="n"/>
      <c r="P47" s="6" t="n">
        <v>20000</v>
      </c>
      <c r="Q47" s="6" t="n">
        <v>1</v>
      </c>
      <c r="R47">
        <f>M47+IF(N47&gt;1,N(O47)*(N47-1),0)</f>
        <v/>
      </c>
      <c r="S47">
        <f>IFERROR(L47*MAX(N47,1)/R47*IF(ISBLANK(K45),1,K45),0)</f>
        <v/>
      </c>
      <c r="AB47" s="7" t="inlineStr">
        <is>
          <t>^Warhead_Tesla_Super</t>
        </is>
      </c>
    </row>
    <row r="48">
      <c r="A48" t="inlineStr">
        <is>
          <t>d2k</t>
        </is>
      </c>
      <c r="B48" t="inlineStr">
        <is>
          <t>ixian_ixsiegetank</t>
        </is>
      </c>
      <c r="C48" t="inlineStr">
        <is>
          <t>Ix Siege Tank</t>
        </is>
      </c>
      <c r="D48" s="6" t="inlineStr">
        <is>
          <t>Artillery</t>
        </is>
      </c>
      <c r="E48" s="6" t="n">
        <v>60000</v>
      </c>
      <c r="F48" s="6" t="n">
        <v>60</v>
      </c>
      <c r="G48" t="inlineStr">
        <is>
          <t>Light</t>
        </is>
      </c>
      <c r="H48" s="6" t="n">
        <v>1</v>
      </c>
      <c r="I48" s="6" t="n">
        <v>0.5</v>
      </c>
      <c r="J48" s="6" t="n">
        <v>1.25</v>
      </c>
      <c r="K48" s="6" t="n"/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(((E48/60000)+(F48/75)+(S48/500)+((P48/15000)*J48))*500/4+(((E48/60000)*(F48/75))+(((P48/15000)*J48)*(S48/500)))*500/2+((E48/60000)*(F48/75)*((P48/15000)*J48)*(S48/500))*500)*(H48/1.0)/3</f>
        <v/>
      </c>
      <c r="X48" s="6" t="n">
        <v>2050</v>
      </c>
      <c r="Y48">
        <f>IFERROR(W48-X48,"")</f>
        <v/>
      </c>
      <c r="Z48">
        <f>IFERROR(ABS(Y48)/MAX(X48,1),"")</f>
        <v/>
      </c>
      <c r="AA48">
        <f>IFERROR(ROUND(((3*X48-(((E48/60000)+(F48/75)+(S48/500))*500/4+((E48/60000)*(F48/75))*500/2)*(H48/1.0))/(500/4+((S48/500))*500/2+((E48/60000)*(F48/75)*(S48/500))*500)*(H48/1.0)*15000)/J48,-1),"")</f>
        <v/>
      </c>
    </row>
    <row r="49">
      <c r="B49" s="7" t="inlineStr">
        <is>
          <t xml:space="preserve">  ↳ D2K_155mm2</t>
        </is>
      </c>
      <c r="C49" s="7" t="inlineStr">
        <is>
          <t>Armament</t>
        </is>
      </c>
      <c r="L49" s="6" t="n">
        <v>48000</v>
      </c>
      <c r="M49" s="6" t="n">
        <v>120</v>
      </c>
      <c r="N49" s="6" t="n">
        <v>3</v>
      </c>
      <c r="O49" s="6" t="n">
        <v>12</v>
      </c>
      <c r="P49" s="6" t="n">
        <v>12000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^Grenade, ^MediumFlameWeapon, ^ShrapnelWeapon, ^HeavyBomb</t>
        </is>
      </c>
    </row>
    <row r="50">
      <c r="A50" t="inlineStr">
        <is>
          <t>d2k</t>
        </is>
      </c>
      <c r="B50" t="inlineStr">
        <is>
          <t>ixian_kodatank</t>
        </is>
      </c>
      <c r="C50" t="inlineStr">
        <is>
          <t>Koda Tank</t>
        </is>
      </c>
      <c r="D50" s="6" t="inlineStr">
        <is>
          <t>MainBattleTank</t>
        </is>
      </c>
      <c r="E50" s="6" t="n">
        <v>65000</v>
      </c>
      <c r="F50" s="6" t="n">
        <v>65</v>
      </c>
      <c r="G50" t="inlineStr">
        <is>
          <t>Heavy</t>
        </is>
      </c>
      <c r="H50" s="6" t="n">
        <v>0.8919</v>
      </c>
      <c r="I50" s="6" t="n">
        <v>1</v>
      </c>
      <c r="J50" s="6" t="n">
        <v>1</v>
      </c>
      <c r="K50" s="6" t="n"/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(((E50/240000)+(F50/95)+(S50/600)+((P50/5500)*J50))*800/4+(((E50/240000)*(F50/95))+(((P50/5500)*J50)*(S50/600)))*800/2+((E50/240000)*(F50/95)*((P50/5500)*J50)*(S50/600))*800)*(H50/1.0)/3</f>
        <v/>
      </c>
      <c r="X50" s="6" t="n">
        <v>800</v>
      </c>
      <c r="Y50">
        <f>IFERROR(W50-X50,"")</f>
        <v/>
      </c>
      <c r="Z50">
        <f>IFERROR(ABS(Y50)/MAX(X50,1),"")</f>
        <v/>
      </c>
      <c r="AA50">
        <f>IFERROR(ROUND(((3*X50-(((E50/240000)+(F50/95)+(S50/600))*800/4+((E50/240000)*(F50/95))*800/2)*(H50/1.0))/(800/4+((S50/600))*800/2+((E50/240000)*(F50/95)*(S50/600))*800)*(H50/1.0)*5500)/J50,-1),"")</f>
        <v/>
      </c>
    </row>
    <row r="51">
      <c r="B51" s="7" t="inlineStr">
        <is>
          <t xml:space="preserve">  ↳ IxianCombatTankCannon</t>
        </is>
      </c>
      <c r="C51" s="7" t="inlineStr">
        <is>
          <t>Armament</t>
        </is>
      </c>
      <c r="L51" s="6" t="n">
        <v>12000</v>
      </c>
      <c r="M51" s="6" t="n">
        <v>35</v>
      </c>
      <c r="N51" s="6" t="n">
        <v>1</v>
      </c>
      <c r="O51" s="6" t="n"/>
      <c r="P51" s="6" t="n">
        <v>5555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^Warhead_CannonHE_Heavy, ^Warhead_CannonAP_Light, ^Warhead_CannonHE_Medium</t>
        </is>
      </c>
    </row>
    <row r="52">
      <c r="A52" t="inlineStr">
        <is>
          <t>d2k</t>
        </is>
      </c>
      <c r="B52" t="inlineStr">
        <is>
          <t>ixian_mobileconstructionvehicle</t>
        </is>
      </c>
      <c r="C52" t="inlineStr">
        <is>
          <t>Ixian Mobile Construction Vehicle</t>
        </is>
      </c>
      <c r="D52" s="6" t="inlineStr">
        <is>
          <t>SupportVehicle</t>
        </is>
      </c>
      <c r="E52" s="6" t="n">
        <v>300000</v>
      </c>
      <c r="F52" s="6" t="n">
        <v>75</v>
      </c>
      <c r="G52" t="inlineStr">
        <is>
          <t>Medium</t>
        </is>
      </c>
      <c r="H52" s="6" t="n">
        <v>0.8048999999999999</v>
      </c>
      <c r="I52" s="6" t="n">
        <v>1</v>
      </c>
      <c r="J52" s="6" t="n">
        <v>1</v>
      </c>
      <c r="K52" s="6" t="n"/>
      <c r="X52" s="6" t="n">
        <v>5000</v>
      </c>
    </row>
    <row r="53">
      <c r="A53" t="inlineStr">
        <is>
          <t>d2k</t>
        </is>
      </c>
      <c r="B53" t="inlineStr">
        <is>
          <t>ixian_mongoose</t>
        </is>
      </c>
      <c r="C53" t="inlineStr">
        <is>
          <t>Mongoose</t>
        </is>
      </c>
      <c r="D53" s="6" t="inlineStr">
        <is>
          <t>MainBattleTank</t>
        </is>
      </c>
      <c r="E53" s="6" t="n">
        <v>75000</v>
      </c>
      <c r="F53" s="6" t="n">
        <v>75</v>
      </c>
      <c r="G53" t="inlineStr">
        <is>
          <t>Heavy</t>
        </is>
      </c>
      <c r="H53" s="6" t="n">
        <v>1</v>
      </c>
      <c r="I53" s="6" t="n">
        <v>1</v>
      </c>
      <c r="J53" s="6" t="n">
        <v>1</v>
      </c>
      <c r="K53" s="6" t="n"/>
      <c r="P53">
        <f>MAX(P54)</f>
        <v/>
      </c>
      <c r="S53">
        <f>S54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(((E53/240000)+(F53/95)+(S53/600)+((P53/5500)*J53))*800/4+(((E53/240000)*(F53/95))+(((P53/5500)*J53)*(S53/600)))*800/2+((E53/240000)*(F53/95)*((P53/5500)*J53)*(S53/600))*800)*(H53/1.0)/3</f>
        <v/>
      </c>
      <c r="X53" s="6" t="n">
        <v>1300</v>
      </c>
      <c r="Y53">
        <f>IFERROR(W53-X53,"")</f>
        <v/>
      </c>
      <c r="Z53">
        <f>IFERROR(ABS(Y53)/MAX(X53,1),"")</f>
        <v/>
      </c>
      <c r="AA53">
        <f>IFERROR(ROUND(((3*X53-(((E53/240000)+(F53/95)+(S53/600))*800/4+((E53/240000)*(F53/95))*800/2)*(H53/1.0))/(800/4+((S53/600))*800/2+((E53/240000)*(F53/95)*(S53/600))*800)*(H53/1.0)*5500)/J53,-1),"")</f>
        <v/>
      </c>
    </row>
    <row r="54">
      <c r="B54" s="7" t="inlineStr">
        <is>
          <t xml:space="preserve">  ↳ MongooseRocket</t>
        </is>
      </c>
      <c r="C54" s="7" t="inlineStr">
        <is>
          <t>Armament@primary</t>
        </is>
      </c>
      <c r="L54" s="6" t="n">
        <v>32000</v>
      </c>
      <c r="M54" s="6" t="n">
        <v>64</v>
      </c>
      <c r="N54" s="6" t="n">
        <v>1</v>
      </c>
      <c r="O54" s="6" t="n"/>
      <c r="P54" s="6" t="n">
        <v>6183</v>
      </c>
      <c r="Q54" s="6" t="n">
        <v>1.25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^Warhead_MissileAP_Heavy</t>
        </is>
      </c>
    </row>
    <row r="55">
      <c r="A55" t="inlineStr">
        <is>
          <t>d2k</t>
        </is>
      </c>
      <c r="B55" t="inlineStr">
        <is>
          <t>ixian_neocymek</t>
        </is>
      </c>
      <c r="C55" t="inlineStr">
        <is>
          <t>Neo Cymek</t>
        </is>
      </c>
      <c r="D55" s="6" t="inlineStr">
        <is>
          <t>Dreadnought</t>
        </is>
      </c>
      <c r="E55" s="6" t="n">
        <v>300000</v>
      </c>
      <c r="F55" s="6" t="n">
        <v>45</v>
      </c>
      <c r="G55" t="inlineStr">
        <is>
          <t>Superheavy</t>
        </is>
      </c>
      <c r="H55" s="6" t="n">
        <v>0.75</v>
      </c>
      <c r="I55" s="6" t="n">
        <v>1</v>
      </c>
      <c r="J55" s="6" t="n">
        <v>1.25</v>
      </c>
      <c r="K55" s="6" t="n">
        <v>0.005</v>
      </c>
      <c r="P55">
        <f>MAX(P56,P57)</f>
        <v/>
      </c>
      <c r="S55">
        <f>S56+S57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(((E55/1150000)+(F55/50)+(S55/3750)+((P55/7000)*J55))*3000/4+(((E55/1150000)*(F55/50))+(((P55/7000)*J55)*(S55/3750)))*3000/2+((E55/1150000)*(F55/50)*((P55/7000)*J55)*(S55/3750))*3000)*(H55/0.75)/3</f>
        <v/>
      </c>
      <c r="X55" s="6" t="n">
        <v>4500</v>
      </c>
      <c r="Y55">
        <f>IFERROR(W55-X55,"")</f>
        <v/>
      </c>
      <c r="Z55">
        <f>IFERROR(ABS(Y55)/MAX(X55,1),"")</f>
        <v/>
      </c>
      <c r="AA55">
        <f>IFERROR(ROUND(((3*X55-(((E55/1150000)+(F55/50)+(S55/3750))*3000/4+((E55/1150000)*(F55/50))*3000/2)*(H55/0.75))/(3000/4+((S55/3750))*3000/2+((E55/1150000)*(F55/50)*(S55/3750))*3000)*(H55/0.75)*7000)/J55,-1),"")</f>
        <v/>
      </c>
    </row>
    <row r="56">
      <c r="B56" s="7" t="inlineStr">
        <is>
          <t xml:space="preserve">  ↳ D2K_StormGunCymek</t>
        </is>
      </c>
      <c r="C56" s="7" t="inlineStr">
        <is>
          <t>Armament@Cannon</t>
        </is>
      </c>
      <c r="L56" s="6" t="n">
        <v>32000</v>
      </c>
      <c r="M56" s="6" t="n">
        <v>66</v>
      </c>
      <c r="N56" s="6" t="n">
        <v>2</v>
      </c>
      <c r="O56" s="6" t="n">
        <v>0</v>
      </c>
      <c r="P56" s="6" t="n">
        <v>6787</v>
      </c>
      <c r="Q56" s="6" t="n">
        <v>1.25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^Warhead_Storm_Heavy</t>
        </is>
      </c>
    </row>
    <row r="57">
      <c r="B57" s="7" t="inlineStr">
        <is>
          <t xml:space="preserve">  ↳ D2K_RocketsCymek</t>
        </is>
      </c>
      <c r="C57" s="7" t="inlineStr">
        <is>
          <t>Armament@Rockets</t>
        </is>
      </c>
      <c r="L57" s="6" t="n">
        <v>24000</v>
      </c>
      <c r="M57" s="6" t="n">
        <v>60</v>
      </c>
      <c r="N57" s="6" t="n">
        <v>4</v>
      </c>
      <c r="O57" s="6" t="n">
        <v>2</v>
      </c>
      <c r="P57" s="6" t="n">
        <v>6787</v>
      </c>
      <c r="Q57" s="6" t="n">
        <v>1</v>
      </c>
      <c r="R57">
        <f>M57+IF(N57&gt;1,N(O57)*(N57-1),0)</f>
        <v/>
      </c>
      <c r="S57">
        <f>IFERROR(L57*MAX(N57,1)/R57*IF(ISBLANK(K55),1,K55),0)</f>
        <v/>
      </c>
      <c r="AB57" s="7" t="inlineStr">
        <is>
          <t>^Warhead_MissileAP_Medium</t>
        </is>
      </c>
    </row>
    <row r="58">
      <c r="A58" t="inlineStr">
        <is>
          <t>d2k</t>
        </is>
      </c>
      <c r="B58" t="inlineStr">
        <is>
          <t>ixian_shockraider</t>
        </is>
      </c>
      <c r="C58" t="inlineStr">
        <is>
          <t>Shock Raider</t>
        </is>
      </c>
      <c r="D58" s="6" t="inlineStr">
        <is>
          <t>LightTank</t>
        </is>
      </c>
      <c r="E58" s="6" t="n">
        <v>40000</v>
      </c>
      <c r="F58" s="6" t="n">
        <v>120</v>
      </c>
      <c r="G58" t="inlineStr">
        <is>
          <t>Medium</t>
        </is>
      </c>
      <c r="H58" s="6" t="n">
        <v>0.75</v>
      </c>
      <c r="I58" s="6" t="n">
        <v>1</v>
      </c>
      <c r="J58" s="6" t="n">
        <v>1.25</v>
      </c>
      <c r="K58" s="6" t="n"/>
      <c r="P58">
        <f>MAX(P59)</f>
        <v/>
      </c>
      <c r="S58">
        <f>S59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(((E58/100000)+(F58/125)+(S58/200)+((P58/5000)*J58))*400/4+(((E58/100000)*(F58/125))+(((P58/5000)*J58)*(S58/200)))*400/2+((E58/100000)*(F58/125)*((P58/5000)*J58)*(S58/200))*400)*(H58/1.0)/3</f>
        <v/>
      </c>
      <c r="X58" s="6" t="n">
        <v>1300</v>
      </c>
      <c r="Y58">
        <f>IFERROR(W58-X58,"")</f>
        <v/>
      </c>
      <c r="Z58">
        <f>IFERROR(ABS(Y58)/MAX(X58,1),"")</f>
        <v/>
      </c>
      <c r="AA58">
        <f>IFERROR(ROUND(((3*X58-(((E58/100000)+(F58/125)+(S58/200))*400/4+((E58/100000)*(F58/125))*400/2)*(H58/1.0))/(400/4+((S58/200))*400/2+((E58/100000)*(F58/125)*(S58/200))*400)*(H58/1.0)*5000)/J58,-1),"")</f>
        <v/>
      </c>
    </row>
    <row r="59">
      <c r="B59" s="7" t="inlineStr">
        <is>
          <t xml:space="preserve">  ↳ D2K_ShockGun</t>
        </is>
      </c>
      <c r="C59" s="7" t="inlineStr">
        <is>
          <t>Armament@damage</t>
        </is>
      </c>
      <c r="L59" s="6" t="n">
        <v>40000</v>
      </c>
      <c r="M59" s="6" t="n">
        <v>100</v>
      </c>
      <c r="N59" s="6" t="n">
        <v>1</v>
      </c>
      <c r="O59" s="6" t="n"/>
      <c r="P59" s="6" t="n">
        <v>7756</v>
      </c>
      <c r="Q59" s="6" t="n">
        <v>1.25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^Warhead_Storm_Heavy</t>
        </is>
      </c>
    </row>
    <row r="60">
      <c r="A60" t="inlineStr">
        <is>
          <t>d2k</t>
        </is>
      </c>
      <c r="B60" t="inlineStr">
        <is>
          <t>ixian_spiceharvester</t>
        </is>
      </c>
      <c r="C60" t="inlineStr">
        <is>
          <t>Ixian Spice Harvester</t>
        </is>
      </c>
      <c r="D60" s="6" t="inlineStr">
        <is>
          <t>Harvester</t>
        </is>
      </c>
      <c r="E60" s="6" t="n">
        <v>200000</v>
      </c>
      <c r="F60" s="6" t="n">
        <v>45</v>
      </c>
      <c r="G60" t="inlineStr">
        <is>
          <t>Heavy</t>
        </is>
      </c>
      <c r="H60" s="6" t="n">
        <v>0.8919</v>
      </c>
      <c r="I60" s="6" t="n">
        <v>1</v>
      </c>
      <c r="J60" s="6" t="n">
        <v>1</v>
      </c>
      <c r="K60" s="6" t="n"/>
      <c r="X60" s="6" t="n">
        <v>500</v>
      </c>
    </row>
    <row r="61">
      <c r="A61" t="inlineStr">
        <is>
          <t>d2k</t>
        </is>
      </c>
      <c r="B61" t="inlineStr">
        <is>
          <t>ixian_stormraider</t>
        </is>
      </c>
      <c r="C61" t="inlineStr">
        <is>
          <t>Storm Raider</t>
        </is>
      </c>
      <c r="D61" s="6" t="inlineStr">
        <is>
          <t>FireSupport</t>
        </is>
      </c>
      <c r="E61" s="6" t="n">
        <v>60000</v>
      </c>
      <c r="F61" s="6" t="n">
        <v>95</v>
      </c>
      <c r="G61" t="inlineStr">
        <is>
          <t>Light</t>
        </is>
      </c>
      <c r="H61" s="6" t="n">
        <v>0.75</v>
      </c>
      <c r="I61" s="6" t="n">
        <v>1</v>
      </c>
      <c r="J61" s="6" t="n">
        <v>1.5</v>
      </c>
      <c r="K61" s="6" t="n">
        <v>0.005</v>
      </c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(((E61/120000)+(F61/90)+(S61/2100)+((P61/10000)*J61))*1400/4+(((E61/120000)*(F61/90))+(((P61/10000)*J61)*(S61/2100)))*1400/2+((E61/120000)*(F61/90)*((P61/10000)*J61)*(S61/2100))*1400)*(H61/0.6735)/3</f>
        <v/>
      </c>
      <c r="X61" s="6" t="n">
        <v>2200</v>
      </c>
      <c r="Y61">
        <f>IFERROR(W61-X61,"")</f>
        <v/>
      </c>
      <c r="Z61">
        <f>IFERROR(ABS(Y61)/MAX(X61,1),"")</f>
        <v/>
      </c>
      <c r="AA61">
        <f>IFERROR(ROUND(((3*X61-(((E61/120000)+(F61/90)+(S61/2100))*1400/4+((E61/120000)*(F61/90))*1400/2)*(H61/0.6735))/(1400/4+((S61/2100))*1400/2+((E61/120000)*(F61/90)*(S61/2100))*1400)*(H61/0.6735)*10000)/J61,-1),"")</f>
        <v/>
      </c>
    </row>
    <row r="62">
      <c r="B62" s="7" t="inlineStr">
        <is>
          <t xml:space="preserve">  ↳ D2K_ShockGun2</t>
        </is>
      </c>
      <c r="C62" s="7" t="inlineStr">
        <is>
          <t>Armament@damage</t>
        </is>
      </c>
      <c r="L62" s="6" t="n">
        <v>40000</v>
      </c>
      <c r="M62" s="6" t="n">
        <v>100</v>
      </c>
      <c r="N62" s="6" t="n">
        <v>1</v>
      </c>
      <c r="O62" s="6" t="n"/>
      <c r="P62" s="6" t="n">
        <v>7343</v>
      </c>
      <c r="Q62" s="6" t="n">
        <v>1.25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^Warhead_Storm_Heavy</t>
        </is>
      </c>
    </row>
    <row r="63">
      <c r="B63" s="7" t="inlineStr">
        <is>
          <t xml:space="preserve">  ↳ D2K_StormGun</t>
        </is>
      </c>
      <c r="C63" s="7" t="inlineStr">
        <is>
          <t>Armament@StormEffect</t>
        </is>
      </c>
      <c r="L63" s="6" t="n">
        <v>80000</v>
      </c>
      <c r="M63" s="6" t="n">
        <v>100</v>
      </c>
      <c r="N63" s="6" t="n">
        <v>1</v>
      </c>
      <c r="O63" s="6" t="n"/>
      <c r="P63" s="6" t="n">
        <v>7343</v>
      </c>
      <c r="Q63" s="6" t="n">
        <v>1.25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^Warhead_Storm_Heavy</t>
        </is>
      </c>
    </row>
    <row r="64">
      <c r="A64" t="inlineStr">
        <is>
          <t>d2k</t>
        </is>
      </c>
      <c r="B64" t="inlineStr">
        <is>
          <t>rocket_raider.ixian</t>
        </is>
      </c>
      <c r="C64" t="inlineStr">
        <is>
          <t>Ix Raider</t>
        </is>
      </c>
      <c r="D64" s="6" t="inlineStr">
        <is>
          <t>SupportVehicle</t>
        </is>
      </c>
      <c r="E64" s="6" t="n">
        <v>25000</v>
      </c>
      <c r="F64" s="6" t="n">
        <v>160</v>
      </c>
      <c r="G64" t="inlineStr">
        <is>
          <t>Medium</t>
        </is>
      </c>
      <c r="H64" s="6" t="n">
        <v>1</v>
      </c>
      <c r="I64" s="6" t="n">
        <v>1.25</v>
      </c>
      <c r="J64" s="6" t="n">
        <v>1.25</v>
      </c>
      <c r="K64" s="6" t="n"/>
      <c r="P64">
        <f>MAX(P65)</f>
        <v/>
      </c>
      <c r="S64">
        <f>S65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1200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D2K_Bazooka2</t>
        </is>
      </c>
      <c r="C65" s="7" t="inlineStr">
        <is>
          <t>Armament@damage</t>
        </is>
      </c>
      <c r="L65" s="6" t="n">
        <v>6000</v>
      </c>
      <c r="M65" s="6" t="n">
        <v>5</v>
      </c>
      <c r="N65" s="6" t="n">
        <v>1</v>
      </c>
      <c r="O65" s="6" t="n"/>
      <c r="P65" s="6" t="n">
        <v>6400</v>
      </c>
      <c r="Q65" s="6" t="n">
        <v>1.25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^Warhead_MissileAP_Heavy</t>
        </is>
      </c>
    </row>
    <row r="66">
      <c r="A66" s="4" t="inlineStr">
        <is>
          <t>AIRCRAFT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t="inlineStr">
        <is>
          <t>d2k</t>
        </is>
      </c>
      <c r="B67" t="inlineStr">
        <is>
          <t>farasha_drone_ixian</t>
        </is>
      </c>
      <c r="C67" t="inlineStr">
        <is>
          <t>Alfayrus</t>
        </is>
      </c>
      <c r="D67" s="6" t="inlineStr">
        <is>
          <t>Bomber</t>
        </is>
      </c>
      <c r="E67" s="6" t="n">
        <v>25000</v>
      </c>
      <c r="F67" s="6" t="n">
        <v>215</v>
      </c>
      <c r="G67" t="inlineStr">
        <is>
          <t>Bomber</t>
        </is>
      </c>
      <c r="H67" s="6" t="n">
        <v>1</v>
      </c>
      <c r="I67" s="6" t="n">
        <v>1</v>
      </c>
      <c r="J67" s="6" t="n">
        <v>1</v>
      </c>
      <c r="K67" s="6" t="n"/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240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farasha_drone_ixian</t>
        </is>
      </c>
      <c r="C68" s="7" t="inlineStr">
        <is>
          <t>Armament@PRIMARY</t>
        </is>
      </c>
      <c r="L68" s="6" t="n">
        <v>6000</v>
      </c>
      <c r="M68" s="6" t="n">
        <v>25</v>
      </c>
      <c r="N68" s="6" t="n">
        <v>1</v>
      </c>
      <c r="O68" s="6" t="n"/>
      <c r="P68" s="6" t="n">
        <v>2500</v>
      </c>
      <c r="Q68" s="6" t="n">
        <v>0.75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^Warhead_Inferno_Light</t>
        </is>
      </c>
    </row>
    <row r="69">
      <c r="A69" t="inlineStr">
        <is>
          <t>d2k</t>
        </is>
      </c>
      <c r="B69" t="inlineStr">
        <is>
          <t>ixian_airdrone</t>
        </is>
      </c>
      <c r="C69" t="inlineStr">
        <is>
          <t>Ixian Air Drone</t>
        </is>
      </c>
      <c r="D69" s="6" t="inlineStr">
        <is>
          <t>Bomber</t>
        </is>
      </c>
      <c r="E69" s="6" t="n">
        <v>62500</v>
      </c>
      <c r="F69" s="6" t="n">
        <v>165</v>
      </c>
      <c r="G69" t="inlineStr">
        <is>
          <t>Bomber</t>
        </is>
      </c>
      <c r="H69" s="6" t="n">
        <v>1</v>
      </c>
      <c r="I69" s="6" t="n">
        <v>1</v>
      </c>
      <c r="J69" s="6" t="n">
        <v>1.25</v>
      </c>
      <c r="K69" s="6" t="n"/>
      <c r="P69">
        <f>MAX(P70,P71,P72)</f>
        <v/>
      </c>
      <c r="S69">
        <f>S70+S71+S72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1800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ixian_airdrone</t>
        </is>
      </c>
      <c r="C70" s="7" t="inlineStr">
        <is>
          <t>Armament</t>
        </is>
      </c>
      <c r="L70" s="6" t="n">
        <v>12000</v>
      </c>
      <c r="M70" s="6" t="n">
        <v>132</v>
      </c>
      <c r="N70" s="6" t="n">
        <v>4</v>
      </c>
      <c r="O70" s="6" t="n">
        <v>5</v>
      </c>
      <c r="P70" s="6" t="n">
        <v>6500</v>
      </c>
      <c r="Q70" s="6" t="n">
        <v>1.25</v>
      </c>
      <c r="R70">
        <f>M70+IF(N70&gt;1,N(O70)*(N70-1),0)</f>
        <v/>
      </c>
      <c r="S70">
        <f>IFERROR(L70*MAX(N70,1)/R70*IF(ISBLANK(K69),1,K69),0)</f>
        <v/>
      </c>
      <c r="AB70" s="7" t="inlineStr">
        <is>
          <t>^Warhead_MissileAP_Heavy</t>
        </is>
      </c>
    </row>
    <row r="71">
      <c r="B71" s="7" t="inlineStr">
        <is>
          <t xml:space="preserve">  ↳ d2k_air_drone_guns</t>
        </is>
      </c>
      <c r="C71" s="7" t="inlineStr">
        <is>
          <t>Armament@PRIMARY</t>
        </is>
      </c>
      <c r="L71" s="6" t="n">
        <v>12000</v>
      </c>
      <c r="M71" s="6" t="n">
        <v>28</v>
      </c>
      <c r="N71" s="6" t="n">
        <v>4</v>
      </c>
      <c r="O71" s="6" t="n">
        <v>2</v>
      </c>
      <c r="P71" s="6" t="n">
        <v>6500</v>
      </c>
      <c r="Q71" s="6" t="n">
        <v>1</v>
      </c>
      <c r="R71">
        <f>M71+IF(N71&gt;1,N(O71)*(N71-1),0)</f>
        <v/>
      </c>
      <c r="S71">
        <f>IFERROR(L71*MAX(N71,1)/R71*IF(ISBLANK(K69),1,K69),0)</f>
        <v/>
      </c>
      <c r="AB71" s="7" t="inlineStr">
        <is>
          <t>^Warhead_MissileAP_Heavy, ^Warhead_Bullet_Light, ^Warhead_Bullet_Medium</t>
        </is>
      </c>
    </row>
    <row r="72">
      <c r="B72" s="7" t="inlineStr">
        <is>
          <t xml:space="preserve">  ↳ d2k_air_drone_guns_upgrade</t>
        </is>
      </c>
      <c r="C72" s="7" t="inlineStr">
        <is>
          <t>Armament@Upgrade</t>
        </is>
      </c>
      <c r="L72" s="6" t="n">
        <v>10000</v>
      </c>
      <c r="M72" s="6" t="n">
        <v>28</v>
      </c>
      <c r="N72" s="6" t="n">
        <v>4</v>
      </c>
      <c r="O72" s="6" t="n">
        <v>2</v>
      </c>
      <c r="P72" s="6" t="n">
        <v>6500</v>
      </c>
      <c r="Q72" s="6" t="n">
        <v>1</v>
      </c>
      <c r="R72">
        <f>M72+IF(N72&gt;1,N(O72)*(N72-1),0)</f>
        <v/>
      </c>
      <c r="S72">
        <f>IFERROR(L72*MAX(N72,1)/R72*IF(ISBLANK(K69),1,K69),0)</f>
        <v/>
      </c>
      <c r="AB72" s="7" t="inlineStr">
        <is>
          <t>^Warhead_CannonHE_Heavy, ^Warhead_MissileAP_Heavy, ^Warhead_Bullet_Light, ^Warhead_Bullet_Medium</t>
        </is>
      </c>
    </row>
    <row r="73">
      <c r="A73" t="inlineStr">
        <is>
          <t>d2k</t>
        </is>
      </c>
      <c r="B73" t="inlineStr">
        <is>
          <t>ixian_empbomber</t>
        </is>
      </c>
      <c r="C73" t="inlineStr">
        <is>
          <t>Ixian EMP Bomber</t>
        </is>
      </c>
      <c r="D73" s="6" t="inlineStr">
        <is>
          <t>Bomber</t>
        </is>
      </c>
      <c r="E73" s="6" t="n">
        <v>111000</v>
      </c>
      <c r="F73" s="6" t="n">
        <v>145</v>
      </c>
      <c r="G73" t="inlineStr">
        <is>
          <t>Bomber</t>
        </is>
      </c>
      <c r="H73" s="6" t="n">
        <v>0.75</v>
      </c>
      <c r="I73" s="6" t="n">
        <v>1</v>
      </c>
      <c r="J73" s="6" t="n">
        <v>2</v>
      </c>
      <c r="K73" s="6" t="n"/>
      <c r="P73">
        <f>MAX(P74)</f>
        <v/>
      </c>
      <c r="S73">
        <f>S74</f>
        <v/>
      </c>
      <c r="T73">
        <f>(E73/100000+F73/100+(P73/1000)*J73/5+S73/200)*200*I73*H73</f>
        <v/>
      </c>
      <c r="U73">
        <f>((E73*F73/25000)+((P73/1000)*J73*S73/2.5))*I73*H73</f>
        <v/>
      </c>
      <c r="V73">
        <f>(E73*F73*(P73/1000)*J73*S73*I73*H73)/12500000</f>
        <v/>
      </c>
      <c r="W73">
        <f>(T73+U73+V73)/3</f>
        <v/>
      </c>
      <c r="X73" s="6" t="n">
        <v>2400</v>
      </c>
      <c r="Y73">
        <f>IFERROR(W73-X73,"")</f>
        <v/>
      </c>
      <c r="Z73">
        <f>IFERROR(ABS(Y73)/MAX(X73,1),"")</f>
        <v/>
      </c>
      <c r="AA73">
        <f>IFERROR((X73-(((E73/100000+F73/100+S73/200)*200*I73*H73)+((E73*F73/25000)*I73*H73))/3)/(((J73/5)*200*I73*H73)+((J73*S73/2.5)*I73*H73)+((E73*F73*J73*S73*I73*H73)/12500000))/3*1000,"")</f>
        <v/>
      </c>
    </row>
    <row r="74">
      <c r="B74" s="7" t="inlineStr">
        <is>
          <t xml:space="preserve">  ↳ IxianBomb_EMP</t>
        </is>
      </c>
      <c r="C74" s="7" t="inlineStr">
        <is>
          <t>Armament@PRIMARY</t>
        </is>
      </c>
      <c r="L74" s="6" t="n">
        <v>90000</v>
      </c>
      <c r="M74" s="6" t="n">
        <v>250</v>
      </c>
      <c r="N74" s="6" t="n">
        <v>1</v>
      </c>
      <c r="O74" s="6" t="n"/>
      <c r="P74" s="6" t="n">
        <v>1250</v>
      </c>
      <c r="Q74" s="6" t="n">
        <v>1</v>
      </c>
      <c r="R74">
        <f>M74+IF(N74&gt;1,N(O74)*(N74-1),0)</f>
        <v/>
      </c>
      <c r="S74">
        <f>IFERROR(L74*MAX(N74,1)/R74*IF(ISBLANK(K73),1,K73),0)</f>
        <v/>
      </c>
      <c r="AB74" s="7" t="inlineStr">
        <is>
          <t>^MediumFlameWeapon, ^HeavyBomb, ^TeslaChargedWeapon</t>
        </is>
      </c>
    </row>
    <row r="75">
      <c r="A75" t="inlineStr">
        <is>
          <t>d2k</t>
        </is>
      </c>
      <c r="B75" t="inlineStr">
        <is>
          <t>ixian_farasha</t>
        </is>
      </c>
      <c r="C75" t="inlineStr">
        <is>
          <t>Farasha</t>
        </is>
      </c>
      <c r="D75" s="6" t="inlineStr">
        <is>
          <t>Spaceship</t>
        </is>
      </c>
      <c r="E75" s="6" t="n">
        <v>250000</v>
      </c>
      <c r="F75" s="6" t="n">
        <v>40</v>
      </c>
      <c r="G75" t="inlineStr">
        <is>
          <t>Spaceship</t>
        </is>
      </c>
      <c r="H75" s="6" t="n">
        <v>0.75</v>
      </c>
      <c r="I75" s="6" t="n">
        <v>1</v>
      </c>
      <c r="J75" s="6" t="n">
        <v>1.25</v>
      </c>
      <c r="K75" s="6" t="n"/>
      <c r="P75">
        <f>MAX(P78,P79)</f>
        <v/>
      </c>
      <c r="S75">
        <f>S78+S79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6000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d2k_dronelauncher</t>
        </is>
      </c>
      <c r="C76" s="7" t="inlineStr">
        <is>
          <t>Armament@drones</t>
        </is>
      </c>
      <c r="L76" s="6" t="n"/>
      <c r="M76" s="6" t="n">
        <v>25</v>
      </c>
      <c r="N76" s="6" t="n">
        <v>1</v>
      </c>
      <c r="O76" s="6" t="n"/>
      <c r="P76" s="6" t="n">
        <v>6400</v>
      </c>
      <c r="Q76" s="6" t="n">
        <v>1</v>
      </c>
      <c r="R76">
        <f>M76+IF(N76&gt;1,N(O76)*(N76-1),0)</f>
        <v/>
      </c>
      <c r="S76">
        <f>IFERROR(L76*MAX(N76,1)/R76*IF(ISBLANK(K75),1,K75),0)</f>
        <v/>
      </c>
      <c r="AB76" s="7" t="inlineStr"/>
    </row>
    <row r="77">
      <c r="B77" s="7" t="inlineStr">
        <is>
          <t xml:space="preserve">  ↳ d2k_farasha_charge</t>
        </is>
      </c>
      <c r="C77" s="7" t="inlineStr">
        <is>
          <t>Armament@charge</t>
        </is>
      </c>
      <c r="L77" s="6" t="n"/>
      <c r="M77" s="6" t="n">
        <v>125</v>
      </c>
      <c r="N77" s="6" t="n">
        <v>1</v>
      </c>
      <c r="O77" s="6" t="n"/>
      <c r="P77" s="6" t="n">
        <v>6400</v>
      </c>
      <c r="Q77" s="6" t="n">
        <v>1</v>
      </c>
      <c r="R77">
        <f>M77+IF(N77&gt;1,N(O77)*(N77-1),0)</f>
        <v/>
      </c>
      <c r="S77">
        <f>IFERROR(L77*MAX(N77,1)/R77*IF(ISBLANK(K75),1,K75),0)</f>
        <v/>
      </c>
      <c r="AB77" s="7" t="inlineStr"/>
    </row>
    <row r="78">
      <c r="B78" s="7" t="inlineStr">
        <is>
          <t xml:space="preserve">  ↳ ixian_farasha</t>
        </is>
      </c>
      <c r="C78" s="7" t="inlineStr">
        <is>
          <t>Armament</t>
        </is>
      </c>
      <c r="L78" s="6" t="n">
        <v>6000</v>
      </c>
      <c r="M78" s="6" t="n">
        <v>50</v>
      </c>
      <c r="N78" s="6" t="n">
        <v>50</v>
      </c>
      <c r="O78" s="6" t="n">
        <v>1</v>
      </c>
      <c r="P78" s="6" t="n">
        <v>6400</v>
      </c>
      <c r="Q78" s="6" t="n">
        <v>1</v>
      </c>
      <c r="R78">
        <f>M78+IF(N78&gt;1,N(O78)*(N78-1),0)</f>
        <v/>
      </c>
      <c r="S78">
        <f>IFERROR(L78*MAX(N78,1)/R78*IF(ISBLANK(K75),1,K75),0)</f>
        <v/>
      </c>
      <c r="AB78" s="7" t="inlineStr">
        <is>
          <t>^TeslaWeapon, ^HeavyFlameWeapon, ^RailgunWeapon</t>
        </is>
      </c>
    </row>
    <row r="79">
      <c r="B79" s="7" t="inlineStr">
        <is>
          <t xml:space="preserve">  ↳ d2k_farasha_aa</t>
        </is>
      </c>
      <c r="C79" s="7" t="inlineStr">
        <is>
          <t>Armament@AA</t>
        </is>
      </c>
      <c r="L79" s="6" t="n">
        <v>6000</v>
      </c>
      <c r="M79" s="6" t="n">
        <v>50</v>
      </c>
      <c r="N79" s="6" t="n">
        <v>50</v>
      </c>
      <c r="O79" s="6" t="n">
        <v>1</v>
      </c>
      <c r="P79" s="6" t="n">
        <v>6400</v>
      </c>
      <c r="Q79" s="6" t="n">
        <v>1</v>
      </c>
      <c r="R79">
        <f>M79+IF(N79&gt;1,N(O79)*(N79-1),0)</f>
        <v/>
      </c>
      <c r="S79">
        <f>IFERROR(L79*MAX(N79,1)/R79*IF(ISBLANK(K75),1,K75),0)</f>
        <v/>
      </c>
      <c r="AB79" s="7" t="inlineStr">
        <is>
          <t>ixian_farasha</t>
        </is>
      </c>
    </row>
    <row r="80">
      <c r="A80" t="inlineStr">
        <is>
          <t>d2k</t>
        </is>
      </c>
      <c r="B80" t="inlineStr">
        <is>
          <t>ixian_railgundrone</t>
        </is>
      </c>
      <c r="C80" t="inlineStr">
        <is>
          <t>Ixian Railgun Drone</t>
        </is>
      </c>
      <c r="D80" s="6" t="inlineStr">
        <is>
          <t>Helicopter</t>
        </is>
      </c>
      <c r="E80" s="6" t="n">
        <v>30000</v>
      </c>
      <c r="F80" s="6" t="n">
        <v>170</v>
      </c>
      <c r="G80" t="inlineStr">
        <is>
          <t>Helicopter</t>
        </is>
      </c>
      <c r="H80" s="6" t="n">
        <v>0.5077</v>
      </c>
      <c r="I80" s="6" t="n">
        <v>1</v>
      </c>
      <c r="J80" s="6" t="n">
        <v>1</v>
      </c>
      <c r="K80" s="6" t="n"/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2000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IxRailgunDroneBullet</t>
        </is>
      </c>
      <c r="C81" s="7" t="inlineStr">
        <is>
          <t>Armament@PRIMARY</t>
        </is>
      </c>
      <c r="L81" s="6" t="n">
        <v>24000</v>
      </c>
      <c r="M81" s="6" t="n">
        <v>24</v>
      </c>
      <c r="N81" s="6" t="n">
        <v>1</v>
      </c>
      <c r="O81" s="6" t="n"/>
      <c r="P81" s="6" t="n">
        <v>6034</v>
      </c>
      <c r="Q81" s="6" t="n">
        <v>1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^Warhead_CannonHE_Medium</t>
        </is>
      </c>
    </row>
    <row r="82">
      <c r="A82" t="inlineStr">
        <is>
          <t>d2k</t>
        </is>
      </c>
      <c r="B82" t="inlineStr">
        <is>
          <t>ixian_resonancedrone</t>
        </is>
      </c>
      <c r="C82" t="inlineStr">
        <is>
          <t>Ixian Resonance Drone</t>
        </is>
      </c>
      <c r="D82" s="6" t="inlineStr">
        <is>
          <t>Helicopter</t>
        </is>
      </c>
      <c r="E82" s="6" t="n">
        <v>25000</v>
      </c>
      <c r="F82" s="6" t="n">
        <v>125</v>
      </c>
      <c r="G82" t="inlineStr">
        <is>
          <t>Helicopter</t>
        </is>
      </c>
      <c r="H82" s="6" t="n">
        <v>0.5077</v>
      </c>
      <c r="I82" s="6" t="n">
        <v>1</v>
      </c>
      <c r="J82" s="6" t="n">
        <v>1</v>
      </c>
      <c r="K82" s="6" t="n"/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2500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ResonanceDroneRepair</t>
        </is>
      </c>
      <c r="C83" s="7" t="inlineStr">
        <is>
          <t>Armament@repair</t>
        </is>
      </c>
      <c r="L83" s="6" t="n">
        <v>-3000</v>
      </c>
      <c r="M83" s="6" t="n">
        <v>5</v>
      </c>
      <c r="N83" s="6" t="n">
        <v>10</v>
      </c>
      <c r="O83" s="6" t="n">
        <v>1</v>
      </c>
      <c r="P83" s="6" t="n">
        <v>4500</v>
      </c>
      <c r="Q83" s="6" t="n">
        <v>1</v>
      </c>
      <c r="R83">
        <f>M83+IF(N83&gt;1,N(O83)*(N83-1),0)</f>
        <v/>
      </c>
      <c r="S83">
        <f>IFERROR(L83*MAX(N83,1)/R83*IF(ISBLANK(K82),1,K82),0)</f>
        <v/>
      </c>
      <c r="AB83" s="7" t="inlineStr">
        <is>
          <t>^RepairWeapon</t>
        </is>
      </c>
    </row>
    <row r="84">
      <c r="A84" s="4" t="inlineStr">
        <is>
          <t>BUILDINGS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t="inlineStr">
        <is>
          <t>d2k</t>
        </is>
      </c>
      <c r="B85" t="inlineStr">
        <is>
          <t>ixian_advancedheavyfactory</t>
        </is>
      </c>
      <c r="C85" t="inlineStr">
        <is>
          <t>Ixian Advanced Heavy Factory</t>
        </is>
      </c>
      <c r="D85" s="6" t="inlineStr">
        <is>
          <t>Building</t>
        </is>
      </c>
      <c r="E85" s="6" t="n">
        <v>400000</v>
      </c>
      <c r="F85" s="6" t="n"/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K85" s="6" t="n"/>
      <c r="X85" s="6" t="n">
        <v>2000</v>
      </c>
    </row>
    <row r="86">
      <c r="A86" t="inlineStr">
        <is>
          <t>d2k</t>
        </is>
      </c>
      <c r="B86" t="inlineStr">
        <is>
          <t>ixian_barracks</t>
        </is>
      </c>
      <c r="C86" t="inlineStr">
        <is>
          <t>Ixian Barracks</t>
        </is>
      </c>
      <c r="D86" s="6" t="inlineStr">
        <is>
          <t>Building</t>
        </is>
      </c>
      <c r="E86" s="6" t="n">
        <v>200000</v>
      </c>
      <c r="F86" s="6" t="n"/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K86" s="6" t="n"/>
      <c r="X86" s="6" t="n">
        <v>1000</v>
      </c>
    </row>
    <row r="87">
      <c r="A87" t="inlineStr">
        <is>
          <t>d2k</t>
        </is>
      </c>
      <c r="B87" t="inlineStr">
        <is>
          <t>ixian_constructionyard</t>
        </is>
      </c>
      <c r="C87" t="inlineStr">
        <is>
          <t>Ixian Construction Yard</t>
        </is>
      </c>
      <c r="D87" s="6" t="inlineStr">
        <is>
          <t>Building</t>
        </is>
      </c>
      <c r="E87" s="6" t="n">
        <v>1000000</v>
      </c>
      <c r="F87" s="6" t="n"/>
      <c r="G87" t="inlineStr">
        <is>
          <t>Concrete</t>
        </is>
      </c>
      <c r="H87" s="6" t="n">
        <v>1</v>
      </c>
      <c r="I87" s="6" t="n">
        <v>1</v>
      </c>
      <c r="J87" s="6" t="n">
        <v>1</v>
      </c>
      <c r="K87" s="6" t="n"/>
      <c r="X87" s="6" t="n">
        <v>5000</v>
      </c>
    </row>
    <row r="88">
      <c r="A88" t="inlineStr">
        <is>
          <t>d2k</t>
        </is>
      </c>
      <c r="B88" t="inlineStr">
        <is>
          <t>ixian_gunturret</t>
        </is>
      </c>
      <c r="C88" t="inlineStr">
        <is>
          <t>Gun Turret</t>
        </is>
      </c>
      <c r="D88" s="6" t="inlineStr">
        <is>
          <t>BasicDefense</t>
        </is>
      </c>
      <c r="E88" s="6" t="n">
        <v>125000</v>
      </c>
      <c r="F88" s="6" t="n"/>
      <c r="G88" t="inlineStr">
        <is>
          <t>Concrete</t>
        </is>
      </c>
      <c r="H88" s="6" t="n">
        <v>1</v>
      </c>
      <c r="I88" s="6" t="n">
        <v>1</v>
      </c>
      <c r="J88" s="6" t="n">
        <v>1</v>
      </c>
      <c r="K88" s="6" t="n"/>
      <c r="X88" s="6" t="n">
        <v>1000</v>
      </c>
    </row>
    <row r="89">
      <c r="B89" s="7" t="inlineStr">
        <is>
          <t xml:space="preserve">  ↳ 110mm_Gun</t>
        </is>
      </c>
      <c r="C89" s="7" t="inlineStr">
        <is>
          <t>Armament</t>
        </is>
      </c>
      <c r="L89" s="6" t="n">
        <v>30000</v>
      </c>
      <c r="M89" s="6" t="n">
        <v>50</v>
      </c>
      <c r="N89" s="6" t="n">
        <v>1</v>
      </c>
      <c r="O89" s="6" t="n"/>
      <c r="P89" s="6" t="n">
        <v>7979</v>
      </c>
      <c r="Q89" s="6" t="n">
        <v>1</v>
      </c>
      <c r="R89">
        <f>M89+IF(N89&gt;1,N(O89)*(N89-1),0)</f>
        <v/>
      </c>
      <c r="S89">
        <f>IFERROR(L89*MAX(N89,1)/R89*IF(ISBLANK(K88),1,K88),0)</f>
        <v/>
      </c>
      <c r="AB89" s="7" t="inlineStr">
        <is>
          <t>^Warhead_CannonHE_Heavy, ^Warhead_CannonAP_Light, ^Warhead_CannonHE_Medium</t>
        </is>
      </c>
    </row>
    <row r="90">
      <c r="A90" t="inlineStr">
        <is>
          <t>d2k</t>
        </is>
      </c>
      <c r="B90" t="inlineStr">
        <is>
          <t>ixian_hightechfactory</t>
        </is>
      </c>
      <c r="C90" t="inlineStr">
        <is>
          <t>High Tech Factory</t>
        </is>
      </c>
      <c r="D90" s="6" t="inlineStr">
        <is>
          <t>Building</t>
        </is>
      </c>
      <c r="E90" s="6" t="n">
        <v>300000</v>
      </c>
      <c r="F90" s="6" t="n"/>
      <c r="G90" t="inlineStr">
        <is>
          <t>Concrete</t>
        </is>
      </c>
      <c r="H90" s="6" t="n">
        <v>0.5593</v>
      </c>
      <c r="I90" s="6" t="n">
        <v>1</v>
      </c>
      <c r="J90" s="6" t="n">
        <v>1</v>
      </c>
      <c r="K90" s="6" t="n"/>
      <c r="X90" s="6" t="n">
        <v>1500</v>
      </c>
    </row>
    <row r="91">
      <c r="A91" t="inlineStr">
        <is>
          <t>d2k</t>
        </is>
      </c>
      <c r="B91" t="inlineStr">
        <is>
          <t>ixian_ixresearchcenter</t>
        </is>
      </c>
      <c r="C91" t="inlineStr">
        <is>
          <t>Ix Research Center</t>
        </is>
      </c>
      <c r="D91" s="6" t="inlineStr">
        <is>
          <t>Building</t>
        </is>
      </c>
      <c r="E91" s="6" t="n">
        <v>500000</v>
      </c>
      <c r="F91" s="6" t="n"/>
      <c r="G91" t="inlineStr">
        <is>
          <t>Concrete</t>
        </is>
      </c>
      <c r="H91" s="6" t="n">
        <v>0.8462</v>
      </c>
      <c r="I91" s="6" t="n">
        <v>1</v>
      </c>
      <c r="J91" s="6" t="n">
        <v>1</v>
      </c>
      <c r="K91" s="6" t="n"/>
      <c r="X91" s="6" t="n">
        <v>5000</v>
      </c>
    </row>
    <row r="92">
      <c r="A92" t="inlineStr">
        <is>
          <t>d2k</t>
        </is>
      </c>
      <c r="B92" t="inlineStr">
        <is>
          <t>ixian_launchpad</t>
        </is>
      </c>
      <c r="C92" t="inlineStr">
        <is>
          <t>Ixian Launchpad</t>
        </is>
      </c>
      <c r="D92" s="6" t="inlineStr">
        <is>
          <t>Building</t>
        </is>
      </c>
      <c r="E92" s="6" t="n">
        <v>300000</v>
      </c>
      <c r="F92" s="6" t="n"/>
      <c r="G92" t="inlineStr">
        <is>
          <t>Wood</t>
        </is>
      </c>
      <c r="H92" s="6" t="n">
        <v>0.8462</v>
      </c>
      <c r="I92" s="6" t="n">
        <v>1</v>
      </c>
      <c r="J92" s="6" t="n">
        <v>1</v>
      </c>
      <c r="K92" s="6" t="n"/>
      <c r="X92" s="6" t="n">
        <v>1500</v>
      </c>
    </row>
    <row r="93">
      <c r="A93" t="inlineStr">
        <is>
          <t>d2k</t>
        </is>
      </c>
      <c r="B93" t="inlineStr">
        <is>
          <t>ixian_machinegunturret</t>
        </is>
      </c>
      <c r="C93" t="inlineStr">
        <is>
          <t>Machine Gun Turret</t>
        </is>
      </c>
      <c r="D93" s="6" t="inlineStr">
        <is>
          <t>BasicDefense</t>
        </is>
      </c>
      <c r="E93" s="6" t="n">
        <v>75000</v>
      </c>
      <c r="F93" s="6" t="n"/>
      <c r="G93" t="inlineStr">
        <is>
          <t>Concrete</t>
        </is>
      </c>
      <c r="H93" s="6" t="n">
        <v>1</v>
      </c>
      <c r="I93" s="6" t="n">
        <v>1</v>
      </c>
      <c r="J93" s="6" t="n">
        <v>1</v>
      </c>
      <c r="K93" s="6" t="n"/>
      <c r="X93" s="6" t="n">
        <v>600</v>
      </c>
    </row>
    <row r="94">
      <c r="B94" s="7" t="inlineStr">
        <is>
          <t xml:space="preserve">  ↳ HMG_turret</t>
        </is>
      </c>
      <c r="C94" s="7" t="inlineStr">
        <is>
          <t>Armament</t>
        </is>
      </c>
      <c r="L94" s="6" t="n">
        <v>4000</v>
      </c>
      <c r="M94" s="6" t="n">
        <v>22</v>
      </c>
      <c r="N94" s="6" t="n">
        <v>4</v>
      </c>
      <c r="O94" s="6" t="n">
        <v>2</v>
      </c>
      <c r="P94" s="6" t="n">
        <v>7394</v>
      </c>
      <c r="Q94" s="6" t="n">
        <v>0.875</v>
      </c>
      <c r="R94">
        <f>M94+IF(N94&gt;1,N(O94)*(N94-1),0)</f>
        <v/>
      </c>
      <c r="S94">
        <f>IFERROR(L94*MAX(N94,1)/R94*IF(ISBLANK(K93),1,K93),0)</f>
        <v/>
      </c>
      <c r="AB94" s="7" t="inlineStr">
        <is>
          <t>^Warhead_Bullet_Light, ^Warhead_Bullet_Medium</t>
        </is>
      </c>
    </row>
    <row r="95">
      <c r="B95" s="7" t="inlineStr">
        <is>
          <t xml:space="preserve">  ↳ HMG_turret_upgrade</t>
        </is>
      </c>
      <c r="C95" s="7" t="inlineStr">
        <is>
          <t>Armament@Upgrade</t>
        </is>
      </c>
      <c r="L95" s="6" t="n">
        <v>6000</v>
      </c>
      <c r="M95" s="6" t="n">
        <v>33</v>
      </c>
      <c r="N95" s="6" t="n">
        <v>4</v>
      </c>
      <c r="O95" s="6" t="n">
        <v>3</v>
      </c>
      <c r="P95" s="6" t="n">
        <v>7394</v>
      </c>
      <c r="Q95" s="6" t="n">
        <v>1</v>
      </c>
      <c r="R95">
        <f>M95+IF(N95&gt;1,N(O95)*(N95-1),0)</f>
        <v/>
      </c>
      <c r="S95">
        <f>IFERROR(L95*MAX(N95,1)/R95*IF(ISBLANK(K93),1,K93),0)</f>
        <v/>
      </c>
      <c r="AB95" s="7" t="inlineStr">
        <is>
          <t>^Warhead_CannonHE_Heavy, ^Warhead_Bullet_Light, ^Warhead_Bullet_Medium</t>
        </is>
      </c>
    </row>
    <row r="96">
      <c r="A96" t="inlineStr">
        <is>
          <t>d2k</t>
        </is>
      </c>
      <c r="B96" t="inlineStr">
        <is>
          <t>ixian_munitionssilo</t>
        </is>
      </c>
      <c r="C96" t="inlineStr">
        <is>
          <t>Ixian Munitions Silo</t>
        </is>
      </c>
      <c r="D96" s="6" t="inlineStr">
        <is>
          <t>Building</t>
        </is>
      </c>
      <c r="E96" s="6" t="n">
        <v>50000</v>
      </c>
      <c r="F96" s="6" t="n"/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K96" s="6" t="n"/>
      <c r="X96" s="6" t="n">
        <v>500</v>
      </c>
    </row>
    <row r="97">
      <c r="A97" t="inlineStr">
        <is>
          <t>d2k</t>
        </is>
      </c>
      <c r="B97" t="inlineStr">
        <is>
          <t>ixian_outpost</t>
        </is>
      </c>
      <c r="C97" t="inlineStr">
        <is>
          <t>Ixian Outpost</t>
        </is>
      </c>
      <c r="D97" s="6" t="inlineStr">
        <is>
          <t>Building</t>
        </is>
      </c>
      <c r="E97" s="6" t="n">
        <v>250000</v>
      </c>
      <c r="F97" s="6" t="n"/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K97" s="6" t="n"/>
      <c r="X97" s="6" t="n">
        <v>2500</v>
      </c>
    </row>
    <row r="98">
      <c r="A98" t="inlineStr">
        <is>
          <t>d2k</t>
        </is>
      </c>
      <c r="B98" t="inlineStr">
        <is>
          <t>ixian_refineryixian</t>
        </is>
      </c>
      <c r="C98" t="inlineStr">
        <is>
          <t>Refinery</t>
        </is>
      </c>
      <c r="D98" s="6" t="inlineStr">
        <is>
          <t>Building</t>
        </is>
      </c>
      <c r="E98" s="6" t="n">
        <v>300000</v>
      </c>
      <c r="F98" s="6" t="n"/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K98" s="6" t="n"/>
      <c r="X98" s="6" t="n">
        <v>3000</v>
      </c>
    </row>
    <row r="99">
      <c r="A99" t="inlineStr">
        <is>
          <t>d2k</t>
        </is>
      </c>
      <c r="B99" t="inlineStr">
        <is>
          <t>ixian_repairpad</t>
        </is>
      </c>
      <c r="C99" t="inlineStr">
        <is>
          <t>Ixian Repair Pad</t>
        </is>
      </c>
      <c r="D99" s="6" t="inlineStr">
        <is>
          <t>Building</t>
        </is>
      </c>
      <c r="E99" s="6" t="n">
        <v>250000</v>
      </c>
      <c r="F99" s="6" t="n"/>
      <c r="G99" t="inlineStr">
        <is>
          <t>Concrete</t>
        </is>
      </c>
      <c r="H99" s="6" t="n">
        <v>0.8919</v>
      </c>
      <c r="I99" s="6" t="n">
        <v>1</v>
      </c>
      <c r="J99" s="6" t="n">
        <v>1</v>
      </c>
      <c r="K99" s="6" t="n"/>
      <c r="X99" s="6" t="n">
        <v>1000</v>
      </c>
    </row>
    <row r="100">
      <c r="A100" t="inlineStr">
        <is>
          <t>d2k</t>
        </is>
      </c>
      <c r="B100" t="inlineStr">
        <is>
          <t>ixian_rocketturret</t>
        </is>
      </c>
      <c r="C100" t="inlineStr">
        <is>
          <t>Rocket Turret</t>
        </is>
      </c>
      <c r="D100" s="6" t="inlineStr">
        <is>
          <t>AdvancedDefense</t>
        </is>
      </c>
      <c r="E100" s="6" t="n">
        <v>150000</v>
      </c>
      <c r="F100" s="6" t="n"/>
      <c r="G100" t="inlineStr">
        <is>
          <t>Concrete</t>
        </is>
      </c>
      <c r="H100" s="6" t="n">
        <v>0.8462</v>
      </c>
      <c r="I100" s="6" t="n">
        <v>1</v>
      </c>
      <c r="J100" s="6" t="n">
        <v>1</v>
      </c>
      <c r="K100" s="6" t="n"/>
      <c r="X100" s="6" t="n">
        <v>1500</v>
      </c>
    </row>
    <row r="101">
      <c r="B101" s="7" t="inlineStr">
        <is>
          <t xml:space="preserve">  ↳ D2K_TowerMissile</t>
        </is>
      </c>
      <c r="C101" s="7" t="inlineStr">
        <is>
          <t>Armament@PRIMARY</t>
        </is>
      </c>
      <c r="L101" s="6" t="n">
        <v>16000</v>
      </c>
      <c r="M101" s="6" t="n">
        <v>42</v>
      </c>
      <c r="N101" s="6" t="n">
        <v>2</v>
      </c>
      <c r="O101" s="6" t="n">
        <v>5</v>
      </c>
      <c r="P101" s="6" t="n">
        <v>10684</v>
      </c>
      <c r="Q101" s="6" t="n">
        <v>1.25</v>
      </c>
      <c r="R101">
        <f>M101+IF(N101&gt;1,N(O101)*(N101-1),0)</f>
        <v/>
      </c>
      <c r="S101">
        <f>IFERROR(L101*MAX(N101,1)/R101*IF(ISBLANK(K100),1,K100),0)</f>
        <v/>
      </c>
      <c r="AB101" s="7" t="inlineStr">
        <is>
          <t>^Warhead_MissileAP_Heavy</t>
        </is>
      </c>
    </row>
    <row r="102">
      <c r="A102" t="inlineStr">
        <is>
          <t>d2k</t>
        </is>
      </c>
      <c r="B102" t="inlineStr">
        <is>
          <t>ixian_starport</t>
        </is>
      </c>
      <c r="C102" t="inlineStr">
        <is>
          <t>Starport</t>
        </is>
      </c>
      <c r="D102" s="6" t="inlineStr">
        <is>
          <t>Building</t>
        </is>
      </c>
      <c r="E102" s="6" t="n">
        <v>500000</v>
      </c>
      <c r="F102" s="6" t="n"/>
      <c r="G102" t="inlineStr">
        <is>
          <t>Concrete</t>
        </is>
      </c>
      <c r="H102" s="6" t="n">
        <v>0.5593</v>
      </c>
      <c r="I102" s="6" t="n">
        <v>1</v>
      </c>
      <c r="J102" s="6" t="n">
        <v>1</v>
      </c>
      <c r="K102" s="6" t="n"/>
      <c r="X102" s="6" t="n">
        <v>5000</v>
      </c>
    </row>
    <row r="103">
      <c r="A103" t="inlineStr">
        <is>
          <t>d2k</t>
        </is>
      </c>
      <c r="B103" t="inlineStr">
        <is>
          <t>ixian_storagesilo</t>
        </is>
      </c>
      <c r="C103" t="inlineStr">
        <is>
          <t>Storage Silo</t>
        </is>
      </c>
      <c r="D103" s="6" t="inlineStr">
        <is>
          <t>Building</t>
        </is>
      </c>
      <c r="E103" s="6" t="n">
        <v>50000</v>
      </c>
      <c r="F103" s="6" t="n"/>
      <c r="G103" t="inlineStr">
        <is>
          <t>Wood</t>
        </is>
      </c>
      <c r="H103" s="6" t="n">
        <v>1</v>
      </c>
      <c r="I103" s="6" t="n">
        <v>1</v>
      </c>
      <c r="J103" s="6" t="n">
        <v>1</v>
      </c>
      <c r="K103" s="6" t="n"/>
      <c r="X103" s="6" t="n">
        <v>150</v>
      </c>
    </row>
    <row r="104">
      <c r="A104" t="inlineStr">
        <is>
          <t>d2k</t>
        </is>
      </c>
      <c r="B104" t="inlineStr">
        <is>
          <t>ixian_stormlasher</t>
        </is>
      </c>
      <c r="C104" t="inlineStr">
        <is>
          <t>Storm Lasher</t>
        </is>
      </c>
      <c r="D104" s="6" t="inlineStr">
        <is>
          <t>AdvancedDefense</t>
        </is>
      </c>
      <c r="E104" s="6" t="n">
        <v>200000</v>
      </c>
      <c r="F104" s="6" t="n"/>
      <c r="G104" t="inlineStr">
        <is>
          <t>Concrete</t>
        </is>
      </c>
      <c r="H104" s="6" t="n">
        <v>1</v>
      </c>
      <c r="I104" s="6" t="n">
        <v>0.325</v>
      </c>
      <c r="J104" s="6" t="n">
        <v>1.25</v>
      </c>
      <c r="K104" s="6" t="n"/>
      <c r="X104" s="6" t="n">
        <v>5000</v>
      </c>
    </row>
    <row r="105">
      <c r="B105" s="7" t="inlineStr">
        <is>
          <t xml:space="preserve">  ↳ d2kStormLasher</t>
        </is>
      </c>
      <c r="C105" s="7" t="inlineStr">
        <is>
          <t>Armament</t>
        </is>
      </c>
      <c r="L105" s="6" t="n">
        <v>300000</v>
      </c>
      <c r="M105" s="6" t="n">
        <v>250</v>
      </c>
      <c r="N105" s="6" t="n">
        <v>1</v>
      </c>
      <c r="O105" s="6" t="n"/>
      <c r="P105" s="6" t="n">
        <v>11384</v>
      </c>
      <c r="Q105" s="6" t="n">
        <v>1.25</v>
      </c>
      <c r="R105">
        <f>M105+IF(N105&gt;1,N(O105)*(N105-1),0)</f>
        <v/>
      </c>
      <c r="S105">
        <f>IFERROR(L105*MAX(N105,1)/R105*IF(ISBLANK(K104),1,K104),0)</f>
        <v/>
      </c>
      <c r="AB105" s="7" t="inlineStr">
        <is>
          <t>^Warhead_Storm_Heavy</t>
        </is>
      </c>
    </row>
    <row r="106">
      <c r="A106" t="inlineStr">
        <is>
          <t>d2k</t>
        </is>
      </c>
      <c r="B106" t="inlineStr">
        <is>
          <t>ixian_supercomputer</t>
        </is>
      </c>
      <c r="C106" t="inlineStr">
        <is>
          <t>Ixian Supercomputer</t>
        </is>
      </c>
      <c r="D106" s="6" t="inlineStr">
        <is>
          <t>Building</t>
        </is>
      </c>
      <c r="E106" s="6" t="n">
        <v>1000000</v>
      </c>
      <c r="F106" s="6" t="n"/>
      <c r="G106" t="inlineStr">
        <is>
          <t>Concrete</t>
        </is>
      </c>
      <c r="H106" s="6" t="n">
        <v>0.5593</v>
      </c>
      <c r="I106" s="6" t="n">
        <v>1</v>
      </c>
      <c r="J106" s="6" t="n">
        <v>1</v>
      </c>
      <c r="K106" s="6" t="n"/>
      <c r="X106" s="6" t="n">
        <v>10000</v>
      </c>
    </row>
    <row r="107">
      <c r="A107" t="inlineStr">
        <is>
          <t>d2k</t>
        </is>
      </c>
      <c r="B107" t="inlineStr">
        <is>
          <t>ixian_windtrap</t>
        </is>
      </c>
      <c r="C107" t="inlineStr">
        <is>
          <t>Wind Trap</t>
        </is>
      </c>
      <c r="D107" s="6" t="inlineStr">
        <is>
          <t>Building</t>
        </is>
      </c>
      <c r="E107" s="6" t="n">
        <v>200000</v>
      </c>
      <c r="F107" s="6" t="n"/>
      <c r="G107" t="inlineStr">
        <is>
          <t>Concrete</t>
        </is>
      </c>
      <c r="H107" s="6" t="n">
        <v>1</v>
      </c>
      <c r="I107" s="6" t="n">
        <v>1</v>
      </c>
      <c r="J107" s="6" t="n">
        <v>1</v>
      </c>
      <c r="K107" s="6" t="n"/>
      <c r="X107" s="6" t="n">
        <v>500</v>
      </c>
    </row>
    <row r="108">
      <c r="A108" s="4" t="inlineStr">
        <is>
          <t>UPGRADES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d2k</t>
        </is>
      </c>
      <c r="B109" t="inlineStr">
        <is>
          <t>ixian_upgrade_advancedixiantechnology</t>
        </is>
      </c>
      <c r="C109" t="inlineStr">
        <is>
          <t>Advanced Ixian Technology</t>
        </is>
      </c>
      <c r="D109" s="6" t="inlineStr">
        <is>
          <t>Upgrade</t>
        </is>
      </c>
      <c r="E109" s="6" t="n"/>
      <c r="F109" s="6" t="n"/>
      <c r="H109" s="6" t="n">
        <v>0.5593</v>
      </c>
      <c r="I109" s="6" t="n">
        <v>1</v>
      </c>
      <c r="J109" s="6" t="n">
        <v>1</v>
      </c>
      <c r="K109" s="6" t="n"/>
      <c r="X109" s="6" t="n">
        <v>12500</v>
      </c>
    </row>
    <row r="110">
      <c r="A110" t="inlineStr">
        <is>
          <t>d2k</t>
        </is>
      </c>
      <c r="B110" t="inlineStr">
        <is>
          <t>ixian_upgrade_generalpurposearmor</t>
        </is>
      </c>
      <c r="C110" t="inlineStr">
        <is>
          <t>General Purpose Armor</t>
        </is>
      </c>
      <c r="D110" s="6" t="inlineStr">
        <is>
          <t>ResearchedUpgrade</t>
        </is>
      </c>
      <c r="E110" s="6" t="n"/>
      <c r="F110" s="6" t="n"/>
      <c r="H110" s="6" t="n">
        <v>0.5593</v>
      </c>
      <c r="I110" s="6" t="n">
        <v>1</v>
      </c>
      <c r="J110" s="6" t="n">
        <v>1</v>
      </c>
      <c r="K110" s="6" t="n"/>
      <c r="X110" s="6" t="n">
        <v>7500</v>
      </c>
    </row>
    <row r="111">
      <c r="A111" t="inlineStr">
        <is>
          <t>d2k</t>
        </is>
      </c>
      <c r="B111" t="inlineStr">
        <is>
          <t>ixian_upgrade_heavykodatank</t>
        </is>
      </c>
      <c r="C111" t="inlineStr">
        <is>
          <t>Heavy Koda Tank Upgrade</t>
        </is>
      </c>
      <c r="D111" s="6" t="inlineStr">
        <is>
          <t>UnitUpgrade</t>
        </is>
      </c>
      <c r="E111" s="6" t="n"/>
      <c r="F111" s="6" t="n"/>
      <c r="H111" s="6" t="n">
        <v>0.8462</v>
      </c>
      <c r="I111" s="6" t="n">
        <v>1</v>
      </c>
      <c r="J111" s="6" t="n">
        <v>1</v>
      </c>
      <c r="K111" s="6" t="n"/>
      <c r="X111" s="6" t="n">
        <v>2500</v>
      </c>
    </row>
    <row r="112">
      <c r="A112" t="inlineStr">
        <is>
          <t>d2k</t>
        </is>
      </c>
      <c r="B112" t="inlineStr">
        <is>
          <t>ixian_upgrade_heavymissiles</t>
        </is>
      </c>
      <c r="C112" t="inlineStr">
        <is>
          <t>Heavy Missiles</t>
        </is>
      </c>
      <c r="D112" s="6" t="inlineStr">
        <is>
          <t>ResearchedUpgrade</t>
        </is>
      </c>
      <c r="E112" s="6" t="n"/>
      <c r="F112" s="6" t="n"/>
      <c r="H112" s="6" t="n">
        <v>0.5593</v>
      </c>
      <c r="I112" s="6" t="n">
        <v>1</v>
      </c>
      <c r="J112" s="6" t="n">
        <v>1</v>
      </c>
      <c r="K112" s="6" t="n"/>
      <c r="X112" s="6" t="n">
        <v>7500</v>
      </c>
    </row>
    <row r="113">
      <c r="A113" t="inlineStr">
        <is>
          <t>d2k</t>
        </is>
      </c>
      <c r="B113" t="inlineStr">
        <is>
          <t>ixian_upgrade_personalshield</t>
        </is>
      </c>
      <c r="C113" t="inlineStr">
        <is>
          <t>Personal Shield</t>
        </is>
      </c>
      <c r="D113" s="6" t="inlineStr">
        <is>
          <t>ResearchedUpgrade</t>
        </is>
      </c>
      <c r="E113" s="6" t="n"/>
      <c r="F113" s="6" t="n"/>
      <c r="H113" s="6" t="n">
        <v>0.8462</v>
      </c>
      <c r="I113" s="6" t="n">
        <v>1</v>
      </c>
      <c r="J113" s="6" t="n">
        <v>1</v>
      </c>
      <c r="K113" s="6" t="n"/>
      <c r="X113" s="6" t="n">
        <v>5000</v>
      </c>
    </row>
    <row r="114">
      <c r="A114" t="inlineStr">
        <is>
          <t>d2k</t>
        </is>
      </c>
      <c r="B114" t="inlineStr">
        <is>
          <t>ixian_upgrade_reinforcedbarrel</t>
        </is>
      </c>
      <c r="C114" t="inlineStr">
        <is>
          <t>Reinforced Barrel</t>
        </is>
      </c>
      <c r="D114" s="6" t="inlineStr">
        <is>
          <t>ResearchedUpgrade</t>
        </is>
      </c>
      <c r="E114" s="6" t="n"/>
      <c r="F114" s="6" t="n"/>
      <c r="H114" s="6" t="n">
        <v>0.5593</v>
      </c>
      <c r="I114" s="6" t="n">
        <v>1</v>
      </c>
      <c r="J114" s="6" t="n">
        <v>1</v>
      </c>
      <c r="K114" s="6" t="n"/>
      <c r="X114" s="6" t="n">
        <v>7500</v>
      </c>
    </row>
    <row r="115">
      <c r="A115" t="inlineStr">
        <is>
          <t>d2k</t>
        </is>
      </c>
      <c r="B115" t="inlineStr">
        <is>
          <t>ixian_upgrade_tungstenneedleguns</t>
        </is>
      </c>
      <c r="C115" t="inlineStr">
        <is>
          <t>Tungsten Needle Guns</t>
        </is>
      </c>
      <c r="D115" s="6" t="inlineStr">
        <is>
          <t>ResearchedUpgrade</t>
        </is>
      </c>
      <c r="E115" s="6" t="n"/>
      <c r="F115" s="6" t="n"/>
      <c r="H115" s="6" t="n">
        <v>0.8462</v>
      </c>
      <c r="I115" s="6" t="n">
        <v>1</v>
      </c>
      <c r="J115" s="6" t="n">
        <v>1</v>
      </c>
      <c r="K115" s="6" t="n"/>
      <c r="X115" s="6" t="n">
        <v>5000</v>
      </c>
    </row>
    <row r="116">
      <c r="A116" t="inlineStr">
        <is>
          <t>d2k</t>
        </is>
      </c>
      <c r="B116" t="inlineStr">
        <is>
          <t>ixian_upgrade_twinbazooka</t>
        </is>
      </c>
      <c r="C116" t="inlineStr">
        <is>
          <t>Twin Bazooka Upgrade</t>
        </is>
      </c>
      <c r="D116" s="6" t="inlineStr">
        <is>
          <t>UnitUpgrade</t>
        </is>
      </c>
      <c r="E116" s="6" t="n"/>
      <c r="F116" s="6" t="n"/>
      <c r="H116" s="6" t="n">
        <v>0.8462</v>
      </c>
      <c r="I116" s="6" t="n">
        <v>1</v>
      </c>
      <c r="J116" s="6" t="n">
        <v>1</v>
      </c>
      <c r="K116" s="6" t="n"/>
      <c r="X116" s="6" t="n">
        <v>2500</v>
      </c>
    </row>
    <row r="117">
      <c r="A117" t="inlineStr">
        <is>
          <t>d2k</t>
        </is>
      </c>
      <c r="B117" t="inlineStr">
        <is>
          <t>team_upgrade.d2k_advanced_ixian_technology</t>
        </is>
      </c>
      <c r="C117" t="inlineStr">
        <is>
          <t>Advanced Ixian Technology</t>
        </is>
      </c>
      <c r="D117" s="6" t="inlineStr">
        <is>
          <t>ResearchedUpgrade</t>
        </is>
      </c>
      <c r="E117" s="6" t="n"/>
      <c r="F117" s="6" t="n"/>
      <c r="H117" s="6" t="n">
        <v>1</v>
      </c>
      <c r="I117" s="6" t="n">
        <v>1</v>
      </c>
      <c r="J117" s="6" t="n">
        <v>1</v>
      </c>
      <c r="K117" s="6" t="n"/>
      <c r="X117" s="6" t="n"/>
    </row>
    <row r="118">
      <c r="A118" s="4" t="inlineStr">
        <is>
          <t>PROMOTIONS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t="inlineStr">
        <is>
          <t>d2k</t>
        </is>
      </c>
      <c r="B119" t="inlineStr">
        <is>
          <t>ixian_promotion_farasha</t>
        </is>
      </c>
      <c r="C119" t="inlineStr">
        <is>
          <t>Unlock Farasha</t>
        </is>
      </c>
      <c r="D119" s="6" t="inlineStr">
        <is>
          <t>PromotionUpgrade</t>
        </is>
      </c>
      <c r="E119" s="6" t="n"/>
      <c r="F119" s="6" t="n"/>
      <c r="H119" s="6" t="n">
        <v>1</v>
      </c>
      <c r="I119" s="6" t="n">
        <v>1</v>
      </c>
      <c r="J119" s="6" t="n">
        <v>1</v>
      </c>
      <c r="K119" s="6" t="n"/>
      <c r="X119" s="6" t="n"/>
    </row>
    <row r="120">
      <c r="A120" t="inlineStr">
        <is>
          <t>d2k</t>
        </is>
      </c>
      <c r="B120" t="inlineStr">
        <is>
          <t>ixian_promotion_heavyixraider</t>
        </is>
      </c>
      <c r="C120" t="inlineStr">
        <is>
          <t>Unlock Heavy Ix Raider</t>
        </is>
      </c>
      <c r="D120" s="6" t="inlineStr">
        <is>
          <t>PromotionUpgrade</t>
        </is>
      </c>
      <c r="E120" s="6" t="n"/>
      <c r="F120" s="6" t="n"/>
      <c r="H120" s="6" t="n">
        <v>1</v>
      </c>
      <c r="I120" s="6" t="n">
        <v>1</v>
      </c>
      <c r="J120" s="6" t="n">
        <v>1</v>
      </c>
      <c r="K120" s="6" t="n"/>
      <c r="X120" s="6" t="n"/>
    </row>
    <row r="121">
      <c r="A121" t="inlineStr">
        <is>
          <t>d2k</t>
        </is>
      </c>
      <c r="B121" t="inlineStr">
        <is>
          <t>ixian_promotion_ixianempbomber</t>
        </is>
      </c>
      <c r="C121" t="inlineStr">
        <is>
          <t>Unlock Ixian EMP Bomber</t>
        </is>
      </c>
      <c r="D121" s="6" t="inlineStr">
        <is>
          <t>PromotionUpgrade</t>
        </is>
      </c>
      <c r="E121" s="6" t="n"/>
      <c r="F121" s="6" t="n"/>
      <c r="H121" s="6" t="n">
        <v>1</v>
      </c>
      <c r="I121" s="6" t="n">
        <v>1</v>
      </c>
      <c r="J121" s="6" t="n">
        <v>1</v>
      </c>
      <c r="K121" s="6" t="n"/>
      <c r="X121" s="6" t="n"/>
    </row>
    <row r="122">
      <c r="A122" t="inlineStr">
        <is>
          <t>d2k</t>
        </is>
      </c>
      <c r="B122" t="inlineStr">
        <is>
          <t>ixian_promotion_ixprojector</t>
        </is>
      </c>
      <c r="C122" t="inlineStr">
        <is>
          <t>Unlock Ix Projector</t>
        </is>
      </c>
      <c r="D122" s="6" t="inlineStr">
        <is>
          <t>PromotionUpgrade</t>
        </is>
      </c>
      <c r="E122" s="6" t="n"/>
      <c r="F122" s="6" t="n"/>
      <c r="H122" s="6" t="n">
        <v>1</v>
      </c>
      <c r="I122" s="6" t="n">
        <v>1</v>
      </c>
      <c r="J122" s="6" t="n">
        <v>1</v>
      </c>
      <c r="K122" s="6" t="n"/>
      <c r="X122" s="6" t="n"/>
    </row>
    <row r="123">
      <c r="A123" t="inlineStr">
        <is>
          <t>d2k</t>
        </is>
      </c>
      <c r="B123" t="inlineStr">
        <is>
          <t>ixian_promotion_ixrailgundrone</t>
        </is>
      </c>
      <c r="C123" t="inlineStr">
        <is>
          <t>Unlock Ix Railgun Drone</t>
        </is>
      </c>
      <c r="D123" s="6" t="inlineStr">
        <is>
          <t>PromotionUpgrade</t>
        </is>
      </c>
      <c r="E123" s="6" t="n"/>
      <c r="F123" s="6" t="n"/>
      <c r="H123" s="6" t="n">
        <v>1</v>
      </c>
      <c r="I123" s="6" t="n">
        <v>1</v>
      </c>
      <c r="J123" s="6" t="n">
        <v>1</v>
      </c>
      <c r="K123" s="6" t="n"/>
      <c r="X123" s="6" t="n"/>
    </row>
    <row r="124">
      <c r="A124" t="inlineStr">
        <is>
          <t>d2k</t>
        </is>
      </c>
      <c r="B124" t="inlineStr">
        <is>
          <t>ixian_promotion_ixresonancedrone</t>
        </is>
      </c>
      <c r="C124" t="inlineStr">
        <is>
          <t>Unlock Ix Resonance Drone</t>
        </is>
      </c>
      <c r="D124" s="6" t="inlineStr">
        <is>
          <t>PromotionUpgrade</t>
        </is>
      </c>
      <c r="E124" s="6" t="n"/>
      <c r="F124" s="6" t="n"/>
      <c r="H124" s="6" t="n">
        <v>1</v>
      </c>
      <c r="I124" s="6" t="n">
        <v>1</v>
      </c>
      <c r="J124" s="6" t="n">
        <v>1</v>
      </c>
      <c r="K124" s="6" t="n"/>
      <c r="X124" s="6" t="n"/>
    </row>
    <row r="125">
      <c r="A125" t="inlineStr">
        <is>
          <t>d2k</t>
        </is>
      </c>
      <c r="B125" t="inlineStr">
        <is>
          <t>ixian_promotion_ixsiegetank</t>
        </is>
      </c>
      <c r="C125" t="inlineStr">
        <is>
          <t>Unlock Ix Siege Tank</t>
        </is>
      </c>
      <c r="D125" s="6" t="inlineStr">
        <is>
          <t>PromotionUpgrade</t>
        </is>
      </c>
      <c r="E125" s="6" t="n"/>
      <c r="F125" s="6" t="n"/>
      <c r="H125" s="6" t="n">
        <v>1</v>
      </c>
      <c r="I125" s="6" t="n">
        <v>1</v>
      </c>
      <c r="J125" s="6" t="n">
        <v>1</v>
      </c>
      <c r="K125" s="6" t="n"/>
      <c r="X125" s="6" t="n"/>
    </row>
    <row r="126">
      <c r="A126" t="inlineStr">
        <is>
          <t>d2k</t>
        </is>
      </c>
      <c r="B126" t="inlineStr">
        <is>
          <t>ixian_promotion_neocymek</t>
        </is>
      </c>
      <c r="C126" t="inlineStr">
        <is>
          <t>Unlock Neo Cymek</t>
        </is>
      </c>
      <c r="D126" s="6" t="inlineStr">
        <is>
          <t>PromotionUpgrade</t>
        </is>
      </c>
      <c r="E126" s="6" t="n"/>
      <c r="F126" s="6" t="n"/>
      <c r="H126" s="6" t="n">
        <v>1</v>
      </c>
      <c r="I126" s="6" t="n">
        <v>1</v>
      </c>
      <c r="J126" s="6" t="n">
        <v>1</v>
      </c>
      <c r="K126" s="6" t="n"/>
      <c r="X126" s="6" t="n"/>
    </row>
    <row r="127">
      <c r="A127" t="inlineStr">
        <is>
          <t>d2k</t>
        </is>
      </c>
      <c r="B127" t="inlineStr">
        <is>
          <t>ixian_promotion_rashidan</t>
        </is>
      </c>
      <c r="C127" t="inlineStr">
        <is>
          <t>Unlock Rashidan</t>
        </is>
      </c>
      <c r="D127" s="6" t="inlineStr">
        <is>
          <t>PromotionUpgrade</t>
        </is>
      </c>
      <c r="E127" s="6" t="n"/>
      <c r="F127" s="6" t="n"/>
      <c r="H127" s="6" t="n">
        <v>1</v>
      </c>
      <c r="I127" s="6" t="n">
        <v>1</v>
      </c>
      <c r="J127" s="6" t="n">
        <v>1</v>
      </c>
      <c r="K127" s="6" t="n"/>
      <c r="X127" s="6" t="n"/>
    </row>
    <row r="128">
      <c r="A128" t="inlineStr">
        <is>
          <t>d2k</t>
        </is>
      </c>
      <c r="B128" t="inlineStr">
        <is>
          <t>ixian_promotion_storminfantry</t>
        </is>
      </c>
      <c r="C128" t="inlineStr">
        <is>
          <t>Unlock Storm Infantry</t>
        </is>
      </c>
      <c r="D128" s="6" t="inlineStr">
        <is>
          <t>PromotionUpgrade</t>
        </is>
      </c>
      <c r="E128" s="6" t="n"/>
      <c r="F128" s="6" t="n"/>
      <c r="H128" s="6" t="n">
        <v>1</v>
      </c>
      <c r="I128" s="6" t="n">
        <v>1</v>
      </c>
      <c r="J128" s="6" t="n">
        <v>1</v>
      </c>
      <c r="K128" s="6" t="n"/>
      <c r="X128" s="6" t="n"/>
    </row>
    <row r="129">
      <c r="A129" t="inlineStr">
        <is>
          <t>d2k</t>
        </is>
      </c>
      <c r="B129" t="inlineStr">
        <is>
          <t>ixian_promotion_stormlasher</t>
        </is>
      </c>
      <c r="C129" t="inlineStr">
        <is>
          <t>Unlock Storm Lasher</t>
        </is>
      </c>
      <c r="D129" s="6" t="inlineStr">
        <is>
          <t>PromotionUpgrade</t>
        </is>
      </c>
      <c r="E129" s="6" t="n"/>
      <c r="F129" s="6" t="n"/>
      <c r="H129" s="6" t="n">
        <v>1</v>
      </c>
      <c r="I129" s="6" t="n">
        <v>1</v>
      </c>
      <c r="J129" s="6" t="n">
        <v>1</v>
      </c>
      <c r="K129" s="6" t="n"/>
      <c r="X129" s="6" t="n"/>
    </row>
    <row r="130">
      <c r="A130" t="inlineStr">
        <is>
          <t>d2k</t>
        </is>
      </c>
      <c r="B130" t="inlineStr">
        <is>
          <t>ixian_promotion_stormraider</t>
        </is>
      </c>
      <c r="C130" t="inlineStr">
        <is>
          <t>Unlock Storm Raider</t>
        </is>
      </c>
      <c r="D130" s="6" t="inlineStr">
        <is>
          <t>PromotionUpgrade</t>
        </is>
      </c>
      <c r="E130" s="6" t="n"/>
      <c r="F130" s="6" t="n"/>
      <c r="H130" s="6" t="n">
        <v>1</v>
      </c>
      <c r="I130" s="6" t="n">
        <v>1</v>
      </c>
      <c r="J130" s="6" t="n">
        <v>1</v>
      </c>
      <c r="K130" s="6" t="n"/>
      <c r="X13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atreides_mobileconstructionvehicle</t>
        </is>
      </c>
      <c r="C3" t="inlineStr">
        <is>
          <t>Atreides Mobile Construction Vehicle</t>
        </is>
      </c>
      <c r="D3" s="6" t="inlineStr">
        <is>
          <t>SupportVehicle</t>
        </is>
      </c>
      <c r="E3" s="6" t="n">
        <v>300000</v>
      </c>
      <c r="F3" s="6" t="n">
        <v>75</v>
      </c>
      <c r="G3" t="inlineStr">
        <is>
          <t>Medium</t>
        </is>
      </c>
      <c r="H3" s="6" t="n">
        <v>0.8919</v>
      </c>
      <c r="I3" s="6" t="n">
        <v>1</v>
      </c>
      <c r="J3" s="6" t="n">
        <v>1</v>
      </c>
      <c r="K3" s="6" t="n"/>
      <c r="X3" s="6" t="n">
        <v>5000</v>
      </c>
    </row>
    <row r="4">
      <c r="A4" t="inlineStr">
        <is>
          <t>d2k</t>
        </is>
      </c>
      <c r="B4" t="inlineStr">
        <is>
          <t>combat_tank.atreides</t>
        </is>
      </c>
      <c r="C4" t="inlineStr">
        <is>
          <t>Combat Tank</t>
        </is>
      </c>
      <c r="D4" s="6" t="inlineStr">
        <is>
          <t>MainBattleTank</t>
        </is>
      </c>
      <c r="E4" s="6" t="n">
        <v>100000</v>
      </c>
      <c r="F4" s="6" t="n">
        <v>75</v>
      </c>
      <c r="G4" t="inlineStr">
        <is>
          <t>Heavy</t>
        </is>
      </c>
      <c r="H4" s="6" t="n">
        <v>0.8919</v>
      </c>
      <c r="I4" s="6" t="n">
        <v>1</v>
      </c>
      <c r="J4" s="6" t="n">
        <v>1</v>
      </c>
      <c r="K4" s="6" t="n"/>
      <c r="P4">
        <f>MAX(P5)</f>
        <v/>
      </c>
      <c r="S4">
        <f>S5</f>
        <v/>
      </c>
      <c r="T4">
        <f>(E4/100000+F4/100+(P4/1000)*J4/5+S4/200)*200*I4*H4</f>
        <v/>
      </c>
      <c r="U4">
        <f>((E4*F4/25000)+((P4/1000)*J4*S4/2.5))*I4*H4</f>
        <v/>
      </c>
      <c r="V4">
        <f>(E4*F4*(P4/1000)*J4*S4*I4*H4)/12500000</f>
        <v/>
      </c>
      <c r="W4">
        <f>(((E4/240000)+(F4/95)+(S4/600)+((P4/5500)*J4))*800/4+(((E4/240000)*(F4/95))+(((P4/5500)*J4)*(S4/600)))*800/2+((E4/240000)*(F4/95)*((P4/5500)*J4)*(S4/600))*800)*(H4/1.0)/3</f>
        <v/>
      </c>
      <c r="X4" s="6" t="n">
        <v>600</v>
      </c>
      <c r="Y4">
        <f>IFERROR(W4-X4,"")</f>
        <v/>
      </c>
      <c r="Z4">
        <f>IFERROR(ABS(Y4)/MAX(X4,1),"")</f>
        <v/>
      </c>
      <c r="AA4">
        <f>IFERROR(ROUND(((3*X4-(((E4/240000)+(F4/95)+(S4/600))*800/4+((E4/240000)*(F4/95))*800/2)*(H4/1.0))/(800/4+((S4/600))*800/2+((E4/240000)*(F4/95)*(S4/600))*800)*(H4/1.0)*5500)/J4,-1),"")</f>
        <v/>
      </c>
    </row>
    <row r="5">
      <c r="B5" s="7" t="inlineStr">
        <is>
          <t xml:space="preserve">  ↳ 80mm_A</t>
        </is>
      </c>
      <c r="C5" s="7" t="inlineStr">
        <is>
          <t>Armament</t>
        </is>
      </c>
      <c r="L5" s="6" t="n">
        <v>8000</v>
      </c>
      <c r="M5" s="6" t="n">
        <v>25</v>
      </c>
      <c r="N5" s="6" t="n">
        <v>1</v>
      </c>
      <c r="O5" s="6" t="n"/>
      <c r="P5" s="6" t="n">
        <v>5120</v>
      </c>
      <c r="Q5" s="6" t="n">
        <v>1</v>
      </c>
      <c r="R5">
        <f>M5+IF(N5&gt;1,N(O5)*(N5-1),0)</f>
        <v/>
      </c>
      <c r="S5">
        <f>IFERROR(L5*MAX(N5,1)/R5*IF(ISBLANK(K4),1,K4),0)</f>
        <v/>
      </c>
      <c r="AB5" s="7" t="inlineStr">
        <is>
          <t>^Warhead_CannonHE_Medium</t>
        </is>
      </c>
    </row>
    <row r="6">
      <c r="A6" s="4" t="inlineStr">
        <is>
          <t>BUILDINGS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t="inlineStr">
        <is>
          <t>d2k</t>
        </is>
      </c>
      <c r="B7" t="inlineStr">
        <is>
          <t>atreides_constructionyard</t>
        </is>
      </c>
      <c r="C7" t="inlineStr">
        <is>
          <t>Atreides Construction Yard</t>
        </is>
      </c>
      <c r="D7" s="6" t="inlineStr">
        <is>
          <t>Building</t>
        </is>
      </c>
      <c r="E7" s="6" t="n">
        <v>1000000</v>
      </c>
      <c r="F7" s="6" t="n"/>
      <c r="G7" t="inlineStr">
        <is>
          <t>Concrete</t>
        </is>
      </c>
      <c r="H7" s="6" t="n">
        <v>1</v>
      </c>
      <c r="I7" s="6" t="n">
        <v>1</v>
      </c>
      <c r="J7" s="6" t="n">
        <v>1</v>
      </c>
      <c r="K7" s="6" t="n"/>
      <c r="X7" s="6" t="n">
        <v>5000</v>
      </c>
    </row>
    <row r="8">
      <c r="A8" t="inlineStr">
        <is>
          <t>d2k</t>
        </is>
      </c>
      <c r="B8" t="inlineStr">
        <is>
          <t>atreides_heavyfactory</t>
        </is>
      </c>
      <c r="C8" t="inlineStr">
        <is>
          <t>Atreides Heavy Factory</t>
        </is>
      </c>
      <c r="D8" s="6" t="inlineStr">
        <is>
          <t>Building</t>
        </is>
      </c>
      <c r="E8" s="6" t="n">
        <v>400000</v>
      </c>
      <c r="F8" s="6" t="n"/>
      <c r="G8" t="inlineStr">
        <is>
          <t>Concrete</t>
        </is>
      </c>
      <c r="H8" s="6" t="n">
        <v>1</v>
      </c>
      <c r="I8" s="6" t="n">
        <v>1</v>
      </c>
      <c r="J8" s="6" t="n">
        <v>1</v>
      </c>
      <c r="K8" s="6" t="n"/>
      <c r="X8" s="6" t="n">
        <v>2000</v>
      </c>
    </row>
    <row r="9">
      <c r="A9" t="inlineStr">
        <is>
          <t>d2k</t>
        </is>
      </c>
      <c r="B9" t="inlineStr">
        <is>
          <t>d2k_silo.atreides</t>
        </is>
      </c>
      <c r="C9" t="inlineStr">
        <is>
          <t>Storage Silo</t>
        </is>
      </c>
      <c r="D9" s="6" t="inlineStr">
        <is>
          <t>Building</t>
        </is>
      </c>
      <c r="E9" s="6" t="n">
        <v>50000</v>
      </c>
      <c r="F9" s="6" t="n"/>
      <c r="G9" t="inlineStr">
        <is>
          <t>Wood</t>
        </is>
      </c>
      <c r="H9" s="6" t="n">
        <v>1</v>
      </c>
      <c r="I9" s="6" t="n">
        <v>1</v>
      </c>
      <c r="J9" s="6" t="n">
        <v>1</v>
      </c>
      <c r="K9" s="6" t="n"/>
      <c r="X9" s="6" t="n">
        <v>150</v>
      </c>
    </row>
    <row r="10">
      <c r="A10" t="inlineStr">
        <is>
          <t>d2k</t>
        </is>
      </c>
      <c r="B10" t="inlineStr">
        <is>
          <t>refinery.atreides</t>
        </is>
      </c>
      <c r="C10" t="inlineStr">
        <is>
          <t>Spice Refinery</t>
        </is>
      </c>
      <c r="D10" s="6" t="inlineStr">
        <is>
          <t>Building</t>
        </is>
      </c>
      <c r="E10" s="6" t="n">
        <v>300000</v>
      </c>
      <c r="F10" s="6" t="n"/>
      <c r="G10" t="inlineStr">
        <is>
          <t>Concrete</t>
        </is>
      </c>
      <c r="H10" s="6" t="n">
        <v>1</v>
      </c>
      <c r="I10" s="6" t="n">
        <v>1</v>
      </c>
      <c r="J10" s="6" t="n">
        <v>1</v>
      </c>
      <c r="K10" s="6" t="n"/>
      <c r="X10" s="6" t="n">
        <v>3000</v>
      </c>
    </row>
    <row r="11">
      <c r="A11" t="inlineStr">
        <is>
          <t>d2k</t>
        </is>
      </c>
      <c r="B11" t="inlineStr">
        <is>
          <t>wind_trap.atreides</t>
        </is>
      </c>
      <c r="C11" t="inlineStr">
        <is>
          <t>Wind Trap</t>
        </is>
      </c>
      <c r="D11" s="6" t="inlineStr">
        <is>
          <t>Building</t>
        </is>
      </c>
      <c r="E11" s="6" t="n">
        <v>200000</v>
      </c>
      <c r="F11" s="6" t="n"/>
      <c r="G11" t="inlineStr">
        <is>
          <t>Concrete</t>
        </is>
      </c>
      <c r="H11" s="6" t="n">
        <v>1</v>
      </c>
      <c r="I11" s="6" t="n">
        <v>1</v>
      </c>
      <c r="J11" s="6" t="n">
        <v>1</v>
      </c>
      <c r="K11" s="6" t="n"/>
      <c r="X11" s="6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d2k</t>
        </is>
      </c>
      <c r="B3" t="inlineStr">
        <is>
          <t>combat_tank.harkonnen</t>
        </is>
      </c>
      <c r="C3" t="inlineStr">
        <is>
          <t>Harkonnen Combat Tank</t>
        </is>
      </c>
      <c r="D3" s="6" t="inlineStr">
        <is>
          <t>MainBattleTank</t>
        </is>
      </c>
      <c r="E3" s="6" t="n">
        <v>70000</v>
      </c>
      <c r="F3" s="6" t="n">
        <v>65</v>
      </c>
      <c r="G3" t="inlineStr">
        <is>
          <t>Heavy</t>
        </is>
      </c>
      <c r="H3" s="6" t="n">
        <v>0.8919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(((E3/240000)+(F3/95)+(S3/600)+((P3/5500)*J3))*800/4+(((E3/240000)*(F3/95))+(((P3/5500)*J3)*(S3/600)))*800/2+((E3/240000)*(F3/95)*((P3/5500)*J3)*(S3/600))*800)*(H3/1.0)/3</f>
        <v/>
      </c>
      <c r="X3" s="6" t="n">
        <v>600</v>
      </c>
      <c r="Y3">
        <f>IFERROR(W3-X3,"")</f>
        <v/>
      </c>
      <c r="Z3">
        <f>IFERROR(ABS(Y3)/MAX(X3,1),"")</f>
        <v/>
      </c>
      <c r="AA3">
        <f>IFERROR(ROUND(((3*X3-(((E3/240000)+(F3/95)+(S3/600))*800/4+((E3/240000)*(F3/95))*800/2)*(H3/1.0))/(800/4+((S3/600))*800/2+((E3/240000)*(F3/95)*(S3/600))*800)*(H3/1.0)*5500)/J3,-1),"")</f>
        <v/>
      </c>
    </row>
    <row r="4">
      <c r="B4" s="7" t="inlineStr">
        <is>
          <t xml:space="preserve">  ↳ 80mm_H</t>
        </is>
      </c>
      <c r="C4" s="7" t="inlineStr">
        <is>
          <t>Armament</t>
        </is>
      </c>
      <c r="L4" s="6" t="n">
        <v>8000</v>
      </c>
      <c r="M4" s="6" t="n">
        <v>55</v>
      </c>
      <c r="N4" s="6" t="n">
        <v>1</v>
      </c>
      <c r="O4" s="6" t="n"/>
      <c r="P4" s="6" t="n">
        <v>5120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^Warhead_CannonHE_Medium</t>
        </is>
      </c>
    </row>
    <row r="5">
      <c r="A5" t="inlineStr">
        <is>
          <t>d2k</t>
        </is>
      </c>
      <c r="B5" t="inlineStr">
        <is>
          <t>devastator</t>
        </is>
      </c>
      <c r="C5" t="inlineStr">
        <is>
          <t>Harkonnen Devastator Tank</t>
        </is>
      </c>
      <c r="D5" s="6" t="inlineStr">
        <is>
          <t>Vehicle</t>
        </is>
      </c>
      <c r="E5" s="6" t="n">
        <v>550000</v>
      </c>
      <c r="F5" s="6" t="n">
        <v>31</v>
      </c>
      <c r="G5" t="inlineStr">
        <is>
          <t>Superheavy</t>
        </is>
      </c>
      <c r="H5" s="6" t="n">
        <v>0.4925</v>
      </c>
      <c r="I5" s="6" t="n">
        <v>1</v>
      </c>
      <c r="J5" s="6" t="n">
        <v>1</v>
      </c>
      <c r="K5" s="6" t="n"/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3000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DevBullet</t>
        </is>
      </c>
      <c r="C6" s="7" t="inlineStr">
        <is>
          <t>Armament</t>
        </is>
      </c>
      <c r="L6" s="6" t="n">
        <v>80000</v>
      </c>
      <c r="M6" s="6" t="n">
        <v>100</v>
      </c>
      <c r="N6" s="6" t="n">
        <v>1</v>
      </c>
      <c r="O6" s="6" t="n"/>
      <c r="P6" s="6" t="n">
        <v>6666</v>
      </c>
      <c r="Q6" s="6" t="n">
        <v>1</v>
      </c>
      <c r="R6">
        <f>M6+IF(N6&gt;1,N(O6)*(N6-1),0)</f>
        <v/>
      </c>
      <c r="S6">
        <f>IFERROR(L6*MAX(N6,1)/R6*IF(ISBLANK(K5),1,K5),0)</f>
        <v/>
      </c>
      <c r="AB6" s="7" t="inlineStr">
        <is>
          <t>^Warhead_CannonHE_Medium</t>
        </is>
      </c>
    </row>
    <row r="7">
      <c r="A7" t="inlineStr">
        <is>
          <t>d2k</t>
        </is>
      </c>
      <c r="B7" t="inlineStr">
        <is>
          <t>harkonnen_mobileconstructionvehicle</t>
        </is>
      </c>
      <c r="C7" t="inlineStr">
        <is>
          <t>Harkonnen Mobile Construction Vehicle</t>
        </is>
      </c>
      <c r="D7" s="6" t="inlineStr">
        <is>
          <t>SupportVehicle</t>
        </is>
      </c>
      <c r="E7" s="6" t="n">
        <v>300000</v>
      </c>
      <c r="F7" s="6" t="n">
        <v>75</v>
      </c>
      <c r="G7" t="inlineStr">
        <is>
          <t>Medium</t>
        </is>
      </c>
      <c r="H7" s="6" t="n">
        <v>0.8048999999999999</v>
      </c>
      <c r="I7" s="6" t="n">
        <v>1</v>
      </c>
      <c r="J7" s="6" t="n">
        <v>1</v>
      </c>
      <c r="K7" s="6" t="n"/>
      <c r="X7" s="6" t="n">
        <v>5000</v>
      </c>
    </row>
    <row r="8">
      <c r="A8" t="inlineStr">
        <is>
          <t>d2k</t>
        </is>
      </c>
      <c r="B8" t="inlineStr">
        <is>
          <t>missile_tank</t>
        </is>
      </c>
      <c r="C8" t="inlineStr">
        <is>
          <t>Missile Tank</t>
        </is>
      </c>
      <c r="D8" s="6" t="inlineStr">
        <is>
          <t>MissileVehicle</t>
        </is>
      </c>
      <c r="E8" s="6" t="n">
        <v>50000</v>
      </c>
      <c r="F8" s="6" t="n">
        <v>64</v>
      </c>
      <c r="G8" t="inlineStr">
        <is>
          <t>Light</t>
        </is>
      </c>
      <c r="H8" s="6" t="n">
        <v>0.4925</v>
      </c>
      <c r="I8" s="6" t="n">
        <v>1</v>
      </c>
      <c r="J8" s="6" t="n">
        <v>1</v>
      </c>
      <c r="K8" s="6" t="n"/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(((E8/160000)+(F8/100)+(S8/1200)+((P8/8000)*J8))*1200/4+(((E8/160000)*(F8/100))+(((P8/8000)*J8)*(S8/1200)))*1200/2+((E8/160000)*(F8/100)*((P8/8000)*J8)*(S8/1200))*1200)*(H8/1.0)/3</f>
        <v/>
      </c>
      <c r="X8" s="6" t="n">
        <v>750</v>
      </c>
      <c r="Y8">
        <f>IFERROR(W8-X8,"")</f>
        <v/>
      </c>
      <c r="Z8">
        <f>IFERROR(ABS(Y8)/MAX(X8,1),"")</f>
        <v/>
      </c>
      <c r="AA8">
        <f>IFERROR(ROUND(((3*X8-(((E8/160000)+(F8/100)+(S8/1200))*1200/4+((E8/160000)*(F8/100))*1200/2)*(H8/1.0))/(1200/4+((S8/1200))*1200/2+((E8/160000)*(F8/100)*(S8/1200))*1200)*(H8/1.0)*8000)/J8,-1),"")</f>
        <v/>
      </c>
    </row>
    <row r="9">
      <c r="B9" s="7" t="inlineStr">
        <is>
          <t xml:space="preserve">  ↳ mtank_pri</t>
        </is>
      </c>
      <c r="C9" s="7" t="inlineStr">
        <is>
          <t>Armament</t>
        </is>
      </c>
      <c r="L9" s="6" t="n">
        <v>17000</v>
      </c>
      <c r="M9" s="6" t="n">
        <v>150</v>
      </c>
      <c r="N9" s="6" t="n">
        <v>4</v>
      </c>
      <c r="O9" s="6" t="n">
        <v>25</v>
      </c>
      <c r="P9" s="6" t="n">
        <v>10240</v>
      </c>
      <c r="Q9" s="6" t="n">
        <v>1.25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^Warhead_MissileAP_Heavy</t>
        </is>
      </c>
    </row>
    <row r="10">
      <c r="A10" s="4" t="inlineStr">
        <is>
          <t>BUILDINGS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t="inlineStr">
        <is>
          <t>d2k</t>
        </is>
      </c>
      <c r="B11" t="inlineStr">
        <is>
          <t>harkonnen_autogunturret</t>
        </is>
      </c>
      <c r="C11" t="inlineStr">
        <is>
          <t>Harkonnen Autogun Turret</t>
        </is>
      </c>
      <c r="D11" s="6" t="inlineStr">
        <is>
          <t>AdvancedDefense</t>
        </is>
      </c>
      <c r="E11" s="6" t="n">
        <v>75000</v>
      </c>
      <c r="F11" s="6" t="n"/>
      <c r="G11" t="inlineStr">
        <is>
          <t>Concrete</t>
        </is>
      </c>
      <c r="H11" s="6" t="n">
        <v>1</v>
      </c>
      <c r="I11" s="6" t="n">
        <v>1</v>
      </c>
      <c r="J11" s="6" t="n">
        <v>1</v>
      </c>
      <c r="K11" s="6" t="n"/>
      <c r="X11" s="6" t="n">
        <v>1100</v>
      </c>
    </row>
    <row r="12">
      <c r="B12" s="7" t="inlineStr">
        <is>
          <t xml:space="preserve">  ↳ harkonnen_autogunturret</t>
        </is>
      </c>
      <c r="C12" s="7" t="inlineStr">
        <is>
          <t>Armament</t>
        </is>
      </c>
      <c r="L12" s="6" t="n">
        <v>6000</v>
      </c>
      <c r="M12" s="6" t="n">
        <v>132</v>
      </c>
      <c r="N12" s="6" t="n">
        <v>26</v>
      </c>
      <c r="O12" s="6" t="n">
        <v>2</v>
      </c>
      <c r="P12" s="6" t="n">
        <v>7700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>
        <is>
          <t>^Warhead_Bullet_Light, ^Warhead_Bullet_Medium, ^Warhead_CannonHE_Heavy</t>
        </is>
      </c>
    </row>
    <row r="13">
      <c r="A13" t="inlineStr">
        <is>
          <t>d2k</t>
        </is>
      </c>
      <c r="B13" t="inlineStr">
        <is>
          <t>harkonnen_barracks</t>
        </is>
      </c>
      <c r="C13" t="inlineStr">
        <is>
          <t>Harkonnen Barracks</t>
        </is>
      </c>
      <c r="D13" s="6" t="inlineStr">
        <is>
          <t>Building</t>
        </is>
      </c>
      <c r="E13" s="6" t="n">
        <v>200000</v>
      </c>
      <c r="F13" s="6" t="n"/>
      <c r="G13" t="inlineStr">
        <is>
          <t>Wood</t>
        </is>
      </c>
      <c r="H13" s="6" t="n">
        <v>1</v>
      </c>
      <c r="I13" s="6" t="n">
        <v>1</v>
      </c>
      <c r="J13" s="6" t="n">
        <v>1</v>
      </c>
      <c r="K13" s="6" t="n"/>
      <c r="X13" s="6" t="n">
        <v>1000</v>
      </c>
    </row>
    <row r="14">
      <c r="A14" t="inlineStr">
        <is>
          <t>d2k</t>
        </is>
      </c>
      <c r="B14" t="inlineStr">
        <is>
          <t>harkonnen_constructionyard</t>
        </is>
      </c>
      <c r="C14" t="inlineStr">
        <is>
          <t>Harkonnen Construction Yard</t>
        </is>
      </c>
      <c r="D14" s="6" t="inlineStr">
        <is>
          <t>Building</t>
        </is>
      </c>
      <c r="E14" s="6" t="n">
        <v>1000000</v>
      </c>
      <c r="F14" s="6" t="n"/>
      <c r="G14" t="inlineStr">
        <is>
          <t>Concrete</t>
        </is>
      </c>
      <c r="H14" s="6" t="n">
        <v>1</v>
      </c>
      <c r="I14" s="6" t="n">
        <v>1</v>
      </c>
      <c r="J14" s="6" t="n">
        <v>1</v>
      </c>
      <c r="K14" s="6" t="n"/>
      <c r="X14" s="6" t="n">
        <v>5000</v>
      </c>
    </row>
    <row r="15">
      <c r="A15" t="inlineStr">
        <is>
          <t>d2k</t>
        </is>
      </c>
      <c r="B15" t="inlineStr">
        <is>
          <t>harkonnen_flameturret</t>
        </is>
      </c>
      <c r="C15" t="inlineStr">
        <is>
          <t>Harkonnen Flame Turret</t>
        </is>
      </c>
      <c r="D15" s="6" t="inlineStr">
        <is>
          <t>BasicDefense</t>
        </is>
      </c>
      <c r="E15" s="6" t="n">
        <v>125000</v>
      </c>
      <c r="F15" s="6" t="n"/>
      <c r="G15" t="inlineStr">
        <is>
          <t>Concrete</t>
        </is>
      </c>
      <c r="H15" s="6" t="n">
        <v>1</v>
      </c>
      <c r="I15" s="6" t="n">
        <v>1</v>
      </c>
      <c r="J15" s="6" t="n">
        <v>1</v>
      </c>
      <c r="K15" s="6" t="n"/>
      <c r="X15" s="6" t="n">
        <v>1200</v>
      </c>
    </row>
    <row r="16">
      <c r="B16" s="7" t="inlineStr">
        <is>
          <t xml:space="preserve">  ↳ HarkonnenFlameTurret</t>
        </is>
      </c>
      <c r="C16" s="7" t="inlineStr">
        <is>
          <t>Armament</t>
        </is>
      </c>
      <c r="L16" s="6" t="n">
        <v>25135</v>
      </c>
      <c r="M16" s="6" t="n">
        <v>50</v>
      </c>
      <c r="N16" s="6" t="n">
        <v>5</v>
      </c>
      <c r="O16" s="6" t="n">
        <v>3</v>
      </c>
      <c r="P16" s="6" t="n">
        <v>6742</v>
      </c>
      <c r="Q16" s="6" t="n">
        <v>1</v>
      </c>
      <c r="R16">
        <f>M16+IF(N16&gt;1,N(O16)*(N16-1),0)</f>
        <v/>
      </c>
      <c r="S16">
        <f>IFERROR(L16*MAX(N16,1)/R16*IF(ISBLANK(K15),1,K15),0)</f>
        <v/>
      </c>
      <c r="AB16" s="7" t="inlineStr">
        <is>
          <t>^Warhead_Flame_Medium</t>
        </is>
      </c>
    </row>
    <row r="17">
      <c r="A17" t="inlineStr">
        <is>
          <t>d2k</t>
        </is>
      </c>
      <c r="B17" t="inlineStr">
        <is>
          <t>harkonnen_heavyfactory</t>
        </is>
      </c>
      <c r="C17" t="inlineStr">
        <is>
          <t>Harkonnen Heavy Factory</t>
        </is>
      </c>
      <c r="D17" s="6" t="inlineStr">
        <is>
          <t>Building</t>
        </is>
      </c>
      <c r="E17" s="6" t="n">
        <v>400000</v>
      </c>
      <c r="F17" s="6" t="n"/>
      <c r="G17" t="inlineStr">
        <is>
          <t>Concrete</t>
        </is>
      </c>
      <c r="H17" s="6" t="n">
        <v>1</v>
      </c>
      <c r="I17" s="6" t="n">
        <v>1</v>
      </c>
      <c r="J17" s="6" t="n">
        <v>1</v>
      </c>
      <c r="K17" s="6" t="n"/>
      <c r="X17" s="6" t="n">
        <v>2000</v>
      </c>
    </row>
    <row r="18">
      <c r="A18" t="inlineStr">
        <is>
          <t>d2k</t>
        </is>
      </c>
      <c r="B18" t="inlineStr">
        <is>
          <t>harkonnen_hightechfactory</t>
        </is>
      </c>
      <c r="C18" t="inlineStr">
        <is>
          <t>High Tech Factory</t>
        </is>
      </c>
      <c r="D18" s="6" t="inlineStr">
        <is>
          <t>Building</t>
        </is>
      </c>
      <c r="E18" s="6" t="n">
        <v>300000</v>
      </c>
      <c r="F18" s="6" t="n"/>
      <c r="G18" t="inlineStr">
        <is>
          <t>Concrete</t>
        </is>
      </c>
      <c r="H18" s="6" t="n">
        <v>0.8462</v>
      </c>
      <c r="I18" s="6" t="n">
        <v>1</v>
      </c>
      <c r="J18" s="6" t="n">
        <v>1</v>
      </c>
      <c r="K18" s="6" t="n"/>
      <c r="X18" s="6" t="n">
        <v>1500</v>
      </c>
    </row>
    <row r="19">
      <c r="A19" t="inlineStr">
        <is>
          <t>d2k</t>
        </is>
      </c>
      <c r="B19" t="inlineStr">
        <is>
          <t>harkonnen_ixresearchcenter</t>
        </is>
      </c>
      <c r="C19" t="inlineStr">
        <is>
          <t>Ix Research Center</t>
        </is>
      </c>
      <c r="D19" s="6" t="inlineStr">
        <is>
          <t>Building</t>
        </is>
      </c>
      <c r="E19" s="6" t="n">
        <v>500000</v>
      </c>
      <c r="F19" s="6" t="n"/>
      <c r="G19" t="inlineStr">
        <is>
          <t>Concrete</t>
        </is>
      </c>
      <c r="H19" s="6" t="n">
        <v>0.8462</v>
      </c>
      <c r="I19" s="6" t="n">
        <v>1</v>
      </c>
      <c r="J19" s="6" t="n">
        <v>1</v>
      </c>
      <c r="K19" s="6" t="n"/>
      <c r="X19" s="6" t="n">
        <v>5000</v>
      </c>
    </row>
    <row r="20">
      <c r="A20" t="inlineStr">
        <is>
          <t>d2k</t>
        </is>
      </c>
      <c r="B20" t="inlineStr">
        <is>
          <t>harkonnen_lightfactory</t>
        </is>
      </c>
      <c r="C20" t="inlineStr">
        <is>
          <t>Harkonnen Light Factory</t>
        </is>
      </c>
      <c r="D20" s="6" t="inlineStr">
        <is>
          <t>Building</t>
        </is>
      </c>
      <c r="E20" s="6" t="n">
        <v>200000</v>
      </c>
      <c r="F20" s="6" t="n"/>
      <c r="G20" t="inlineStr">
        <is>
          <t>Concrete</t>
        </is>
      </c>
      <c r="H20" s="6" t="n">
        <v>1</v>
      </c>
      <c r="I20" s="6" t="n">
        <v>1</v>
      </c>
      <c r="J20" s="6" t="n">
        <v>1</v>
      </c>
      <c r="K20" s="6" t="n"/>
      <c r="X20" s="6" t="n">
        <v>1000</v>
      </c>
    </row>
    <row r="21">
      <c r="A21" t="inlineStr">
        <is>
          <t>d2k</t>
        </is>
      </c>
      <c r="B21" t="inlineStr">
        <is>
          <t>harkonnen_outpost</t>
        </is>
      </c>
      <c r="C21" t="inlineStr">
        <is>
          <t>Harkonnen Outpost</t>
        </is>
      </c>
      <c r="D21" s="6" t="inlineStr">
        <is>
          <t>Building</t>
        </is>
      </c>
      <c r="E21" s="6" t="n">
        <v>250000</v>
      </c>
      <c r="F21" s="6" t="n"/>
      <c r="G21" t="inlineStr">
        <is>
          <t>Wood</t>
        </is>
      </c>
      <c r="H21" s="6" t="n">
        <v>1</v>
      </c>
      <c r="I21" s="6" t="n">
        <v>1</v>
      </c>
      <c r="J21" s="6" t="n">
        <v>1</v>
      </c>
      <c r="K21" s="6" t="n"/>
      <c r="X21" s="6" t="n">
        <v>2500</v>
      </c>
    </row>
    <row r="22">
      <c r="A22" t="inlineStr">
        <is>
          <t>d2k</t>
        </is>
      </c>
      <c r="B22" t="inlineStr">
        <is>
          <t>harkonnen_palace</t>
        </is>
      </c>
      <c r="C22" t="inlineStr">
        <is>
          <t>Harkonnen Palace</t>
        </is>
      </c>
      <c r="D22" s="6" t="inlineStr">
        <is>
          <t>Building</t>
        </is>
      </c>
      <c r="E22" s="6" t="n">
        <v>1000000</v>
      </c>
      <c r="F22" s="6" t="n"/>
      <c r="G22" t="inlineStr">
        <is>
          <t>Concrete</t>
        </is>
      </c>
      <c r="H22" s="6" t="n">
        <v>0.5593</v>
      </c>
      <c r="I22" s="6" t="n">
        <v>1</v>
      </c>
      <c r="J22" s="6" t="n">
        <v>1</v>
      </c>
      <c r="K22" s="6" t="n"/>
      <c r="X22" s="6" t="n">
        <v>10000</v>
      </c>
    </row>
    <row r="23">
      <c r="A23" t="inlineStr">
        <is>
          <t>d2k</t>
        </is>
      </c>
      <c r="B23" t="inlineStr">
        <is>
          <t>harkonnen_refinery</t>
        </is>
      </c>
      <c r="C23" t="inlineStr">
        <is>
          <t>Refinery</t>
        </is>
      </c>
      <c r="D23" s="6" t="inlineStr">
        <is>
          <t>Building</t>
        </is>
      </c>
      <c r="E23" s="6" t="n">
        <v>300000</v>
      </c>
      <c r="F23" s="6" t="n"/>
      <c r="G23" t="inlineStr">
        <is>
          <t>Concrete</t>
        </is>
      </c>
      <c r="H23" s="6" t="n">
        <v>1</v>
      </c>
      <c r="I23" s="6" t="n">
        <v>1</v>
      </c>
      <c r="J23" s="6" t="n">
        <v>1</v>
      </c>
      <c r="K23" s="6" t="n"/>
      <c r="X23" s="6" t="n">
        <v>3000</v>
      </c>
    </row>
    <row r="24">
      <c r="A24" t="inlineStr">
        <is>
          <t>d2k</t>
        </is>
      </c>
      <c r="B24" t="inlineStr">
        <is>
          <t>harkonnen_repairpad</t>
        </is>
      </c>
      <c r="C24" t="inlineStr">
        <is>
          <t>Harkonnen Repair Pad</t>
        </is>
      </c>
      <c r="D24" s="6" t="inlineStr">
        <is>
          <t>Building</t>
        </is>
      </c>
      <c r="E24" s="6" t="n">
        <v>250000</v>
      </c>
      <c r="F24" s="6" t="n"/>
      <c r="G24" t="inlineStr">
        <is>
          <t>Concrete</t>
        </is>
      </c>
      <c r="H24" s="6" t="n">
        <v>0.8919</v>
      </c>
      <c r="I24" s="6" t="n">
        <v>1</v>
      </c>
      <c r="J24" s="6" t="n">
        <v>1</v>
      </c>
      <c r="K24" s="6" t="n"/>
      <c r="X24" s="6" t="n">
        <v>1000</v>
      </c>
    </row>
    <row r="25">
      <c r="A25" t="inlineStr">
        <is>
          <t>d2k</t>
        </is>
      </c>
      <c r="B25" t="inlineStr">
        <is>
          <t>harkonnen_rocketturret</t>
        </is>
      </c>
      <c r="C25" t="inlineStr">
        <is>
          <t>Harkonnen Rocket Turret</t>
        </is>
      </c>
      <c r="D25" s="6" t="inlineStr">
        <is>
          <t>AdvancedDefense</t>
        </is>
      </c>
      <c r="E25" s="6" t="n">
        <v>150000</v>
      </c>
      <c r="F25" s="6" t="n"/>
      <c r="G25" t="inlineStr">
        <is>
          <t>Concrete</t>
        </is>
      </c>
      <c r="H25" s="6" t="n">
        <v>1</v>
      </c>
      <c r="I25" s="6" t="n">
        <v>1</v>
      </c>
      <c r="J25" s="6" t="n">
        <v>1</v>
      </c>
      <c r="K25" s="6" t="n"/>
      <c r="X25" s="6" t="n">
        <v>1500</v>
      </c>
    </row>
    <row r="26">
      <c r="B26" s="7" t="inlineStr">
        <is>
          <t xml:space="preserve">  ↳ D2K_TowerMissile</t>
        </is>
      </c>
      <c r="C26" s="7" t="inlineStr">
        <is>
          <t>Armament@PRIMARY</t>
        </is>
      </c>
      <c r="L26" s="6" t="n">
        <v>16000</v>
      </c>
      <c r="M26" s="6" t="n">
        <v>42</v>
      </c>
      <c r="N26" s="6" t="n">
        <v>2</v>
      </c>
      <c r="O26" s="6" t="n">
        <v>5</v>
      </c>
      <c r="P26" s="6" t="n">
        <v>10684</v>
      </c>
      <c r="Q26" s="6" t="n">
        <v>1.25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^Warhead_MissileAP_Heavy</t>
        </is>
      </c>
    </row>
    <row r="27">
      <c r="A27" t="inlineStr">
        <is>
          <t>d2k</t>
        </is>
      </c>
      <c r="B27" t="inlineStr">
        <is>
          <t>harkonnen_starport</t>
        </is>
      </c>
      <c r="C27" t="inlineStr">
        <is>
          <t>Starport</t>
        </is>
      </c>
      <c r="D27" s="6" t="inlineStr">
        <is>
          <t>Building</t>
        </is>
      </c>
      <c r="E27" s="6" t="n">
        <v>500000</v>
      </c>
      <c r="F27" s="6" t="n"/>
      <c r="G27" t="inlineStr">
        <is>
          <t>Concrete</t>
        </is>
      </c>
      <c r="H27" s="6" t="n">
        <v>0.5593</v>
      </c>
      <c r="I27" s="6" t="n">
        <v>1</v>
      </c>
      <c r="J27" s="6" t="n">
        <v>1</v>
      </c>
      <c r="K27" s="6" t="n"/>
      <c r="X27" s="6" t="n">
        <v>5000</v>
      </c>
    </row>
    <row r="28">
      <c r="A28" t="inlineStr">
        <is>
          <t>d2k</t>
        </is>
      </c>
      <c r="B28" t="inlineStr">
        <is>
          <t>harkonnen_storagesilo</t>
        </is>
      </c>
      <c r="C28" t="inlineStr">
        <is>
          <t>Storage Silo</t>
        </is>
      </c>
      <c r="D28" s="6" t="inlineStr">
        <is>
          <t>Building</t>
        </is>
      </c>
      <c r="E28" s="6" t="n">
        <v>50000</v>
      </c>
      <c r="F28" s="6" t="n"/>
      <c r="G28" t="inlineStr">
        <is>
          <t>Wood</t>
        </is>
      </c>
      <c r="H28" s="6" t="n">
        <v>1</v>
      </c>
      <c r="I28" s="6" t="n">
        <v>1</v>
      </c>
      <c r="J28" s="6" t="n">
        <v>1</v>
      </c>
      <c r="K28" s="6" t="n"/>
      <c r="X28" s="6" t="n">
        <v>150</v>
      </c>
    </row>
    <row r="29">
      <c r="A29" t="inlineStr">
        <is>
          <t>d2k</t>
        </is>
      </c>
      <c r="B29" t="inlineStr">
        <is>
          <t>harkonnen_windtrap</t>
        </is>
      </c>
      <c r="C29" t="inlineStr">
        <is>
          <t>Wind Trap</t>
        </is>
      </c>
      <c r="D29" s="6" t="inlineStr">
        <is>
          <t>Building</t>
        </is>
      </c>
      <c r="E29" s="6" t="n">
        <v>200000</v>
      </c>
      <c r="F29" s="6" t="n"/>
      <c r="G29" t="inlineStr">
        <is>
          <t>Concrete</t>
        </is>
      </c>
      <c r="H29" s="6" t="n">
        <v>1</v>
      </c>
      <c r="I29" s="6" t="n">
        <v>1</v>
      </c>
      <c r="J29" s="6" t="n">
        <v>1</v>
      </c>
      <c r="K29" s="6" t="n"/>
      <c r="X29" s="6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protoss_adept</t>
        </is>
      </c>
      <c r="C3" t="inlineStr">
        <is>
          <t>Adept</t>
        </is>
      </c>
      <c r="D3" s="6" t="inlineStr">
        <is>
          <t>HeavyInfantry</t>
        </is>
      </c>
      <c r="E3" s="6" t="n">
        <v>30000</v>
      </c>
      <c r="F3" s="6" t="n">
        <v>70</v>
      </c>
      <c r="G3" t="inlineStr">
        <is>
          <t>Plate</t>
        </is>
      </c>
      <c r="H3" s="6" t="n">
        <v>1</v>
      </c>
      <c r="I3" s="6" t="n">
        <v>1</v>
      </c>
      <c r="J3" s="6" t="n">
        <v>1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650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GlaveCanon</t>
        </is>
      </c>
      <c r="C4" s="7" t="inlineStr">
        <is>
          <t>Armament</t>
        </is>
      </c>
      <c r="L4" s="6" t="n">
        <v>16000</v>
      </c>
      <c r="M4" s="6" t="n">
        <v>40</v>
      </c>
      <c r="N4" s="6" t="n">
        <v>1</v>
      </c>
      <c r="O4" s="6" t="n"/>
      <c r="P4" s="6" t="n">
        <v>5250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^Warhead_Demolition_Light, ^Warhead_Railgun_Heavy</t>
        </is>
      </c>
    </row>
    <row r="5">
      <c r="B5" s="7" t="inlineStr">
        <is>
          <t xml:space="preserve">  ↳ GlaveCanon</t>
        </is>
      </c>
      <c r="C5" s="7" t="inlineStr">
        <is>
          <t>Armament@GARRISONED</t>
        </is>
      </c>
      <c r="L5" s="6" t="n">
        <v>16000</v>
      </c>
      <c r="M5" s="6" t="n">
        <v>40</v>
      </c>
      <c r="N5" s="6" t="n">
        <v>1</v>
      </c>
      <c r="O5" s="6" t="n"/>
      <c r="P5" s="6" t="n">
        <v>5250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^Warhead_Demolition_Light, ^Warhead_Railgun_Heavy</t>
        </is>
      </c>
    </row>
    <row r="6">
      <c r="A6" t="inlineStr">
        <is>
          <t>starcraft</t>
        </is>
      </c>
      <c r="B6" t="inlineStr">
        <is>
          <t>protoss_amaranth</t>
        </is>
      </c>
      <c r="C6" t="inlineStr">
        <is>
          <t>Amaranth</t>
        </is>
      </c>
      <c r="D6" s="6" t="inlineStr">
        <is>
          <t>MeleeInfantry</t>
        </is>
      </c>
      <c r="E6" s="6" t="n">
        <v>70000</v>
      </c>
      <c r="F6" s="6" t="n">
        <v>70</v>
      </c>
      <c r="G6" t="inlineStr">
        <is>
          <t>Plate</t>
        </is>
      </c>
      <c r="H6" s="6" t="n">
        <v>1</v>
      </c>
      <c r="I6" s="6" t="n">
        <v>0.75</v>
      </c>
      <c r="J6" s="6" t="n">
        <v>1.25</v>
      </c>
      <c r="K6" s="6" t="n"/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1200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WarpBladeAmaranth</t>
        </is>
      </c>
      <c r="C7" s="7" t="inlineStr">
        <is>
          <t>Armament</t>
        </is>
      </c>
      <c r="L7" s="6" t="n">
        <v>30000</v>
      </c>
      <c r="M7" s="6" t="n">
        <v>20</v>
      </c>
      <c r="N7" s="6" t="n">
        <v>1</v>
      </c>
      <c r="O7" s="6" t="n"/>
      <c r="P7" s="6" t="n">
        <v>1840</v>
      </c>
      <c r="Q7" s="6" t="n">
        <v>1</v>
      </c>
      <c r="R7">
        <f>M7+IF(N7&gt;1,N(O7)*(N7-1),0)</f>
        <v/>
      </c>
      <c r="S7">
        <f>IFERROR(L7*MAX(N7,1)/R7*IF(ISBLANK(K6),1,K6),0)</f>
        <v/>
      </c>
      <c r="AB7" s="7" t="inlineStr">
        <is>
          <t>^Warhead_Melee_Medium</t>
        </is>
      </c>
    </row>
    <row r="8">
      <c r="A8" t="inlineStr">
        <is>
          <t>starcraft</t>
        </is>
      </c>
      <c r="B8" t="inlineStr">
        <is>
          <t>protoss_darktemplar</t>
        </is>
      </c>
      <c r="C8" t="inlineStr">
        <is>
          <t>Dark Templar</t>
        </is>
      </c>
      <c r="D8" s="6" t="inlineStr">
        <is>
          <t>MeleeInfantry</t>
        </is>
      </c>
      <c r="E8" s="6" t="n">
        <v>50000</v>
      </c>
      <c r="F8" s="6" t="n">
        <v>75</v>
      </c>
      <c r="G8" t="inlineStr">
        <is>
          <t>Plate</t>
        </is>
      </c>
      <c r="H8" s="6" t="n">
        <v>1</v>
      </c>
      <c r="I8" s="6" t="n">
        <v>0.75</v>
      </c>
      <c r="J8" s="6" t="n">
        <v>1.25</v>
      </c>
      <c r="K8" s="6" t="n"/>
      <c r="P8">
        <f>MAX(P9)</f>
        <v/>
      </c>
      <c r="S8">
        <f>S9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(T8+U8+V8)/3</f>
        <v/>
      </c>
      <c r="X8" s="6" t="n">
        <v>600</v>
      </c>
      <c r="Y8">
        <f>IFERROR(W8-X8,"")</f>
        <v/>
      </c>
      <c r="Z8">
        <f>IFERROR(ABS(Y8)/MAX(X8,1),"")</f>
        <v/>
      </c>
      <c r="AA8">
        <f>IFERROR((X8-(((E8/100000+F8/100+S8/200)*200*I8*H8)+((E8*F8/25000)*I8*H8))/3)/(((J8/5)*200*I8*H8)+((J8*S8/2.5)*I8*H8)+((E8*F8*J8*S8*I8*H8)/12500000))/3*1000,"")</f>
        <v/>
      </c>
    </row>
    <row r="9">
      <c r="B9" s="7" t="inlineStr">
        <is>
          <t xml:space="preserve">  ↳ WarpBlade</t>
        </is>
      </c>
      <c r="C9" s="7" t="inlineStr">
        <is>
          <t>Armament</t>
        </is>
      </c>
      <c r="L9" s="6" t="n">
        <v>20000</v>
      </c>
      <c r="M9" s="6" t="n">
        <v>25</v>
      </c>
      <c r="N9" s="6" t="n">
        <v>1</v>
      </c>
      <c r="O9" s="6" t="n"/>
      <c r="P9" s="6" t="n">
        <v>1600</v>
      </c>
      <c r="Q9" s="6" t="n">
        <v>1</v>
      </c>
      <c r="R9">
        <f>M9+IF(N9&gt;1,N(O9)*(N9-1),0)</f>
        <v/>
      </c>
      <c r="S9">
        <f>IFERROR(L9*MAX(N9,1)/R9*IF(ISBLANK(K8),1,K8),0)</f>
        <v/>
      </c>
      <c r="AB9" s="7" t="inlineStr">
        <is>
          <t>^Warhead_Melee_Medium</t>
        </is>
      </c>
    </row>
    <row r="10">
      <c r="A10" t="inlineStr">
        <is>
          <t>starcraft</t>
        </is>
      </c>
      <c r="B10" t="inlineStr">
        <is>
          <t>protoss_hightemplar</t>
        </is>
      </c>
      <c r="C10" t="inlineStr">
        <is>
          <t>High Templar</t>
        </is>
      </c>
      <c r="D10" s="6" t="inlineStr">
        <is>
          <t>AntiTankAntiAirInfantry</t>
        </is>
      </c>
      <c r="E10" s="6" t="n">
        <v>35000</v>
      </c>
      <c r="F10" s="6" t="n">
        <v>70</v>
      </c>
      <c r="G10" t="inlineStr">
        <is>
          <t>Flak</t>
        </is>
      </c>
      <c r="H10" s="6" t="n">
        <v>0.75</v>
      </c>
      <c r="I10" s="6" t="n">
        <v>0.5</v>
      </c>
      <c r="J10" s="6" t="n">
        <v>1.25</v>
      </c>
      <c r="K10" s="6" t="n"/>
      <c r="P10">
        <f>MAX(P12,P13,P14,P15,P16,P17,P18,P19)</f>
        <v/>
      </c>
      <c r="S10">
        <f>S12+S13+S14+S15+S16+S17+S18+S19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(((E10/5000)+(F10/50)+(S10/0)+((P10/0)*J10))*500/4+(((E10/5000)*(F10/50))+(((P10/0)*J10)*(S10/0)))*500/2+((E10/5000)*(F10/50)*((P10/0)*J10)*(S10/0))*500)*(H10/1.0)/3</f>
        <v/>
      </c>
      <c r="X10" s="6" t="n">
        <v>800</v>
      </c>
      <c r="Y10">
        <f>IFERROR(W10-X10,"")</f>
        <v/>
      </c>
      <c r="Z10">
        <f>IFERROR(ABS(Y10)/MAX(X10,1),"")</f>
        <v/>
      </c>
      <c r="AA10">
        <f>IFERROR(ROUND(((3*X10-(((E10/5000)+(F10/50)+(S10/0))*500/4+((E10/5000)*(F10/50))*500/2)*(H10/1.0))/(500/4+((S10/0))*500/2+((E10/5000)*(F10/50)*(S10/0))*500)*(H10/1.0)*0)/J10,-1),"")</f>
        <v/>
      </c>
    </row>
    <row r="11">
      <c r="B11" s="7" t="inlineStr">
        <is>
          <t xml:space="preserve">  ↳ PsiStormCosmetic</t>
        </is>
      </c>
      <c r="C11" s="7" t="inlineStr">
        <is>
          <t>Armament@Effect</t>
        </is>
      </c>
      <c r="L11" s="6" t="n"/>
      <c r="M11" s="6" t="n">
        <v>64</v>
      </c>
      <c r="N11" s="6" t="n">
        <v>1</v>
      </c>
      <c r="O11" s="6" t="n"/>
      <c r="P11" s="6" t="n">
        <v>6400</v>
      </c>
      <c r="Q11" s="6" t="n">
        <v>1</v>
      </c>
      <c r="R11">
        <f>M11+IF(N11&gt;1,N(O11)*(N11-1),0)</f>
        <v/>
      </c>
      <c r="S11">
        <f>IFERROR(L11*MAX(N11,1)/R11*IF(ISBLANK(K10),1,K10),0)</f>
        <v/>
      </c>
      <c r="AB11" s="7" t="inlineStr"/>
    </row>
    <row r="12">
      <c r="B12" s="7" t="inlineStr">
        <is>
          <t xml:space="preserve">  ↳ PsiStorm</t>
        </is>
      </c>
      <c r="C12" s="7" t="inlineStr">
        <is>
          <t>Armament@1</t>
        </is>
      </c>
      <c r="L12" s="6" t="n">
        <v>8000</v>
      </c>
      <c r="M12" s="6" t="n">
        <v>64</v>
      </c>
      <c r="N12" s="6" t="n">
        <v>1</v>
      </c>
      <c r="O12" s="6" t="n"/>
      <c r="P12" s="6" t="n">
        <v>6400</v>
      </c>
      <c r="Q12" s="6" t="n">
        <v>1.25</v>
      </c>
      <c r="R12">
        <f>M12+IF(N12&gt;1,N(O12)*(N12-1),0)</f>
        <v/>
      </c>
      <c r="S12">
        <f>IFERROR(L12*MAX(N12,1)/R12*IF(ISBLANK(K10),1,K10),0)</f>
        <v/>
      </c>
      <c r="AB12" s="7" t="inlineStr">
        <is>
          <t>^Warhead_Tesla_Heavy</t>
        </is>
      </c>
    </row>
    <row r="13">
      <c r="B13" s="7" t="inlineStr">
        <is>
          <t xml:space="preserve">  ↳ PsiStorm</t>
        </is>
      </c>
      <c r="C13" s="7" t="inlineStr">
        <is>
          <t>Armament@2</t>
        </is>
      </c>
      <c r="L13" s="6" t="n">
        <v>8000</v>
      </c>
      <c r="M13" s="6" t="n">
        <v>64</v>
      </c>
      <c r="N13" s="6" t="n">
        <v>1</v>
      </c>
      <c r="O13" s="6" t="n"/>
      <c r="P13" s="6" t="n">
        <v>6400</v>
      </c>
      <c r="Q13" s="6" t="n">
        <v>1.25</v>
      </c>
      <c r="R13">
        <f>M13+IF(N13&gt;1,N(O13)*(N13-1),0)</f>
        <v/>
      </c>
      <c r="S13">
        <f>IFERROR(L13*MAX(N13,1)/R13*IF(ISBLANK(K10),1,K10),0)</f>
        <v/>
      </c>
      <c r="AB13" s="7" t="inlineStr">
        <is>
          <t>^Warhead_Tesla_Heavy</t>
        </is>
      </c>
    </row>
    <row r="14">
      <c r="B14" s="7" t="inlineStr">
        <is>
          <t xml:space="preserve">  ↳ PsiStorm</t>
        </is>
      </c>
      <c r="C14" s="7" t="inlineStr">
        <is>
          <t>Armament@3</t>
        </is>
      </c>
      <c r="L14" s="6" t="n">
        <v>8000</v>
      </c>
      <c r="M14" s="6" t="n">
        <v>64</v>
      </c>
      <c r="N14" s="6" t="n">
        <v>1</v>
      </c>
      <c r="O14" s="6" t="n"/>
      <c r="P14" s="6" t="n">
        <v>6400</v>
      </c>
      <c r="Q14" s="6" t="n">
        <v>1.25</v>
      </c>
      <c r="R14">
        <f>M14+IF(N14&gt;1,N(O14)*(N14-1),0)</f>
        <v/>
      </c>
      <c r="S14">
        <f>IFERROR(L14*MAX(N14,1)/R14*IF(ISBLANK(K10),1,K10),0)</f>
        <v/>
      </c>
      <c r="AB14" s="7" t="inlineStr">
        <is>
          <t>^Warhead_Tesla_Heavy</t>
        </is>
      </c>
    </row>
    <row r="15">
      <c r="B15" s="7" t="inlineStr">
        <is>
          <t xml:space="preserve">  ↳ PsiStorm</t>
        </is>
      </c>
      <c r="C15" s="7" t="inlineStr">
        <is>
          <t>Armament@4</t>
        </is>
      </c>
      <c r="L15" s="6" t="n">
        <v>8000</v>
      </c>
      <c r="M15" s="6" t="n">
        <v>64</v>
      </c>
      <c r="N15" s="6" t="n">
        <v>1</v>
      </c>
      <c r="O15" s="6" t="n"/>
      <c r="P15" s="6" t="n">
        <v>6400</v>
      </c>
      <c r="Q15" s="6" t="n">
        <v>1.25</v>
      </c>
      <c r="R15">
        <f>M15+IF(N15&gt;1,N(O15)*(N15-1),0)</f>
        <v/>
      </c>
      <c r="S15">
        <f>IFERROR(L15*MAX(N15,1)/R15*IF(ISBLANK(K10),1,K10),0)</f>
        <v/>
      </c>
      <c r="AB15" s="7" t="inlineStr">
        <is>
          <t>^Warhead_Tesla_Heavy</t>
        </is>
      </c>
    </row>
    <row r="16">
      <c r="B16" s="7" t="inlineStr">
        <is>
          <t xml:space="preserve">  ↳ PsiStorm</t>
        </is>
      </c>
      <c r="C16" s="7" t="inlineStr">
        <is>
          <t>Armament@5</t>
        </is>
      </c>
      <c r="L16" s="6" t="n">
        <v>8000</v>
      </c>
      <c r="M16" s="6" t="n">
        <v>64</v>
      </c>
      <c r="N16" s="6" t="n">
        <v>1</v>
      </c>
      <c r="O16" s="6" t="n"/>
      <c r="P16" s="6" t="n">
        <v>6400</v>
      </c>
      <c r="Q16" s="6" t="n">
        <v>1.25</v>
      </c>
      <c r="R16">
        <f>M16+IF(N16&gt;1,N(O16)*(N16-1),0)</f>
        <v/>
      </c>
      <c r="S16">
        <f>IFERROR(L16*MAX(N16,1)/R16*IF(ISBLANK(K10),1,K10),0)</f>
        <v/>
      </c>
      <c r="AB16" s="7" t="inlineStr">
        <is>
          <t>^Warhead_Tesla_Heavy</t>
        </is>
      </c>
    </row>
    <row r="17">
      <c r="B17" s="7" t="inlineStr">
        <is>
          <t xml:space="preserve">  ↳ PsiStorm</t>
        </is>
      </c>
      <c r="C17" s="7" t="inlineStr">
        <is>
          <t>Armament@6</t>
        </is>
      </c>
      <c r="L17" s="6" t="n">
        <v>8000</v>
      </c>
      <c r="M17" s="6" t="n">
        <v>64</v>
      </c>
      <c r="N17" s="6" t="n">
        <v>1</v>
      </c>
      <c r="O17" s="6" t="n"/>
      <c r="P17" s="6" t="n">
        <v>6400</v>
      </c>
      <c r="Q17" s="6" t="n">
        <v>1.25</v>
      </c>
      <c r="R17">
        <f>M17+IF(N17&gt;1,N(O17)*(N17-1),0)</f>
        <v/>
      </c>
      <c r="S17">
        <f>IFERROR(L17*MAX(N17,1)/R17*IF(ISBLANK(K10),1,K10),0)</f>
        <v/>
      </c>
      <c r="AB17" s="7" t="inlineStr">
        <is>
          <t>^Warhead_Tesla_Heavy</t>
        </is>
      </c>
    </row>
    <row r="18">
      <c r="B18" s="7" t="inlineStr">
        <is>
          <t xml:space="preserve">  ↳ PsiStorm</t>
        </is>
      </c>
      <c r="C18" s="7" t="inlineStr">
        <is>
          <t>Armament@7</t>
        </is>
      </c>
      <c r="L18" s="6" t="n">
        <v>8000</v>
      </c>
      <c r="M18" s="6" t="n">
        <v>64</v>
      </c>
      <c r="N18" s="6" t="n">
        <v>1</v>
      </c>
      <c r="O18" s="6" t="n"/>
      <c r="P18" s="6" t="n">
        <v>6400</v>
      </c>
      <c r="Q18" s="6" t="n">
        <v>1.25</v>
      </c>
      <c r="R18">
        <f>M18+IF(N18&gt;1,N(O18)*(N18-1),0)</f>
        <v/>
      </c>
      <c r="S18">
        <f>IFERROR(L18*MAX(N18,1)/R18*IF(ISBLANK(K10),1,K10),0)</f>
        <v/>
      </c>
      <c r="AB18" s="7" t="inlineStr">
        <is>
          <t>^Warhead_Tesla_Heavy</t>
        </is>
      </c>
    </row>
    <row r="19">
      <c r="B19" s="7" t="inlineStr">
        <is>
          <t xml:space="preserve">  ↳ PsiStorm</t>
        </is>
      </c>
      <c r="C19" s="7" t="inlineStr">
        <is>
          <t>Armament@8</t>
        </is>
      </c>
      <c r="L19" s="6" t="n">
        <v>8000</v>
      </c>
      <c r="M19" s="6" t="n">
        <v>64</v>
      </c>
      <c r="N19" s="6" t="n">
        <v>1</v>
      </c>
      <c r="O19" s="6" t="n"/>
      <c r="P19" s="6" t="n">
        <v>6400</v>
      </c>
      <c r="Q19" s="6" t="n">
        <v>1.25</v>
      </c>
      <c r="R19">
        <f>M19+IF(N19&gt;1,N(O19)*(N19-1),0)</f>
        <v/>
      </c>
      <c r="S19">
        <f>IFERROR(L19*MAX(N19,1)/R19*IF(ISBLANK(K10),1,K10),0)</f>
        <v/>
      </c>
      <c r="AB19" s="7" t="inlineStr">
        <is>
          <t>^Warhead_Tesla_Heavy</t>
        </is>
      </c>
    </row>
    <row r="20">
      <c r="A20" t="inlineStr">
        <is>
          <t>starcraft</t>
        </is>
      </c>
      <c r="B20" t="inlineStr">
        <is>
          <t>protoss_legionnaire</t>
        </is>
      </c>
      <c r="C20" t="inlineStr">
        <is>
          <t>Legionnaire</t>
        </is>
      </c>
      <c r="D20" s="6" t="inlineStr">
        <is>
          <t>MeleeInfantry</t>
        </is>
      </c>
      <c r="E20" s="6" t="n">
        <v>60000</v>
      </c>
      <c r="F20" s="6" t="n">
        <v>60</v>
      </c>
      <c r="G20" t="inlineStr">
        <is>
          <t>Plate</t>
        </is>
      </c>
      <c r="H20" s="6" t="n">
        <v>1</v>
      </c>
      <c r="I20" s="6" t="n">
        <v>0.75</v>
      </c>
      <c r="J20" s="6" t="n">
        <v>1</v>
      </c>
      <c r="K20" s="6" t="n"/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700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psi_spear</t>
        </is>
      </c>
      <c r="C21" s="7" t="inlineStr">
        <is>
          <t>Armament</t>
        </is>
      </c>
      <c r="L21" s="6" t="n">
        <v>32000</v>
      </c>
      <c r="M21" s="6" t="n">
        <v>26</v>
      </c>
      <c r="N21" s="6" t="n">
        <v>1</v>
      </c>
      <c r="O21" s="6" t="n"/>
      <c r="P21" s="6" t="n">
        <v>1337</v>
      </c>
      <c r="Q21" s="6" t="n">
        <v>1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^Warhead_Melee_Medium</t>
        </is>
      </c>
    </row>
    <row r="22">
      <c r="A22" t="inlineStr">
        <is>
          <t>starcraft</t>
        </is>
      </c>
      <c r="B22" t="inlineStr">
        <is>
          <t>protoss_patriarch</t>
        </is>
      </c>
      <c r="C22" t="inlineStr">
        <is>
          <t>Patriarch</t>
        </is>
      </c>
      <c r="D22" s="6" t="inlineStr">
        <is>
          <t>HeroInfantry</t>
        </is>
      </c>
      <c r="E22" s="6" t="n">
        <v>75000</v>
      </c>
      <c r="F22" s="6" t="n">
        <v>75</v>
      </c>
      <c r="G22" t="inlineStr">
        <is>
          <t>Heroic</t>
        </is>
      </c>
      <c r="H22" s="6" t="n">
        <v>0.7674</v>
      </c>
      <c r="I22" s="6" t="n">
        <v>1</v>
      </c>
      <c r="J22" s="6" t="n">
        <v>1</v>
      </c>
      <c r="K22" s="6" t="n"/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4000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PatriarchShoot</t>
        </is>
      </c>
      <c r="C23" s="7" t="inlineStr">
        <is>
          <t>Armament</t>
        </is>
      </c>
      <c r="L23" s="6" t="n">
        <v>12000</v>
      </c>
      <c r="M23" s="6" t="n">
        <v>75</v>
      </c>
      <c r="N23" s="6" t="n">
        <v>2</v>
      </c>
      <c r="O23" s="6" t="n">
        <v>0</v>
      </c>
      <c r="P23" s="6" t="n">
        <v>5000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^Grenade, ^ShrapnelWeapon, ^HeavyBomb, ^MediumMissile, ^Chaingun, ^FlakWeapon</t>
        </is>
      </c>
    </row>
    <row r="24">
      <c r="B24" s="7" t="inlineStr">
        <is>
          <t xml:space="preserve">  ↳ PatriarchShoot</t>
        </is>
      </c>
      <c r="C24" s="7" t="inlineStr">
        <is>
          <t>Armament@garrisoned</t>
        </is>
      </c>
      <c r="L24" s="6" t="n">
        <v>12000</v>
      </c>
      <c r="M24" s="6" t="n">
        <v>75</v>
      </c>
      <c r="N24" s="6" t="n">
        <v>2</v>
      </c>
      <c r="O24" s="6" t="n">
        <v>0</v>
      </c>
      <c r="P24" s="6" t="n">
        <v>5000</v>
      </c>
      <c r="Q24" s="6" t="n">
        <v>1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^Grenade, ^ShrapnelWeapon, ^HeavyBomb, ^MediumMissile, ^Chaingun, ^FlakWeapon</t>
        </is>
      </c>
    </row>
    <row r="25">
      <c r="A25" t="inlineStr">
        <is>
          <t>starcraft</t>
        </is>
      </c>
      <c r="B25" t="inlineStr">
        <is>
          <t>protoss_zealot</t>
        </is>
      </c>
      <c r="C25" t="inlineStr">
        <is>
          <t>Zealot</t>
        </is>
      </c>
      <c r="D25" s="6" t="inlineStr">
        <is>
          <t>MeleeInfantry</t>
        </is>
      </c>
      <c r="E25" s="6" t="n">
        <v>40000</v>
      </c>
      <c r="F25" s="6" t="n">
        <v>70</v>
      </c>
      <c r="G25" t="inlineStr">
        <is>
          <t>Plate</t>
        </is>
      </c>
      <c r="H25" s="6" t="n">
        <v>1</v>
      </c>
      <c r="I25" s="6" t="n">
        <v>0.75</v>
      </c>
      <c r="J25" s="6" t="n">
        <v>1</v>
      </c>
      <c r="K25" s="6" t="n"/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300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psi_blades</t>
        </is>
      </c>
      <c r="C26" s="7" t="inlineStr">
        <is>
          <t>Armament</t>
        </is>
      </c>
      <c r="L26" s="6" t="n">
        <v>8000</v>
      </c>
      <c r="M26" s="6" t="n">
        <v>30</v>
      </c>
      <c r="N26" s="6" t="n">
        <v>2</v>
      </c>
      <c r="O26" s="6" t="n">
        <v>6</v>
      </c>
      <c r="P26" s="6" t="n">
        <v>1335</v>
      </c>
      <c r="Q26" s="6" t="n">
        <v>1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^Warhead_Melee_Medium</t>
        </is>
      </c>
    </row>
    <row r="27">
      <c r="A27" t="inlineStr">
        <is>
          <t>starcraft</t>
        </is>
      </c>
      <c r="B27" t="inlineStr">
        <is>
          <t>protoss_zeratul</t>
        </is>
      </c>
      <c r="C27" t="inlineStr">
        <is>
          <t>Zeratul</t>
        </is>
      </c>
      <c r="D27" s="6" t="inlineStr">
        <is>
          <t>HeroInfantry</t>
        </is>
      </c>
      <c r="E27" s="6" t="n">
        <v>250000</v>
      </c>
      <c r="F27" s="6" t="n">
        <v>100</v>
      </c>
      <c r="G27" t="inlineStr">
        <is>
          <t>Heroic</t>
        </is>
      </c>
      <c r="H27" s="6" t="n">
        <v>0.75</v>
      </c>
      <c r="I27" s="6" t="n">
        <v>1</v>
      </c>
      <c r="J27" s="6" t="n">
        <v>1.25</v>
      </c>
      <c r="K27" s="6" t="n"/>
      <c r="P27">
        <f>MAX(P28)</f>
        <v/>
      </c>
      <c r="S27">
        <f>S28</f>
        <v/>
      </c>
      <c r="T27">
        <f>(E27/100000+F27/100+(P27/1000)*J27/5+S27/200)*200*I27*H27</f>
        <v/>
      </c>
      <c r="U27">
        <f>((E27*F27/25000)+((P27/1000)*J27*S27/2.5))*I27*H27</f>
        <v/>
      </c>
      <c r="V27">
        <f>(E27*F27*(P27/1000)*J27*S27*I27*H27)/12500000</f>
        <v/>
      </c>
      <c r="W27">
        <f>(T27+U27+V27)/3</f>
        <v/>
      </c>
      <c r="X27" s="6" t="n">
        <v>4000</v>
      </c>
      <c r="Y27">
        <f>IFERROR(W27-X27,"")</f>
        <v/>
      </c>
      <c r="Z27">
        <f>IFERROR(ABS(Y27)/MAX(X27,1),"")</f>
        <v/>
      </c>
      <c r="AA27">
        <f>IFERROR((X27-(((E27/100000+F27/100+S27/200)*200*I27*H27)+((E27*F27/25000)*I27*H27))/3)/(((J27/5)*200*I27*H27)+((J27*S27/2.5)*I27*H27)+((E27*F27*J27*S27*I27*H27)/12500000))/3*1000,"")</f>
        <v/>
      </c>
    </row>
    <row r="28">
      <c r="B28" s="7" t="inlineStr">
        <is>
          <t xml:space="preserve">  ↳ ZeratulSlice</t>
        </is>
      </c>
      <c r="C28" s="7" t="inlineStr">
        <is>
          <t>Armament</t>
        </is>
      </c>
      <c r="L28" s="6" t="n">
        <v>64000</v>
      </c>
      <c r="M28" s="6" t="n">
        <v>24</v>
      </c>
      <c r="N28" s="6" t="n">
        <v>1</v>
      </c>
      <c r="O28" s="6" t="n"/>
      <c r="P28" s="6" t="n">
        <v>1445</v>
      </c>
      <c r="Q28" s="6" t="n">
        <v>1</v>
      </c>
      <c r="R28">
        <f>M28+IF(N28&gt;1,N(O28)*(N28-1),0)</f>
        <v/>
      </c>
      <c r="S28">
        <f>IFERROR(L28*MAX(N28,1)/R28*IF(ISBLANK(K27),1,K27),0)</f>
        <v/>
      </c>
      <c r="AB28" s="7" t="inlineStr">
        <is>
          <t>^Warhead_Melee_Medium</t>
        </is>
      </c>
    </row>
    <row r="29">
      <c r="A29" s="4" t="inlineStr">
        <is>
          <t>VEHICLES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>
      <c r="A30" t="inlineStr">
        <is>
          <t>starcraft</t>
        </is>
      </c>
      <c r="B30" t="inlineStr">
        <is>
          <t>protoss_analogue</t>
        </is>
      </c>
      <c r="C30" t="inlineStr">
        <is>
          <t>Analogue</t>
        </is>
      </c>
      <c r="D30" s="6" t="inlineStr">
        <is>
          <t>SupportVehicle</t>
        </is>
      </c>
      <c r="E30" s="6" t="n">
        <v>60000</v>
      </c>
      <c r="F30" s="6" t="n">
        <v>60</v>
      </c>
      <c r="G30" t="inlineStr">
        <is>
          <t>Light</t>
        </is>
      </c>
      <c r="H30" s="6" t="n">
        <v>1</v>
      </c>
      <c r="I30" s="6" t="n">
        <v>1</v>
      </c>
      <c r="J30" s="6" t="n">
        <v>1</v>
      </c>
      <c r="K30" s="6" t="n"/>
      <c r="P30">
        <f>MAX(P31,P32)</f>
        <v/>
      </c>
      <c r="S30">
        <f>S31+S32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1200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SCVAttack</t>
        </is>
      </c>
      <c r="C31" s="7" t="inlineStr">
        <is>
          <t>Armament</t>
        </is>
      </c>
      <c r="L31" s="6" t="n">
        <v>10000</v>
      </c>
      <c r="M31" s="6" t="n">
        <v>25</v>
      </c>
      <c r="N31" s="6" t="n">
        <v>1</v>
      </c>
      <c r="O31" s="6" t="n"/>
      <c r="P31" s="6" t="n">
        <v>1500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^Warhead_Melee_Medium</t>
        </is>
      </c>
    </row>
    <row r="32">
      <c r="B32" s="7" t="inlineStr">
        <is>
          <t xml:space="preserve">  ↳ SCVRepair</t>
        </is>
      </c>
      <c r="C32" s="7" t="inlineStr">
        <is>
          <t>Armament@repair</t>
        </is>
      </c>
      <c r="L32" s="6" t="n">
        <v>-3000</v>
      </c>
      <c r="M32" s="6" t="n">
        <v>5</v>
      </c>
      <c r="N32" s="6" t="n">
        <v>10</v>
      </c>
      <c r="O32" s="6" t="n">
        <v>1</v>
      </c>
      <c r="P32" s="6" t="n">
        <v>2000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^RepairWeapon</t>
        </is>
      </c>
    </row>
    <row r="33">
      <c r="A33" t="inlineStr">
        <is>
          <t>starcraft</t>
        </is>
      </c>
      <c r="B33" t="inlineStr">
        <is>
          <t>protoss_archon</t>
        </is>
      </c>
      <c r="C33" t="inlineStr">
        <is>
          <t>Archon</t>
        </is>
      </c>
      <c r="D33" s="6" t="inlineStr">
        <is>
          <t>LineBreaker</t>
        </is>
      </c>
      <c r="E33" s="6" t="n">
        <v>350000</v>
      </c>
      <c r="F33" s="6" t="n">
        <v>75</v>
      </c>
      <c r="G33" t="inlineStr">
        <is>
          <t>Superheavy</t>
        </is>
      </c>
      <c r="H33" s="6" t="n">
        <v>0.75</v>
      </c>
      <c r="I33" s="6" t="n">
        <v>1</v>
      </c>
      <c r="J33" s="6" t="n">
        <v>1.25</v>
      </c>
      <c r="K33" s="6" t="n"/>
      <c r="P33">
        <f>MAX(P34)</f>
        <v/>
      </c>
      <c r="S33">
        <f>S34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(((E33/750000)+(F33/80)+(S33/1600)+((P33/2500)*J33))*1600/4+(((E33/750000)*(F33/80))+(((P33/2500)*J33)*(S33/1600)))*1600/2+((E33/750000)*(F33/80)*((P33/2500)*J33)*(S33/1600))*1600)*(H33/1.0)/3</f>
        <v/>
      </c>
      <c r="X33" s="6" t="n">
        <v>5600</v>
      </c>
      <c r="Y33">
        <f>IFERROR(W33-X33,"")</f>
        <v/>
      </c>
      <c r="Z33">
        <f>IFERROR(ABS(Y33)/MAX(X33,1),"")</f>
        <v/>
      </c>
      <c r="AA33">
        <f>IFERROR(ROUND(((3*X33-(((E33/750000)+(F33/80)+(S33/1600))*1600/4+((E33/750000)*(F33/80))*1600/2)*(H33/1.0))/(1600/4+((S33/1600))*1600/2+((E33/750000)*(F33/80)*(S33/1600))*1600)*(H33/1.0)*2500)/J33,-1),"")</f>
        <v/>
      </c>
    </row>
    <row r="34">
      <c r="B34" s="7" t="inlineStr">
        <is>
          <t xml:space="preserve">  ↳ PsionicShockwave</t>
        </is>
      </c>
      <c r="C34" s="7" t="inlineStr">
        <is>
          <t>Armament</t>
        </is>
      </c>
      <c r="L34" s="6" t="n">
        <v>30000</v>
      </c>
      <c r="M34" s="6" t="n">
        <v>20</v>
      </c>
      <c r="N34" s="6" t="n">
        <v>1</v>
      </c>
      <c r="O34" s="6" t="n"/>
      <c r="P34" s="6" t="n">
        <v>3152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^Warhead_Tesla_Super</t>
        </is>
      </c>
    </row>
    <row r="35">
      <c r="A35" t="inlineStr">
        <is>
          <t>starcraft</t>
        </is>
      </c>
      <c r="B35" t="inlineStr">
        <is>
          <t>protoss_atreus</t>
        </is>
      </c>
      <c r="C35" t="inlineStr">
        <is>
          <t>Atreus</t>
        </is>
      </c>
      <c r="D35" s="6" t="inlineStr">
        <is>
          <t>HighTechTank</t>
        </is>
      </c>
      <c r="E35" s="6" t="n">
        <v>250000</v>
      </c>
      <c r="F35" s="6" t="n">
        <v>60</v>
      </c>
      <c r="G35" t="inlineStr">
        <is>
          <t>Superheavy</t>
        </is>
      </c>
      <c r="H35" s="6" t="n">
        <v>0.75</v>
      </c>
      <c r="I35" s="6" t="n">
        <v>1</v>
      </c>
      <c r="J35" s="6" t="n">
        <v>1</v>
      </c>
      <c r="K35" s="6" t="n"/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(((E35/700000)+(F35/65)+(S35/2000)+((P35/6500)*J35))*2000/4+(((E35/700000)*(F35/65))+(((P35/6500)*J35)*(S35/2000)))*2000/2+((E35/700000)*(F35/65)*((P35/6500)*J35)*(S35/2000))*2000)*(H35/0.75)/3</f>
        <v/>
      </c>
      <c r="X35" s="6" t="n">
        <v>2400</v>
      </c>
      <c r="Y35">
        <f>IFERROR(W35-X35,"")</f>
        <v/>
      </c>
      <c r="Z35">
        <f>IFERROR(ABS(Y35)/MAX(X35,1),"")</f>
        <v/>
      </c>
      <c r="AA35">
        <f>IFERROR(ROUND(((3*X35-(((E35/700000)+(F35/65)+(S35/2000))*2000/4+((E35/700000)*(F35/65))*2000/2)*(H35/0.75))/(2000/4+((S35/2000))*2000/2+((E35/700000)*(F35/65)*(S35/2000))*2000)*(H35/0.75)*6500)/J35,-1),"")</f>
        <v/>
      </c>
    </row>
    <row r="36">
      <c r="B36" s="7" t="inlineStr">
        <is>
          <t xml:space="preserve">  ↳ AtreusMG</t>
        </is>
      </c>
      <c r="C36" s="7" t="inlineStr">
        <is>
          <t>Armament</t>
        </is>
      </c>
      <c r="L36" s="6" t="n">
        <v>10000</v>
      </c>
      <c r="M36" s="6" t="n">
        <v>28</v>
      </c>
      <c r="N36" s="6" t="n">
        <v>4</v>
      </c>
      <c r="O36" s="6" t="n">
        <v>4</v>
      </c>
      <c r="P36" s="6" t="n">
        <v>4500</v>
      </c>
      <c r="Q36" s="6" t="n">
        <v>1.125</v>
      </c>
      <c r="R36">
        <f>M36+IF(N36&gt;1,N(O36)*(N36-1),0)</f>
        <v/>
      </c>
      <c r="S36">
        <f>IFERROR(L36*MAX(N36,1)/R36*IF(ISBLANK(K35),1,K35),0)</f>
        <v/>
      </c>
      <c r="AB36" s="7" t="inlineStr">
        <is>
          <t>^Warhead_CannonHE_Heavy, ^Warhead_Bullet_Medium</t>
        </is>
      </c>
    </row>
    <row r="37">
      <c r="A37" t="inlineStr">
        <is>
          <t>starcraft</t>
        </is>
      </c>
      <c r="B37" t="inlineStr">
        <is>
          <t>protoss_dragoon</t>
        </is>
      </c>
      <c r="C37" t="inlineStr">
        <is>
          <t>Dragoon</t>
        </is>
      </c>
      <c r="D37" s="6" t="inlineStr">
        <is>
          <t>MainBattleTank</t>
        </is>
      </c>
      <c r="E37" s="6" t="n">
        <v>75000</v>
      </c>
      <c r="F37" s="6" t="n">
        <v>80</v>
      </c>
      <c r="G37" t="inlineStr">
        <is>
          <t>Heavy</t>
        </is>
      </c>
      <c r="H37" s="6" t="n">
        <v>1</v>
      </c>
      <c r="I37" s="6" t="n">
        <v>1</v>
      </c>
      <c r="J37" s="6" t="n">
        <v>1</v>
      </c>
      <c r="K37" s="6" t="n">
        <v>0.005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(((E37/240000)+(F37/95)+(S37/600)+((P37/5500)*J37))*800/4+(((E37/240000)*(F37/95))+(((P37/5500)*J37)*(S37/600)))*800/2+((E37/240000)*(F37/95)*((P37/5500)*J37)*(S37/600))*800)*(H37/1.0)/3</f>
        <v/>
      </c>
      <c r="X37" s="6" t="n">
        <v>1200</v>
      </c>
      <c r="Y37">
        <f>IFERROR(W37-X37,"")</f>
        <v/>
      </c>
      <c r="Z37">
        <f>IFERROR(ABS(Y37)/MAX(X37,1),"")</f>
        <v/>
      </c>
      <c r="AA37">
        <f>IFERROR(ROUND(((3*X37-(((E37/240000)+(F37/95)+(S37/600))*800/4+((E37/240000)*(F37/95))*800/2)*(H37/1.0))/(800/4+((S37/600))*800/2+((E37/240000)*(F37/95)*(S37/600))*800)*(H37/1.0)*5500)/J37,-1),"")</f>
        <v/>
      </c>
    </row>
    <row r="38">
      <c r="B38" s="7" t="inlineStr">
        <is>
          <t xml:space="preserve">  ↳ DragoonCannon</t>
        </is>
      </c>
      <c r="C38" s="7" t="inlineStr">
        <is>
          <t>Armament</t>
        </is>
      </c>
      <c r="L38" s="6" t="n">
        <v>40000</v>
      </c>
      <c r="M38" s="6" t="n">
        <v>40</v>
      </c>
      <c r="N38" s="6" t="n">
        <v>1</v>
      </c>
      <c r="O38" s="6" t="n"/>
      <c r="P38" s="6" t="n">
        <v>5000</v>
      </c>
      <c r="Q38" s="6" t="n">
        <v>1</v>
      </c>
      <c r="R38">
        <f>M38+IF(N38&gt;1,N(O38)*(N38-1),0)</f>
        <v/>
      </c>
      <c r="S38">
        <f>IFERROR(L38*MAX(N38,1)/R38*IF(ISBLANK(K37),1,K37),0)</f>
        <v/>
      </c>
      <c r="AB38" s="7" t="inlineStr">
        <is>
          <t>PhotonCannon</t>
        </is>
      </c>
    </row>
    <row r="39">
      <c r="A39" t="inlineStr">
        <is>
          <t>starcraft</t>
        </is>
      </c>
      <c r="B39" t="inlineStr">
        <is>
          <t>protoss_idol</t>
        </is>
      </c>
      <c r="C39" t="inlineStr">
        <is>
          <t>Idol</t>
        </is>
      </c>
      <c r="D39" s="6" t="inlineStr">
        <is>
          <t>EpicVehicle</t>
        </is>
      </c>
      <c r="E39" s="6" t="n">
        <v>350000</v>
      </c>
      <c r="F39" s="6" t="n">
        <v>40</v>
      </c>
      <c r="G39" t="inlineStr">
        <is>
          <t>Superheavy</t>
        </is>
      </c>
      <c r="H39" s="6" t="n">
        <v>0.75</v>
      </c>
      <c r="I39" s="6" t="n">
        <v>0.4</v>
      </c>
      <c r="J39" s="6" t="n">
        <v>1.25</v>
      </c>
      <c r="K39" s="6" t="n">
        <v>0.0223</v>
      </c>
      <c r="P39">
        <f>MAX(P40,P41,P42)</f>
        <v/>
      </c>
      <c r="S39">
        <f>S40+S41+S42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(((E39/4000000)+(F39/60)+(S39/20000)+((P39/8500)*J39))*10000/4+(((E39/4000000)*(F39/60))+(((P39/8500)*J39)*(S39/20000)))*10000/2+((E39/4000000)*(F39/60)*((P39/8500)*J39)*(S39/20000))*10000)*(H39/0.75)/3</f>
        <v/>
      </c>
      <c r="X39" s="6" t="n">
        <v>2800</v>
      </c>
      <c r="Y39">
        <f>IFERROR(W39-X39,"")</f>
        <v/>
      </c>
      <c r="Z39">
        <f>IFERROR(ABS(Y39)/MAX(X39,1),"")</f>
        <v/>
      </c>
      <c r="AA39">
        <f>IFERROR(ROUND(((3*X39-(((E39/4000000)+(F39/60)+(S39/20000))*10000/4+((E39/4000000)*(F39/60))*10000/2)*(H39/0.75))/(10000/4+((S39/20000))*10000/2+((E39/4000000)*(F39/60)*(S39/20000))*10000)*(H39/0.75)*8500)/J39,-1),"")</f>
        <v/>
      </c>
    </row>
    <row r="40">
      <c r="B40" s="7" t="inlineStr">
        <is>
          <t xml:space="preserve">  ↳ WaveforceCannonChargedLaser</t>
        </is>
      </c>
      <c r="C40" s="7" t="inlineStr">
        <is>
          <t>Armament@Upgrade1</t>
        </is>
      </c>
      <c r="L40" s="6" t="n">
        <v>20000</v>
      </c>
      <c r="M40" s="6" t="n">
        <v>120</v>
      </c>
      <c r="N40" s="6" t="n">
        <v>1</v>
      </c>
      <c r="O40" s="6" t="n"/>
      <c r="P40" s="6" t="n">
        <v>9343</v>
      </c>
      <c r="Q40" s="6" t="n">
        <v>1.25</v>
      </c>
      <c r="R40">
        <f>M40+IF(N40&gt;1,N(O40)*(N40-1),0)</f>
        <v/>
      </c>
      <c r="S40">
        <f>IFERROR(L40*MAX(N40,1)/R40*IF(ISBLANK(K39),1,K39),0)</f>
        <v/>
      </c>
      <c r="AB40" s="7" t="inlineStr">
        <is>
          <t>^Warhead_MissileHE_Heavy, ^Warhead_Railgun_Heavy</t>
        </is>
      </c>
    </row>
    <row r="41">
      <c r="B41" s="7" t="inlineStr">
        <is>
          <t xml:space="preserve">  ↳ WaveforceCannonDistortedBeam1</t>
        </is>
      </c>
      <c r="C41" s="7" t="inlineStr">
        <is>
          <t>Armament@Upgrade2</t>
        </is>
      </c>
      <c r="L41" s="6" t="n">
        <v>20000</v>
      </c>
      <c r="M41" s="6" t="n">
        <v>120</v>
      </c>
      <c r="N41" s="6" t="n">
        <v>1</v>
      </c>
      <c r="O41" s="6" t="n"/>
      <c r="P41" s="6" t="n">
        <v>9343</v>
      </c>
      <c r="Q41" s="6" t="n">
        <v>1</v>
      </c>
      <c r="R41">
        <f>M41+IF(N41&gt;1,N(O41)*(N41-1),0)</f>
        <v/>
      </c>
      <c r="S41">
        <f>IFERROR(L41*MAX(N41,1)/R41*IF(ISBLANK(K39),1,K39),0)</f>
        <v/>
      </c>
      <c r="AB41" s="7" t="inlineStr">
        <is>
          <t>^TeslaWeapon, ^HeavyCannon</t>
        </is>
      </c>
    </row>
    <row r="42">
      <c r="B42" s="7" t="inlineStr">
        <is>
          <t xml:space="preserve">  ↳ WaveforceCannonDistortedBeam2</t>
        </is>
      </c>
      <c r="C42" s="7" t="inlineStr">
        <is>
          <t>Armament@Upgrade3</t>
        </is>
      </c>
      <c r="L42" s="6" t="n">
        <v>20000</v>
      </c>
      <c r="M42" s="6" t="n">
        <v>120</v>
      </c>
      <c r="N42" s="6" t="n">
        <v>1</v>
      </c>
      <c r="O42" s="6" t="n"/>
      <c r="P42" s="6" t="n">
        <v>9343</v>
      </c>
      <c r="Q42" s="6" t="n">
        <v>1.25</v>
      </c>
      <c r="R42">
        <f>M42+IF(N42&gt;1,N(O42)*(N42-1),0)</f>
        <v/>
      </c>
      <c r="S42">
        <f>IFERROR(L42*MAX(N42,1)/R42*IF(ISBLANK(K39),1,K39),0)</f>
        <v/>
      </c>
      <c r="AB42" s="7" t="inlineStr">
        <is>
          <t>^Warhead_Chemical_Heavy, ^Warhead_Flame_Heavy</t>
        </is>
      </c>
    </row>
    <row r="43">
      <c r="A43" t="inlineStr">
        <is>
          <t>starcraft</t>
        </is>
      </c>
      <c r="B43" t="inlineStr">
        <is>
          <t>protoss_manifold</t>
        </is>
      </c>
      <c r="C43" t="inlineStr">
        <is>
          <t>Manifold</t>
        </is>
      </c>
      <c r="D43" s="6" t="inlineStr">
        <is>
          <t>SupportVehicle</t>
        </is>
      </c>
      <c r="E43" s="6" t="n">
        <v>25000</v>
      </c>
      <c r="F43" s="6" t="n">
        <v>75</v>
      </c>
      <c r="G43" t="inlineStr">
        <is>
          <t>Light</t>
        </is>
      </c>
      <c r="H43" s="6" t="n">
        <v>1</v>
      </c>
      <c r="I43" s="6" t="n">
        <v>1</v>
      </c>
      <c r="J43" s="6" t="n">
        <v>1.25</v>
      </c>
      <c r="K43" s="6" t="n"/>
      <c r="P43">
        <f>MAX(P44,P45)</f>
        <v/>
      </c>
      <c r="S43">
        <f>S44+S45</f>
        <v/>
      </c>
      <c r="T43">
        <f>(E43/100000+F43/100+(P43/1000)*J43/5+S43/200)*200*I43*H43</f>
        <v/>
      </c>
      <c r="U43">
        <f>((E43*F43/25000)+((P43/1000)*J43*S43/2.5))*I43*H43</f>
        <v/>
      </c>
      <c r="V43">
        <f>(E43*F43*(P43/1000)*J43*S43*I43*H43)/12500000</f>
        <v/>
      </c>
      <c r="W43">
        <f>(T43+U43+V43)/3</f>
        <v/>
      </c>
      <c r="X43" s="6" t="n">
        <v>600</v>
      </c>
      <c r="Y43">
        <f>IFERROR(W43-X43,"")</f>
        <v/>
      </c>
      <c r="Z43">
        <f>IFERROR(ABS(Y43)/MAX(X43,1),"")</f>
        <v/>
      </c>
      <c r="AA43">
        <f>IFERROR((X43-(((E43/100000+F43/100+S43/200)*200*I43*H43)+((E43*F43/25000)*I43*H43))/3)/(((J43/5)*200*I43*H43)+((J43*S43/2.5)*I43*H43)+((E43*F43*J43*S43*I43*H43)/12500000))/3*1000,"")</f>
        <v/>
      </c>
    </row>
    <row r="44">
      <c r="B44" s="7" t="inlineStr">
        <is>
          <t xml:space="preserve">  ↳ ManifoldMG</t>
        </is>
      </c>
      <c r="C44" s="7" t="inlineStr">
        <is>
          <t>Armament</t>
        </is>
      </c>
      <c r="L44" s="6" t="n">
        <v>6000</v>
      </c>
      <c r="M44" s="6" t="n">
        <v>20</v>
      </c>
      <c r="N44" s="6" t="n">
        <v>1</v>
      </c>
      <c r="O44" s="6" t="n"/>
      <c r="P44" s="6" t="n">
        <v>4780</v>
      </c>
      <c r="Q44" s="6" t="n">
        <v>1</v>
      </c>
      <c r="R44">
        <f>M44+IF(N44&gt;1,N(O44)*(N44-1),0)</f>
        <v/>
      </c>
      <c r="S44">
        <f>IFERROR(L44*MAX(N44,1)/R44*IF(ISBLANK(K43),1,K43),0)</f>
        <v/>
      </c>
      <c r="AB44" s="7" t="inlineStr">
        <is>
          <t>^Warhead_Concussion_Light, ^Warhead_CannonHE_Heavy, ^Warhead_Bullet_Medium</t>
        </is>
      </c>
    </row>
    <row r="45">
      <c r="B45" s="7" t="inlineStr">
        <is>
          <t xml:space="preserve">  ↳ ManifoldMG_AA</t>
        </is>
      </c>
      <c r="C45" s="7" t="inlineStr">
        <is>
          <t>Armament@AA</t>
        </is>
      </c>
      <c r="L45" s="6" t="n">
        <v>6000</v>
      </c>
      <c r="M45" s="6" t="n">
        <v>20</v>
      </c>
      <c r="N45" s="6" t="n">
        <v>1</v>
      </c>
      <c r="O45" s="6" t="n"/>
      <c r="P45" s="6" t="n">
        <v>7170</v>
      </c>
      <c r="Q45" s="6" t="n">
        <v>1</v>
      </c>
      <c r="R45">
        <f>M45+IF(N45&gt;1,N(O45)*(N45-1),0)</f>
        <v/>
      </c>
      <c r="S45">
        <f>IFERROR(L45*MAX(N45,1)/R45*IF(ISBLANK(K43),1,K43),0)</f>
        <v/>
      </c>
      <c r="AB45" s="7" t="inlineStr">
        <is>
          <t>^Warhead_Concussion_Light, ^Warhead_CannonHE_Heavy, ^Warhead_Bullet_Medium</t>
        </is>
      </c>
    </row>
    <row r="46">
      <c r="A46" t="inlineStr">
        <is>
          <t>starcraft</t>
        </is>
      </c>
      <c r="B46" t="inlineStr">
        <is>
          <t>protoss_mobilenexus</t>
        </is>
      </c>
      <c r="C46" t="inlineStr">
        <is>
          <t>Protoss Mobile Nexus</t>
        </is>
      </c>
      <c r="D46" s="6" t="inlineStr">
        <is>
          <t>SupportVehicle</t>
        </is>
      </c>
      <c r="E46" s="6" t="n">
        <v>300000</v>
      </c>
      <c r="F46" s="6" t="n">
        <v>75</v>
      </c>
      <c r="G46" t="inlineStr">
        <is>
          <t>Medium</t>
        </is>
      </c>
      <c r="H46" s="6" t="n">
        <v>1</v>
      </c>
      <c r="I46" s="6" t="n">
        <v>1</v>
      </c>
      <c r="J46" s="6" t="n">
        <v>1</v>
      </c>
      <c r="K46" s="6" t="n"/>
      <c r="X46" s="6" t="n">
        <v>5000</v>
      </c>
    </row>
    <row r="47">
      <c r="A47" t="inlineStr">
        <is>
          <t>starcraft</t>
        </is>
      </c>
      <c r="B47" t="inlineStr">
        <is>
          <t>protoss_positron</t>
        </is>
      </c>
      <c r="C47" t="inlineStr">
        <is>
          <t>Positron</t>
        </is>
      </c>
      <c r="D47" s="6" t="inlineStr">
        <is>
          <t>ScoutVehicle</t>
        </is>
      </c>
      <c r="E47" s="6" t="n">
        <v>60000</v>
      </c>
      <c r="F47" s="6" t="n">
        <v>120</v>
      </c>
      <c r="G47" t="inlineStr">
        <is>
          <t>Scout</t>
        </is>
      </c>
      <c r="H47" s="6" t="n">
        <v>1</v>
      </c>
      <c r="I47" s="6" t="n">
        <v>0.5</v>
      </c>
      <c r="J47" s="6" t="n">
        <v>2</v>
      </c>
      <c r="K47" s="6" t="n">
        <v>0.005</v>
      </c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(((E47/30000)+(F47/200)+(S47/450)+((P47/4500)*J47))*300/4+(((E47/30000)*(F47/200))+(((P47/4500)*J47)*(S47/450)))*300/2+((E47/30000)*(F47/200)*((P47/4500)*J47)*(S47/450))*300)*(H47/1.0)/3</f>
        <v/>
      </c>
      <c r="X47" s="6" t="n">
        <v>1200</v>
      </c>
      <c r="Y47">
        <f>IFERROR(W47-X47,"")</f>
        <v/>
      </c>
      <c r="Z47">
        <f>IFERROR(ABS(Y47)/MAX(X47,1),"")</f>
        <v/>
      </c>
      <c r="AA47">
        <f>IFERROR(ROUND(((3*X47-(((E47/30000)+(F47/200)+(S47/450))*300/4+((E47/30000)*(F47/200))*300/2)*(H47/1.0))/(300/4+((S47/450))*300/2+((E47/30000)*(F47/200)*(S47/450))*300)*(H47/1.0)*4500)/J47,-1),"")</f>
        <v/>
      </c>
    </row>
    <row r="48">
      <c r="B48" s="7" t="inlineStr">
        <is>
          <t xml:space="preserve">  ↳ PositronGrenade</t>
        </is>
      </c>
      <c r="C48" s="7" t="inlineStr">
        <is>
          <t>Armament</t>
        </is>
      </c>
      <c r="L48" s="6" t="n">
        <v>40000</v>
      </c>
      <c r="M48" s="6" t="n">
        <v>30</v>
      </c>
      <c r="N48" s="6" t="n">
        <v>1</v>
      </c>
      <c r="O48" s="6" t="n"/>
      <c r="P48" s="6" t="n">
        <v>5044</v>
      </c>
      <c r="Q48" s="6" t="n">
        <v>1</v>
      </c>
      <c r="R48">
        <f>M48+IF(N48&gt;1,N(O48)*(N48-1),0)</f>
        <v/>
      </c>
      <c r="S48">
        <f>IFERROR(L48*MAX(N48,1)/R48*IF(ISBLANK(K47),1,K47),0)</f>
        <v/>
      </c>
      <c r="AB48" s="7" t="inlineStr">
        <is>
          <t>^Warhead_CannonHE_Medium</t>
        </is>
      </c>
    </row>
    <row r="49">
      <c r="A49" t="inlineStr">
        <is>
          <t>starcraft</t>
        </is>
      </c>
      <c r="B49" t="inlineStr">
        <is>
          <t>protoss_probe</t>
        </is>
      </c>
      <c r="C49" t="inlineStr">
        <is>
          <t>Protoss Probe</t>
        </is>
      </c>
      <c r="D49" s="6" t="inlineStr">
        <is>
          <t>Harvester</t>
        </is>
      </c>
      <c r="E49" s="6" t="n">
        <v>45000</v>
      </c>
      <c r="F49" s="6" t="n">
        <v>100</v>
      </c>
      <c r="G49" t="inlineStr">
        <is>
          <t>Light</t>
        </is>
      </c>
      <c r="H49" s="6" t="n">
        <v>1</v>
      </c>
      <c r="I49" s="6" t="n">
        <v>1</v>
      </c>
      <c r="J49" s="6" t="n">
        <v>1</v>
      </c>
      <c r="K49" s="6" t="n"/>
      <c r="P49">
        <f>MAX(P50)</f>
        <v/>
      </c>
      <c r="S49">
        <f>S50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500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ProbeAttack</t>
        </is>
      </c>
      <c r="C50" s="7" t="inlineStr">
        <is>
          <t>Armament</t>
        </is>
      </c>
      <c r="L50" s="6" t="n">
        <v>10000</v>
      </c>
      <c r="M50" s="6" t="n">
        <v>25</v>
      </c>
      <c r="N50" s="6" t="n">
        <v>1</v>
      </c>
      <c r="O50" s="6" t="n"/>
      <c r="P50" s="6" t="n">
        <v>1500</v>
      </c>
      <c r="Q50" s="6" t="n">
        <v>1</v>
      </c>
      <c r="R50">
        <f>M50+IF(N50&gt;1,N(O50)*(N50-1),0)</f>
        <v/>
      </c>
      <c r="S50">
        <f>IFERROR(L50*MAX(N50,1)/R50*IF(ISBLANK(K49),1,K49),0)</f>
        <v/>
      </c>
      <c r="AB50" s="7" t="inlineStr">
        <is>
          <t>^Warhead_Melee_Medium</t>
        </is>
      </c>
    </row>
    <row r="51">
      <c r="A51" t="inlineStr">
        <is>
          <t>starcraft</t>
        </is>
      </c>
      <c r="B51" t="inlineStr">
        <is>
          <t>protoss_reaver</t>
        </is>
      </c>
      <c r="C51" t="inlineStr">
        <is>
          <t>Reaver</t>
        </is>
      </c>
      <c r="D51" s="6" t="inlineStr">
        <is>
          <t>FireSupport</t>
        </is>
      </c>
      <c r="E51" s="6" t="n">
        <v>275000</v>
      </c>
      <c r="F51" s="6" t="n">
        <v>40</v>
      </c>
      <c r="G51" t="inlineStr">
        <is>
          <t>Light</t>
        </is>
      </c>
      <c r="H51" s="6" t="n">
        <v>1</v>
      </c>
      <c r="I51" s="6" t="n">
        <v>1</v>
      </c>
      <c r="J51" s="6" t="n">
        <v>1</v>
      </c>
      <c r="K51" s="6" t="n"/>
      <c r="P51">
        <f>MAX(P52,P53)</f>
        <v/>
      </c>
      <c r="S51">
        <f>S52+S53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(((E51/120000)+(F51/90)+(S51/2100)+((P51/10000)*J51))*1400/4+(((E51/120000)*(F51/90))+(((P51/10000)*J51)*(S51/2100)))*1400/2+((E51/120000)*(F51/90)*((P51/10000)*J51)*(S51/2100))*1400)*(H51/0.6735)/3</f>
        <v/>
      </c>
      <c r="X51" s="6" t="n">
        <v>2700</v>
      </c>
      <c r="Y51">
        <f>IFERROR(W51-X51,"")</f>
        <v/>
      </c>
      <c r="Z51">
        <f>IFERROR(ABS(Y51)/MAX(X51,1),"")</f>
        <v/>
      </c>
      <c r="AA51">
        <f>IFERROR(ROUND(((3*X51-(((E51/120000)+(F51/90)+(S51/2100))*1400/4+((E51/120000)*(F51/90))*1400/2)*(H51/0.6735))/(1400/4+((S51/2100))*1400/2+((E51/120000)*(F51/90)*(S51/2100))*1400)*(H51/0.6735)*10000)/J51,-1),"")</f>
        <v/>
      </c>
    </row>
    <row r="52">
      <c r="B52" s="7" t="inlineStr">
        <is>
          <t xml:space="preserve">  ↳ ScarabLaunch</t>
        </is>
      </c>
      <c r="C52" s="7" t="inlineStr">
        <is>
          <t>Armament@primary</t>
        </is>
      </c>
      <c r="L52" s="6" t="n">
        <v>200000</v>
      </c>
      <c r="M52" s="6" t="n">
        <v>90</v>
      </c>
      <c r="N52" s="6" t="n">
        <v>1</v>
      </c>
      <c r="O52" s="6" t="n"/>
      <c r="P52" s="6" t="n">
        <v>7777</v>
      </c>
      <c r="Q52" s="6" t="n">
        <v>1.25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^Warhead_CannonHE_Heavy</t>
        </is>
      </c>
    </row>
    <row r="53">
      <c r="B53" s="7" t="inlineStr">
        <is>
          <t xml:space="preserve">  ↳ ScarabLaunchDummy</t>
        </is>
      </c>
      <c r="C53" s="7" t="inlineStr">
        <is>
          <t>Armament@secondary</t>
        </is>
      </c>
      <c r="L53" s="6" t="n">
        <v>0</v>
      </c>
      <c r="M53" s="6" t="n">
        <v>90</v>
      </c>
      <c r="N53" s="6" t="n">
        <v>1</v>
      </c>
      <c r="O53" s="6" t="n"/>
      <c r="P53" s="6" t="n">
        <v>7777</v>
      </c>
      <c r="Q53" s="6" t="n">
        <v>1</v>
      </c>
      <c r="R53">
        <f>M53+IF(N53&gt;1,N(O53)*(N53-1),0)</f>
        <v/>
      </c>
      <c r="S53">
        <f>IFERROR(L53*MAX(N53,1)/R53*IF(ISBLANK(K51),1,K51),0)</f>
        <v/>
      </c>
      <c r="AB53" s="7" t="inlineStr"/>
    </row>
    <row r="54">
      <c r="A54" s="4" t="inlineStr">
        <is>
          <t>AIRCRAFT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t="inlineStr">
        <is>
          <t>starcraft</t>
        </is>
      </c>
      <c r="B55" t="inlineStr">
        <is>
          <t>protoss_arbiter</t>
        </is>
      </c>
      <c r="C55" t="inlineStr">
        <is>
          <t>Arbiter</t>
        </is>
      </c>
      <c r="D55" s="6" t="inlineStr">
        <is>
          <t>Helicopter</t>
        </is>
      </c>
      <c r="E55" s="6" t="n">
        <v>225000</v>
      </c>
      <c r="F55" s="6" t="n">
        <v>75</v>
      </c>
      <c r="G55" t="inlineStr">
        <is>
          <t>Helicopter</t>
        </is>
      </c>
      <c r="H55" s="6" t="n">
        <v>1</v>
      </c>
      <c r="I55" s="6" t="n">
        <v>1</v>
      </c>
      <c r="J55" s="6" t="n">
        <v>2</v>
      </c>
      <c r="K55" s="6" t="n"/>
      <c r="P55">
        <f>MAX(P56)</f>
        <v/>
      </c>
      <c r="S55">
        <f>S56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4800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ArbiterCannon</t>
        </is>
      </c>
      <c r="C56" s="7" t="inlineStr">
        <is>
          <t>Armament</t>
        </is>
      </c>
      <c r="L56" s="6" t="n">
        <v>40000</v>
      </c>
      <c r="M56" s="6" t="n">
        <v>25</v>
      </c>
      <c r="N56" s="6" t="n">
        <v>1</v>
      </c>
      <c r="O56" s="6" t="n"/>
      <c r="P56" s="6" t="n">
        <v>4280</v>
      </c>
      <c r="Q56" s="6" t="n">
        <v>1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PhotonCannon</t>
        </is>
      </c>
    </row>
    <row r="57">
      <c r="B57" s="7" t="inlineStr">
        <is>
          <t xml:space="preserve">  ↳ ArbiterStasis</t>
        </is>
      </c>
      <c r="C57" s="7" t="inlineStr">
        <is>
          <t>Armament@2</t>
        </is>
      </c>
      <c r="L57" s="6" t="n"/>
      <c r="M57" s="6" t="n">
        <v>250</v>
      </c>
      <c r="N57" s="6" t="n">
        <v>1</v>
      </c>
      <c r="O57" s="6" t="n"/>
      <c r="P57" s="6" t="n">
        <v>4280</v>
      </c>
      <c r="Q57" s="6" t="n">
        <v>1</v>
      </c>
      <c r="R57">
        <f>M57+IF(N57&gt;1,N(O57)*(N57-1),0)</f>
        <v/>
      </c>
      <c r="S57">
        <f>IFERROR(L57*MAX(N57,1)/R57*IF(ISBLANK(K55),1,K55),0)</f>
        <v/>
      </c>
      <c r="AB57" s="7" t="inlineStr"/>
    </row>
    <row r="58">
      <c r="A58" t="inlineStr">
        <is>
          <t>starcraft</t>
        </is>
      </c>
      <c r="B58" t="inlineStr">
        <is>
          <t>protoss_carrier</t>
        </is>
      </c>
      <c r="C58" t="inlineStr">
        <is>
          <t>Carrier</t>
        </is>
      </c>
      <c r="D58" s="6" t="inlineStr">
        <is>
          <t>Spaceship</t>
        </is>
      </c>
      <c r="E58" s="6" t="n">
        <v>300000</v>
      </c>
      <c r="F58" s="6" t="n">
        <v>45</v>
      </c>
      <c r="G58" t="inlineStr">
        <is>
          <t>Spaceship</t>
        </is>
      </c>
      <c r="H58" s="6" t="n">
        <v>0.75</v>
      </c>
      <c r="I58" s="6" t="n">
        <v>1</v>
      </c>
      <c r="J58" s="6" t="n">
        <v>0.75</v>
      </c>
      <c r="K58" s="6" t="n"/>
      <c r="X58" s="6" t="n">
        <v>3000</v>
      </c>
    </row>
    <row r="59">
      <c r="B59" s="7" t="inlineStr">
        <is>
          <t xml:space="preserve">  ↳ InterceptorLauncher</t>
        </is>
      </c>
      <c r="C59" s="7" t="inlineStr">
        <is>
          <t>Armament</t>
        </is>
      </c>
      <c r="L59" s="6" t="n"/>
      <c r="M59" s="6" t="n">
        <v>100</v>
      </c>
      <c r="N59" s="6" t="n">
        <v>5</v>
      </c>
      <c r="O59" s="6" t="n">
        <v>10</v>
      </c>
      <c r="P59" s="6" t="n">
        <v>10000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/>
    </row>
    <row r="60">
      <c r="A60" t="inlineStr">
        <is>
          <t>starcraft</t>
        </is>
      </c>
      <c r="B60" t="inlineStr">
        <is>
          <t>protoss_corsair</t>
        </is>
      </c>
      <c r="C60" t="inlineStr">
        <is>
          <t>Corsair</t>
        </is>
      </c>
      <c r="D60" s="6" t="inlineStr">
        <is>
          <t>Helicopter</t>
        </is>
      </c>
      <c r="E60" s="6" t="n">
        <v>125000</v>
      </c>
      <c r="F60" s="6" t="n">
        <v>125</v>
      </c>
      <c r="G60" t="inlineStr">
        <is>
          <t>Helicopter</t>
        </is>
      </c>
      <c r="H60" s="6" t="n">
        <v>1</v>
      </c>
      <c r="I60" s="6" t="n">
        <v>1</v>
      </c>
      <c r="J60" s="6" t="n">
        <v>2</v>
      </c>
      <c r="K60" s="6" t="n"/>
      <c r="P60">
        <f>MAX(P61,P62,P63)</f>
        <v/>
      </c>
      <c r="S60">
        <f>S61+S62+S63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2100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Corsair_EMP</t>
        </is>
      </c>
      <c r="C61" s="7" t="inlineStr">
        <is>
          <t>Armament@PRIMARY</t>
        </is>
      </c>
      <c r="L61" s="6" t="n">
        <v>5000</v>
      </c>
      <c r="M61" s="6" t="n">
        <v>250</v>
      </c>
      <c r="N61" s="6" t="n">
        <v>1</v>
      </c>
      <c r="O61" s="6" t="n"/>
      <c r="P61" s="6" t="n">
        <v>5500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^Warhead_Tesla_Super</t>
        </is>
      </c>
    </row>
    <row r="62">
      <c r="B62" s="7" t="inlineStr">
        <is>
          <t xml:space="preserve">  ↳ CorsairFlash</t>
        </is>
      </c>
      <c r="C62" s="7" t="inlineStr">
        <is>
          <t>Armament@SECONDARY1</t>
        </is>
      </c>
      <c r="L62" s="6" t="n">
        <v>4000</v>
      </c>
      <c r="M62" s="6" t="n">
        <v>65</v>
      </c>
      <c r="N62" s="6" t="n">
        <v>1</v>
      </c>
      <c r="O62" s="6" t="n"/>
      <c r="P62" s="6" t="n">
        <v>5500</v>
      </c>
      <c r="Q62" s="6" t="n">
        <v>0.875</v>
      </c>
      <c r="R62">
        <f>M62+IF(N62&gt;1,N(O62)*(N62-1),0)</f>
        <v/>
      </c>
      <c r="S62">
        <f>IFERROR(L62*MAX(N62,1)/R62*IF(ISBLANK(K60),1,K60),0)</f>
        <v/>
      </c>
      <c r="AB62" s="7" t="inlineStr">
        <is>
          <t>^Warhead_Flak_Medium, ^Warhead_Demolition_Light</t>
        </is>
      </c>
    </row>
    <row r="63">
      <c r="B63" s="7" t="inlineStr">
        <is>
          <t xml:space="preserve">  ↳ CorsairFlash</t>
        </is>
      </c>
      <c r="C63" s="7" t="inlineStr">
        <is>
          <t>Armament@SECONDARY2</t>
        </is>
      </c>
      <c r="L63" s="6" t="n">
        <v>4000</v>
      </c>
      <c r="M63" s="6" t="n">
        <v>65</v>
      </c>
      <c r="N63" s="6" t="n">
        <v>1</v>
      </c>
      <c r="O63" s="6" t="n"/>
      <c r="P63" s="6" t="n">
        <v>5500</v>
      </c>
      <c r="Q63" s="6" t="n">
        <v>0.875</v>
      </c>
      <c r="R63">
        <f>M63+IF(N63&gt;1,N(O63)*(N63-1),0)</f>
        <v/>
      </c>
      <c r="S63">
        <f>IFERROR(L63*MAX(N63,1)/R63*IF(ISBLANK(K60),1,K60),0)</f>
        <v/>
      </c>
      <c r="AB63" s="7" t="inlineStr">
        <is>
          <t>^Warhead_Flak_Medium, ^Warhead_Demolition_Light</t>
        </is>
      </c>
    </row>
    <row r="64">
      <c r="A64" t="inlineStr">
        <is>
          <t>starcraft</t>
        </is>
      </c>
      <c r="B64" t="inlineStr">
        <is>
          <t>protoss_epigraph</t>
        </is>
      </c>
      <c r="C64" t="inlineStr">
        <is>
          <t>Epigraph</t>
        </is>
      </c>
      <c r="D64" s="6" t="inlineStr">
        <is>
          <t>Helicopter</t>
        </is>
      </c>
      <c r="E64" s="6" t="n">
        <v>200000</v>
      </c>
      <c r="F64" s="6" t="n">
        <v>100</v>
      </c>
      <c r="G64" t="inlineStr">
        <is>
          <t>Helicopter</t>
        </is>
      </c>
      <c r="H64" s="6" t="n">
        <v>1</v>
      </c>
      <c r="I64" s="6" t="n">
        <v>1</v>
      </c>
      <c r="J64" s="6" t="n">
        <v>1</v>
      </c>
      <c r="K64" s="6" t="n">
        <v>0.005</v>
      </c>
      <c r="P64">
        <f>MAX(P65,P66)</f>
        <v/>
      </c>
      <c r="S64">
        <f>S65+S66</f>
        <v/>
      </c>
      <c r="T64">
        <f>(E64/100000+F64/100+(P64/1000)*J64/5+S64/200)*200*I64*H64</f>
        <v/>
      </c>
      <c r="U64">
        <f>((E64*F64/25000)+((P64/1000)*J64*S64/2.5))*I64*H64</f>
        <v/>
      </c>
      <c r="V64">
        <f>(E64*F64*(P64/1000)*J64*S64*I64*H64)/12500000</f>
        <v/>
      </c>
      <c r="W64">
        <f>(T64+U64+V64)/3</f>
        <v/>
      </c>
      <c r="X64" s="6" t="n">
        <v>2600</v>
      </c>
      <c r="Y64">
        <f>IFERROR(W64-X64,"")</f>
        <v/>
      </c>
      <c r="Z64">
        <f>IFERROR(ABS(Y64)/MAX(X64,1),"")</f>
        <v/>
      </c>
      <c r="AA64">
        <f>IFERROR((X64-(((E64/100000+F64/100+S64/200)*200*I64*H64)+((E64*F64/25000)*I64*H64))/3)/(((J64/5)*200*I64*H64)+((J64*S64/2.5)*I64*H64)+((E64*F64*J64*S64*I64*H64)/12500000))/3*1000,"")</f>
        <v/>
      </c>
    </row>
    <row r="65">
      <c r="B65" s="7" t="inlineStr">
        <is>
          <t xml:space="preserve">  ↳ EpigraphMG</t>
        </is>
      </c>
      <c r="C65" s="7" t="inlineStr">
        <is>
          <t>Armament@PRIMARY</t>
        </is>
      </c>
      <c r="L65" s="6" t="n">
        <v>20000</v>
      </c>
      <c r="M65" s="6" t="n">
        <v>36</v>
      </c>
      <c r="N65" s="6" t="n">
        <v>1</v>
      </c>
      <c r="O65" s="6" t="n"/>
      <c r="P65" s="6" t="n">
        <v>5077</v>
      </c>
      <c r="Q65" s="6" t="n">
        <v>1.25</v>
      </c>
      <c r="R65">
        <f>M65+IF(N65&gt;1,N(O65)*(N65-1),0)</f>
        <v/>
      </c>
      <c r="S65">
        <f>IFERROR(L65*MAX(N65,1)/R65*IF(ISBLANK(K64),1,K64),0)</f>
        <v/>
      </c>
      <c r="AB65" s="7" t="inlineStr">
        <is>
          <t>^Warhead_CannonHE_Heavy</t>
        </is>
      </c>
    </row>
    <row r="66">
      <c r="B66" s="7" t="inlineStr">
        <is>
          <t xml:space="preserve">  ↳ EpigraphMG</t>
        </is>
      </c>
      <c r="C66" s="7" t="inlineStr">
        <is>
          <t>Armament@SECONDARY</t>
        </is>
      </c>
      <c r="L66" s="6" t="n">
        <v>20000</v>
      </c>
      <c r="M66" s="6" t="n">
        <v>36</v>
      </c>
      <c r="N66" s="6" t="n">
        <v>1</v>
      </c>
      <c r="O66" s="6" t="n"/>
      <c r="P66" s="6" t="n">
        <v>5077</v>
      </c>
      <c r="Q66" s="6" t="n">
        <v>1.25</v>
      </c>
      <c r="R66">
        <f>M66+IF(N66&gt;1,N(O66)*(N66-1),0)</f>
        <v/>
      </c>
      <c r="S66">
        <f>IFERROR(L66*MAX(N66,1)/R66*IF(ISBLANK(K64),1,K64),0)</f>
        <v/>
      </c>
      <c r="AB66" s="7" t="inlineStr">
        <is>
          <t>^Warhead_CannonHE_Heavy</t>
        </is>
      </c>
    </row>
    <row r="67">
      <c r="A67" t="inlineStr">
        <is>
          <t>starcraft</t>
        </is>
      </c>
      <c r="B67" t="inlineStr">
        <is>
          <t>protoss_gladius</t>
        </is>
      </c>
      <c r="C67" t="inlineStr">
        <is>
          <t>Gladius</t>
        </is>
      </c>
      <c r="D67" s="6" t="inlineStr">
        <is>
          <t>Helicopter</t>
        </is>
      </c>
      <c r="E67" s="6" t="n">
        <v>100000</v>
      </c>
      <c r="F67" s="6" t="n">
        <v>50</v>
      </c>
      <c r="G67" t="inlineStr">
        <is>
          <t>Helicopter</t>
        </is>
      </c>
      <c r="H67" s="6" t="n">
        <v>1</v>
      </c>
      <c r="I67" s="6" t="n">
        <v>1</v>
      </c>
      <c r="J67" s="6" t="n">
        <v>1</v>
      </c>
      <c r="K67" s="6" t="n">
        <v>0.005</v>
      </c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(T67+U67+V67)/3</f>
        <v/>
      </c>
      <c r="X67" s="6" t="n">
        <v>1800</v>
      </c>
      <c r="Y67">
        <f>IFERROR(W67-X67,"")</f>
        <v/>
      </c>
      <c r="Z67">
        <f>IFERROR(ABS(Y67)/MAX(X67,1),"")</f>
        <v/>
      </c>
      <c r="AA67">
        <f>IFERROR((X67-(((E67/100000+F67/100+S67/200)*200*I67*H67)+((E67*F67/25000)*I67*H67))/3)/(((J67/5)*200*I67*H67)+((J67*S67/2.5)*I67*H67)+((E67*F67*J67*S67*I67*H67)/12500000))/3*1000,"")</f>
        <v/>
      </c>
    </row>
    <row r="68">
      <c r="B68" s="7" t="inlineStr">
        <is>
          <t xml:space="preserve">  ↳ GladiusCannon</t>
        </is>
      </c>
      <c r="C68" s="7" t="inlineStr">
        <is>
          <t>Armament</t>
        </is>
      </c>
      <c r="L68" s="6" t="n">
        <v>110000</v>
      </c>
      <c r="M68" s="6" t="n">
        <v>80</v>
      </c>
      <c r="N68" s="6" t="n">
        <v>1</v>
      </c>
      <c r="O68" s="6" t="n"/>
      <c r="P68" s="6" t="n">
        <v>10000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^LightFlameWeapon, ^MediumChemicalWeapon, ^HeavyFlameWeapon, ^ShrapnelWeapon, PhotonCannon</t>
        </is>
      </c>
    </row>
    <row r="69">
      <c r="A69" t="inlineStr">
        <is>
          <t>starcraft</t>
        </is>
      </c>
      <c r="B69" t="inlineStr">
        <is>
          <t>protoss_observer</t>
        </is>
      </c>
      <c r="C69" t="inlineStr">
        <is>
          <t>Observer</t>
        </is>
      </c>
      <c r="D69" s="6" t="inlineStr">
        <is>
          <t>Helicopter</t>
        </is>
      </c>
      <c r="E69" s="6" t="n">
        <v>12500</v>
      </c>
      <c r="F69" s="6" t="n">
        <v>60</v>
      </c>
      <c r="G69" t="inlineStr">
        <is>
          <t>Helicopter</t>
        </is>
      </c>
      <c r="H69" s="6" t="n">
        <v>0.7674</v>
      </c>
      <c r="I69" s="6" t="n">
        <v>1</v>
      </c>
      <c r="J69" s="6" t="n">
        <v>1</v>
      </c>
      <c r="K69" s="6" t="n"/>
      <c r="X69" s="6" t="n">
        <v>500</v>
      </c>
    </row>
    <row r="70">
      <c r="A70" t="inlineStr">
        <is>
          <t>starcraft</t>
        </is>
      </c>
      <c r="B70" t="inlineStr">
        <is>
          <t>protoss_scout</t>
        </is>
      </c>
      <c r="C70" t="inlineStr">
        <is>
          <t>Scout</t>
        </is>
      </c>
      <c r="D70" s="6" t="inlineStr">
        <is>
          <t>Helicopter</t>
        </is>
      </c>
      <c r="E70" s="6" t="n">
        <v>75000</v>
      </c>
      <c r="F70" s="6" t="n">
        <v>150</v>
      </c>
      <c r="G70" t="inlineStr">
        <is>
          <t>Helicopter</t>
        </is>
      </c>
      <c r="H70" s="6" t="n">
        <v>1</v>
      </c>
      <c r="I70" s="6" t="n">
        <v>1</v>
      </c>
      <c r="J70" s="6" t="n">
        <v>1</v>
      </c>
      <c r="K70" s="6" t="n"/>
      <c r="P70">
        <f>MAX(P71,P72,P73,P74)</f>
        <v/>
      </c>
      <c r="S70">
        <f>S71+S72+S73+S74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(T70+U70+V70)/3</f>
        <v/>
      </c>
      <c r="X70" s="6" t="n">
        <v>1500</v>
      </c>
      <c r="Y70">
        <f>IFERROR(W70-X70,"")</f>
        <v/>
      </c>
      <c r="Z70">
        <f>IFERROR(ABS(Y70)/MAX(X70,1),"")</f>
        <v/>
      </c>
      <c r="AA70">
        <f>IFERROR((X70-(((E70/100000+F70/100+S70/200)*200*I70*H70)+((E70*F70/25000)*I70*H70))/3)/(((J70/5)*200*I70*H70)+((J70*S70/2.5)*I70*H70)+((E70*F70*J70*S70*I70*H70)/12500000))/3*1000,"")</f>
        <v/>
      </c>
    </row>
    <row r="71">
      <c r="B71" s="7" t="inlineStr">
        <is>
          <t xml:space="preserve">  ↳ ScoutMG</t>
        </is>
      </c>
      <c r="C71" s="7" t="inlineStr">
        <is>
          <t>Armament@PRIMARY1</t>
        </is>
      </c>
      <c r="L71" s="6" t="n">
        <v>4000</v>
      </c>
      <c r="M71" s="6" t="n">
        <v>32</v>
      </c>
      <c r="N71" s="6" t="n">
        <v>1</v>
      </c>
      <c r="O71" s="6" t="n"/>
      <c r="P71" s="6" t="n">
        <v>4500</v>
      </c>
      <c r="Q71" s="6" t="n">
        <v>0.875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^Warhead_Flak_Medium, ^Warhead_Demolition_Light</t>
        </is>
      </c>
    </row>
    <row r="72">
      <c r="B72" s="7" t="inlineStr">
        <is>
          <t xml:space="preserve">  ↳ ScoutMG</t>
        </is>
      </c>
      <c r="C72" s="7" t="inlineStr">
        <is>
          <t>Armament@PRIMARY2</t>
        </is>
      </c>
      <c r="L72" s="6" t="n">
        <v>4000</v>
      </c>
      <c r="M72" s="6" t="n">
        <v>32</v>
      </c>
      <c r="N72" s="6" t="n">
        <v>1</v>
      </c>
      <c r="O72" s="6" t="n"/>
      <c r="P72" s="6" t="n">
        <v>4500</v>
      </c>
      <c r="Q72" s="6" t="n">
        <v>0.875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^Warhead_Flak_Medium, ^Warhead_Demolition_Light</t>
        </is>
      </c>
    </row>
    <row r="73">
      <c r="B73" s="7" t="inlineStr">
        <is>
          <t xml:space="preserve">  ↳ ScoutRockets_AA</t>
        </is>
      </c>
      <c r="C73" s="7" t="inlineStr">
        <is>
          <t>Armament@SECONDARY1</t>
        </is>
      </c>
      <c r="L73" s="6" t="n">
        <v>10000</v>
      </c>
      <c r="M73" s="6" t="n">
        <v>40</v>
      </c>
      <c r="N73" s="6" t="n">
        <v>1</v>
      </c>
      <c r="O73" s="6" t="n"/>
      <c r="P73" s="6" t="n">
        <v>4500</v>
      </c>
      <c r="Q73" s="6" t="n">
        <v>1.25</v>
      </c>
      <c r="R73">
        <f>M73+IF(N73&gt;1,N(O73)*(N73-1),0)</f>
        <v/>
      </c>
      <c r="S73">
        <f>IFERROR(L73*MAX(N73,1)/R73*IF(ISBLANK(K70),1,K70),0)</f>
        <v/>
      </c>
      <c r="AB73" s="7" t="inlineStr">
        <is>
          <t>^Warhead_MissileAP_Heavy</t>
        </is>
      </c>
    </row>
    <row r="74">
      <c r="B74" s="7" t="inlineStr">
        <is>
          <t xml:space="preserve">  ↳ ScoutRockets_AA</t>
        </is>
      </c>
      <c r="C74" s="7" t="inlineStr">
        <is>
          <t>Armament@SECONDARY2</t>
        </is>
      </c>
      <c r="L74" s="6" t="n">
        <v>10000</v>
      </c>
      <c r="M74" s="6" t="n">
        <v>40</v>
      </c>
      <c r="N74" s="6" t="n">
        <v>1</v>
      </c>
      <c r="O74" s="6" t="n"/>
      <c r="P74" s="6" t="n">
        <v>4500</v>
      </c>
      <c r="Q74" s="6" t="n">
        <v>1.25</v>
      </c>
      <c r="R74">
        <f>M74+IF(N74&gt;1,N(O74)*(N74-1),0)</f>
        <v/>
      </c>
      <c r="S74">
        <f>IFERROR(L74*MAX(N74,1)/R74*IF(ISBLANK(K70),1,K70),0)</f>
        <v/>
      </c>
      <c r="AB74" s="7" t="inlineStr">
        <is>
          <t>^Warhead_MissileAP_Heavy</t>
        </is>
      </c>
    </row>
    <row r="75">
      <c r="A75" t="inlineStr">
        <is>
          <t>starcraft</t>
        </is>
      </c>
      <c r="B75" t="inlineStr">
        <is>
          <t>protoss_shuttle</t>
        </is>
      </c>
      <c r="C75" t="inlineStr">
        <is>
          <t>Shuttle</t>
        </is>
      </c>
      <c r="D75" s="6" t="inlineStr">
        <is>
          <t>UnarmedTransportHelicopter</t>
        </is>
      </c>
      <c r="E75" s="6" t="n">
        <v>100000</v>
      </c>
      <c r="F75" s="6" t="n">
        <v>150</v>
      </c>
      <c r="G75" t="inlineStr">
        <is>
          <t>Helicopter</t>
        </is>
      </c>
      <c r="H75" s="6" t="n">
        <v>1</v>
      </c>
      <c r="I75" s="6" t="n">
        <v>1</v>
      </c>
      <c r="J75" s="6" t="n">
        <v>1</v>
      </c>
      <c r="K75" s="6" t="n"/>
      <c r="X75" s="6" t="n">
        <v>6000</v>
      </c>
    </row>
    <row r="76">
      <c r="A76" t="inlineStr">
        <is>
          <t>starcraft</t>
        </is>
      </c>
      <c r="B76" t="inlineStr">
        <is>
          <t>protoss_starshipsovereign</t>
        </is>
      </c>
      <c r="C76" t="inlineStr">
        <is>
          <t>Starship Sovereign</t>
        </is>
      </c>
      <c r="D76" s="6" t="inlineStr">
        <is>
          <t>Spaceship</t>
        </is>
      </c>
      <c r="E76" s="6" t="n">
        <v>750000</v>
      </c>
      <c r="F76" s="6" t="n">
        <v>40</v>
      </c>
      <c r="G76" t="inlineStr">
        <is>
          <t>Spaceship</t>
        </is>
      </c>
      <c r="H76" s="6" t="n">
        <v>0.75</v>
      </c>
      <c r="I76" s="6" t="n">
        <v>1</v>
      </c>
      <c r="J76" s="6" t="n">
        <v>1.25</v>
      </c>
      <c r="K76" s="6" t="n">
        <v>0.0075</v>
      </c>
      <c r="P76">
        <f>MAX(P77)</f>
        <v/>
      </c>
      <c r="S76">
        <f>S77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StarshipSovereignBeam</t>
        </is>
      </c>
      <c r="C77" s="7" t="inlineStr">
        <is>
          <t>Armament</t>
        </is>
      </c>
      <c r="L77" s="6" t="n">
        <v>12000</v>
      </c>
      <c r="M77" s="6" t="n">
        <v>10</v>
      </c>
      <c r="N77" s="6" t="n">
        <v>1</v>
      </c>
      <c r="O77" s="6" t="n"/>
      <c r="P77" s="6" t="n">
        <v>8475</v>
      </c>
      <c r="Q77" s="6" t="n">
        <v>1</v>
      </c>
      <c r="R77">
        <f>M77+IF(N77&gt;1,N(O77)*(N77-1),0)</f>
        <v/>
      </c>
      <c r="S77">
        <f>IFERROR(L77*MAX(N77,1)/R77*IF(ISBLANK(K76),1,K76),0)</f>
        <v/>
      </c>
      <c r="AB77" s="7" t="inlineStr">
        <is>
          <t>^LightMissile, ^SmallArms, ^Chaingun, ^FlakWeapon, ^TeslaWeapon, ^LaserWeapon</t>
        </is>
      </c>
    </row>
    <row r="78">
      <c r="A78" t="inlineStr">
        <is>
          <t>starcraft</t>
        </is>
      </c>
      <c r="B78" t="inlineStr">
        <is>
          <t>protoss_voidray</t>
        </is>
      </c>
      <c r="C78" t="inlineStr">
        <is>
          <t>Void Ray</t>
        </is>
      </c>
      <c r="D78" s="6" t="inlineStr">
        <is>
          <t>Helicopter</t>
        </is>
      </c>
      <c r="E78" s="6" t="n">
        <v>70000</v>
      </c>
      <c r="F78" s="6" t="n">
        <v>140</v>
      </c>
      <c r="G78" t="inlineStr">
        <is>
          <t>Helicopter</t>
        </is>
      </c>
      <c r="H78" s="6" t="n">
        <v>1</v>
      </c>
      <c r="I78" s="6" t="n">
        <v>1</v>
      </c>
      <c r="J78" s="6" t="n">
        <v>1.5</v>
      </c>
      <c r="K78" s="6" t="n">
        <v>0.0009</v>
      </c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1400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VoidRayBeam</t>
        </is>
      </c>
      <c r="C79" s="7" t="inlineStr">
        <is>
          <t>Armament</t>
        </is>
      </c>
      <c r="L79" s="6" t="n">
        <v>12000</v>
      </c>
      <c r="M79" s="6" t="n">
        <v>6</v>
      </c>
      <c r="N79" s="6" t="n">
        <v>1</v>
      </c>
      <c r="O79" s="6" t="n"/>
      <c r="P79" s="6" t="n">
        <v>6474</v>
      </c>
      <c r="Q79" s="6" t="n">
        <v>1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^LightMissile, ^SmallArms, ^Chaingun, ^FlakWeapon, ^TeslaWeapon, ^LaserWeapon</t>
        </is>
      </c>
    </row>
    <row r="80">
      <c r="A80" s="4" t="inlineStr">
        <is>
          <t>DEFENSES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t="inlineStr">
        <is>
          <t>starcraft</t>
        </is>
      </c>
      <c r="B81" t="inlineStr">
        <is>
          <t>protoss_photoncannon</t>
        </is>
      </c>
      <c r="C81" t="inlineStr">
        <is>
          <t>Photon Cannon</t>
        </is>
      </c>
      <c r="D81" s="6" t="inlineStr">
        <is>
          <t>AntiAirDefense</t>
        </is>
      </c>
      <c r="E81" s="6" t="n">
        <v>200000</v>
      </c>
      <c r="F81" s="6" t="n">
        <v>100</v>
      </c>
      <c r="G81" t="inlineStr">
        <is>
          <t>Concrete</t>
        </is>
      </c>
      <c r="H81" s="6" t="n">
        <v>1</v>
      </c>
      <c r="I81" s="6" t="n">
        <v>0.325</v>
      </c>
      <c r="J81" s="6" t="n">
        <v>1</v>
      </c>
      <c r="K81" s="6" t="n"/>
      <c r="P81">
        <f>MAX(P82)</f>
        <v/>
      </c>
      <c r="S81">
        <f>S82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(T81+U81+V81)/3</f>
        <v/>
      </c>
      <c r="X81" s="6" t="n">
        <v>2000</v>
      </c>
      <c r="Y81">
        <f>IFERROR(W81-X81,"")</f>
        <v/>
      </c>
      <c r="Z81">
        <f>IFERROR(ABS(Y81)/MAX(X81,1),"")</f>
        <v/>
      </c>
      <c r="AA81">
        <f>IFERROR((X81-(((E81/100000+F81/100+S81/200)*200*I81*H81)+((E81*F81/25000)*I81*H81))/3)/(((J81/5)*200*I81*H81)+((J81*S81/2.5)*I81*H81)+((E81*F81*J81*S81*I81*H81)/12500000))/3*1000,"")</f>
        <v/>
      </c>
    </row>
    <row r="82">
      <c r="B82" s="7" t="inlineStr">
        <is>
          <t xml:space="preserve">  ↳ PhotonCannon</t>
        </is>
      </c>
      <c r="C82" s="7" t="inlineStr">
        <is>
          <t>Armament</t>
        </is>
      </c>
      <c r="L82" s="6" t="n">
        <v>40000</v>
      </c>
      <c r="M82" s="6" t="n">
        <v>28</v>
      </c>
      <c r="N82" s="6" t="n">
        <v>1</v>
      </c>
      <c r="O82" s="6" t="n"/>
      <c r="P82" s="6" t="n">
        <v>8228</v>
      </c>
      <c r="Q82" s="6" t="n">
        <v>1</v>
      </c>
      <c r="R82">
        <f>M82+IF(N82&gt;1,N(O82)*(N82-1),0)</f>
        <v/>
      </c>
      <c r="S82">
        <f>IFERROR(L82*MAX(N82,1)/R82*IF(ISBLANK(K81),1,K81),0)</f>
        <v/>
      </c>
      <c r="AB82" s="7" t="inlineStr">
        <is>
          <t>^FlakWeapon, ^HeavyCannon, ^MediumCannon, ^TankDestroyerCannon</t>
        </is>
      </c>
    </row>
    <row r="83">
      <c r="A83" s="4" t="inlineStr">
        <is>
          <t>BUILDINGS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t="inlineStr">
        <is>
          <t>starcraft</t>
        </is>
      </c>
      <c r="B84" t="inlineStr">
        <is>
          <t>protoss_arbitertribunal</t>
        </is>
      </c>
      <c r="C84" t="inlineStr">
        <is>
          <t>Arbiter Tribunal</t>
        </is>
      </c>
      <c r="D84" s="6" t="inlineStr">
        <is>
          <t>Building</t>
        </is>
      </c>
      <c r="E84" s="6" t="n">
        <v>250000</v>
      </c>
      <c r="F84" s="6" t="n"/>
      <c r="G84" t="inlineStr">
        <is>
          <t>Wood</t>
        </is>
      </c>
      <c r="H84" s="6" t="n">
        <v>0.6735</v>
      </c>
      <c r="I84" s="6" t="n">
        <v>1</v>
      </c>
      <c r="J84" s="6" t="n">
        <v>1</v>
      </c>
      <c r="K84" s="6" t="n"/>
      <c r="X84" s="6" t="n">
        <v>2500</v>
      </c>
    </row>
    <row r="85">
      <c r="A85" t="inlineStr">
        <is>
          <t>starcraft</t>
        </is>
      </c>
      <c r="B85" t="inlineStr">
        <is>
          <t>protoss_assimilator</t>
        </is>
      </c>
      <c r="C85" t="inlineStr">
        <is>
          <t>Assimilator</t>
        </is>
      </c>
      <c r="D85" s="6" t="inlineStr">
        <is>
          <t>Building</t>
        </is>
      </c>
      <c r="E85" s="6" t="n">
        <v>300000</v>
      </c>
      <c r="F85" s="6" t="n"/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K85" s="6" t="n"/>
      <c r="X85" s="6" t="n">
        <v>3000</v>
      </c>
    </row>
    <row r="86">
      <c r="A86" t="inlineStr">
        <is>
          <t>starcraft</t>
        </is>
      </c>
      <c r="B86" t="inlineStr">
        <is>
          <t>protoss_citadelofadun</t>
        </is>
      </c>
      <c r="C86" t="inlineStr">
        <is>
          <t>Citadel of Adun</t>
        </is>
      </c>
      <c r="D86" s="6" t="inlineStr">
        <is>
          <t>Building</t>
        </is>
      </c>
      <c r="E86" s="6" t="n">
        <v>200000</v>
      </c>
      <c r="F86" s="6" t="n"/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K86" s="6" t="n"/>
      <c r="X86" s="6" t="n">
        <v>2000</v>
      </c>
    </row>
    <row r="87">
      <c r="A87" t="inlineStr">
        <is>
          <t>starcraft</t>
        </is>
      </c>
      <c r="B87" t="inlineStr">
        <is>
          <t>protoss_cyberneticscore</t>
        </is>
      </c>
      <c r="C87" t="inlineStr">
        <is>
          <t>Cybernetics Core</t>
        </is>
      </c>
      <c r="D87" s="6" t="inlineStr">
        <is>
          <t>Building</t>
        </is>
      </c>
      <c r="E87" s="6" t="n">
        <v>150000</v>
      </c>
      <c r="F87" s="6" t="n"/>
      <c r="G87" t="inlineStr">
        <is>
          <t>Wood</t>
        </is>
      </c>
      <c r="H87" s="6" t="n">
        <v>1</v>
      </c>
      <c r="I87" s="6" t="n">
        <v>1</v>
      </c>
      <c r="J87" s="6" t="n">
        <v>1</v>
      </c>
      <c r="K87" s="6" t="n"/>
      <c r="X87" s="6" t="n">
        <v>1500</v>
      </c>
    </row>
    <row r="88">
      <c r="A88" t="inlineStr">
        <is>
          <t>starcraft</t>
        </is>
      </c>
      <c r="B88" t="inlineStr">
        <is>
          <t>protoss_fleetbeacon</t>
        </is>
      </c>
      <c r="C88" t="inlineStr">
        <is>
          <t>Fleet Beacon</t>
        </is>
      </c>
      <c r="D88" s="6" t="inlineStr">
        <is>
          <t>Building</t>
        </is>
      </c>
      <c r="E88" s="6" t="n">
        <v>1000000</v>
      </c>
      <c r="F88" s="6" t="n"/>
      <c r="G88" t="inlineStr">
        <is>
          <t>Concrete</t>
        </is>
      </c>
      <c r="H88" s="6" t="n">
        <v>1</v>
      </c>
      <c r="I88" s="6" t="n">
        <v>1</v>
      </c>
      <c r="J88" s="6" t="n">
        <v>1</v>
      </c>
      <c r="K88" s="6" t="n"/>
      <c r="X88" s="6" t="n">
        <v>10000</v>
      </c>
    </row>
    <row r="89">
      <c r="A89" t="inlineStr">
        <is>
          <t>starcraft</t>
        </is>
      </c>
      <c r="B89" t="inlineStr">
        <is>
          <t>protoss_forge</t>
        </is>
      </c>
      <c r="C89" t="inlineStr">
        <is>
          <t>Forge</t>
        </is>
      </c>
      <c r="D89" s="6" t="inlineStr">
        <is>
          <t>Building</t>
        </is>
      </c>
      <c r="E89" s="6" t="n">
        <v>150000</v>
      </c>
      <c r="F89" s="6" t="n"/>
      <c r="G89" t="inlineStr">
        <is>
          <t>Wood</t>
        </is>
      </c>
      <c r="H89" s="6" t="n">
        <v>1</v>
      </c>
      <c r="I89" s="6" t="n">
        <v>1</v>
      </c>
      <c r="J89" s="6" t="n">
        <v>1</v>
      </c>
      <c r="K89" s="6" t="n"/>
      <c r="X89" s="6" t="n">
        <v>1500</v>
      </c>
    </row>
    <row r="90">
      <c r="A90" t="inlineStr">
        <is>
          <t>starcraft</t>
        </is>
      </c>
      <c r="B90" t="inlineStr">
        <is>
          <t>protoss_gateway</t>
        </is>
      </c>
      <c r="C90" t="inlineStr">
        <is>
          <t>Gateway</t>
        </is>
      </c>
      <c r="D90" s="6" t="inlineStr">
        <is>
          <t>Building</t>
        </is>
      </c>
      <c r="E90" s="6" t="n">
        <v>200000</v>
      </c>
      <c r="F90" s="6" t="n"/>
      <c r="G90" t="inlineStr">
        <is>
          <t>Wood</t>
        </is>
      </c>
      <c r="H90" s="6" t="n">
        <v>1</v>
      </c>
      <c r="I90" s="6" t="n">
        <v>1</v>
      </c>
      <c r="J90" s="6" t="n">
        <v>1</v>
      </c>
      <c r="K90" s="6" t="n"/>
      <c r="X90" s="6" t="n">
        <v>1000</v>
      </c>
    </row>
    <row r="91">
      <c r="A91" t="inlineStr">
        <is>
          <t>starcraft</t>
        </is>
      </c>
      <c r="B91" t="inlineStr">
        <is>
          <t>protoss_nexus</t>
        </is>
      </c>
      <c r="C91" t="inlineStr">
        <is>
          <t>Nexus</t>
        </is>
      </c>
      <c r="D91" s="6" t="inlineStr">
        <is>
          <t>Building</t>
        </is>
      </c>
      <c r="E91" s="6" t="n">
        <v>1000000</v>
      </c>
      <c r="F91" s="6" t="n"/>
      <c r="G91" t="inlineStr">
        <is>
          <t>Concrete</t>
        </is>
      </c>
      <c r="H91" s="6" t="n">
        <v>1</v>
      </c>
      <c r="I91" s="6" t="n">
        <v>1</v>
      </c>
      <c r="J91" s="6" t="n">
        <v>1</v>
      </c>
      <c r="K91" s="6" t="n"/>
      <c r="X91" s="6" t="n">
        <v>5000</v>
      </c>
    </row>
    <row r="92">
      <c r="A92" t="inlineStr">
        <is>
          <t>starcraft</t>
        </is>
      </c>
      <c r="B92" t="inlineStr">
        <is>
          <t>protoss_observatory</t>
        </is>
      </c>
      <c r="C92" t="inlineStr">
        <is>
          <t>Observatory</t>
        </is>
      </c>
      <c r="D92" s="6" t="inlineStr">
        <is>
          <t>Building</t>
        </is>
      </c>
      <c r="E92" s="6" t="n">
        <v>250000</v>
      </c>
      <c r="F92" s="6" t="n"/>
      <c r="G92" t="inlineStr">
        <is>
          <t>Wood</t>
        </is>
      </c>
      <c r="H92" s="6" t="n">
        <v>1</v>
      </c>
      <c r="I92" s="6" t="n">
        <v>1</v>
      </c>
      <c r="J92" s="6" t="n">
        <v>1</v>
      </c>
      <c r="K92" s="6" t="n"/>
      <c r="X92" s="6" t="n">
        <v>2500</v>
      </c>
    </row>
    <row r="93">
      <c r="A93" t="inlineStr">
        <is>
          <t>starcraft</t>
        </is>
      </c>
      <c r="B93" t="inlineStr">
        <is>
          <t>protoss_pylon</t>
        </is>
      </c>
      <c r="C93" t="inlineStr">
        <is>
          <t>Pylon</t>
        </is>
      </c>
      <c r="D93" s="6" t="inlineStr">
        <is>
          <t>Building</t>
        </is>
      </c>
      <c r="E93" s="6" t="n">
        <v>250000</v>
      </c>
      <c r="F93" s="6" t="n"/>
      <c r="G93" t="inlineStr">
        <is>
          <t>Wood</t>
        </is>
      </c>
      <c r="H93" s="6" t="n">
        <v>1</v>
      </c>
      <c r="I93" s="6" t="n">
        <v>1</v>
      </c>
      <c r="J93" s="6" t="n">
        <v>1</v>
      </c>
      <c r="K93" s="6" t="n"/>
      <c r="X93" s="6" t="n">
        <v>1000</v>
      </c>
    </row>
    <row r="94">
      <c r="A94" t="inlineStr">
        <is>
          <t>starcraft</t>
        </is>
      </c>
      <c r="B94" t="inlineStr">
        <is>
          <t>protoss_roboticsfacility</t>
        </is>
      </c>
      <c r="C94" t="inlineStr">
        <is>
          <t>Robotics Facility</t>
        </is>
      </c>
      <c r="D94" s="6" t="inlineStr">
        <is>
          <t>Building</t>
        </is>
      </c>
      <c r="E94" s="6" t="n">
        <v>400000</v>
      </c>
      <c r="F94" s="6" t="n"/>
      <c r="G94" t="inlineStr">
        <is>
          <t>Concrete</t>
        </is>
      </c>
      <c r="H94" s="6" t="n">
        <v>1</v>
      </c>
      <c r="I94" s="6" t="n">
        <v>1</v>
      </c>
      <c r="J94" s="6" t="n">
        <v>1</v>
      </c>
      <c r="K94" s="6" t="n"/>
      <c r="X94" s="6" t="n">
        <v>2000</v>
      </c>
    </row>
    <row r="95">
      <c r="A95" t="inlineStr">
        <is>
          <t>starcraft</t>
        </is>
      </c>
      <c r="B95" t="inlineStr">
        <is>
          <t>protoss_roboticssupportbay</t>
        </is>
      </c>
      <c r="C95" t="inlineStr">
        <is>
          <t>Robotics Support Bay</t>
        </is>
      </c>
      <c r="D95" s="6" t="inlineStr">
        <is>
          <t>Building</t>
        </is>
      </c>
      <c r="E95" s="6" t="n">
        <v>200000</v>
      </c>
      <c r="F95" s="6" t="n"/>
      <c r="G95" t="inlineStr">
        <is>
          <t>Wood</t>
        </is>
      </c>
      <c r="H95" s="6" t="n">
        <v>1</v>
      </c>
      <c r="I95" s="6" t="n">
        <v>1</v>
      </c>
      <c r="J95" s="6" t="n">
        <v>1</v>
      </c>
      <c r="K95" s="6" t="n"/>
      <c r="X95" s="6" t="n">
        <v>2000</v>
      </c>
    </row>
    <row r="96">
      <c r="A96" t="inlineStr">
        <is>
          <t>starcraft</t>
        </is>
      </c>
      <c r="B96" t="inlineStr">
        <is>
          <t>protoss_shieldbattery</t>
        </is>
      </c>
      <c r="C96" t="inlineStr">
        <is>
          <t>Shield Battery</t>
        </is>
      </c>
      <c r="D96" s="6" t="inlineStr">
        <is>
          <t>Building</t>
        </is>
      </c>
      <c r="E96" s="6" t="n">
        <v>100000</v>
      </c>
      <c r="F96" s="6" t="n"/>
      <c r="G96" t="inlineStr">
        <is>
          <t>Wood</t>
        </is>
      </c>
      <c r="H96" s="6" t="n">
        <v>1</v>
      </c>
      <c r="I96" s="6" t="n">
        <v>1</v>
      </c>
      <c r="J96" s="6" t="n">
        <v>1</v>
      </c>
      <c r="K96" s="6" t="n"/>
      <c r="X96" s="6" t="n">
        <v>1000</v>
      </c>
    </row>
    <row r="97">
      <c r="B97" s="7" t="inlineStr">
        <is>
          <t xml:space="preserve">  ↳ Heal</t>
        </is>
      </c>
      <c r="C97" s="7" t="inlineStr">
        <is>
          <t>Armament</t>
        </is>
      </c>
      <c r="L97" s="6" t="n">
        <v>-3000</v>
      </c>
      <c r="M97" s="6" t="n">
        <v>75</v>
      </c>
      <c r="N97" s="6" t="n">
        <v>1</v>
      </c>
      <c r="O97" s="6" t="n"/>
      <c r="P97" s="6" t="n">
        <v>5000</v>
      </c>
      <c r="Q97" s="6" t="n">
        <v>1</v>
      </c>
      <c r="R97">
        <f>M97+IF(N97&gt;1,N(O97)*(N97-1),0)</f>
        <v/>
      </c>
      <c r="S97">
        <f>IFERROR(L97*MAX(N97,1)/R97*IF(ISBLANK(K96),1,K96),0)</f>
        <v/>
      </c>
      <c r="AB97" s="7" t="inlineStr">
        <is>
          <t>^HealingWeapon</t>
        </is>
      </c>
    </row>
    <row r="98">
      <c r="A98" t="inlineStr">
        <is>
          <t>starcraft</t>
        </is>
      </c>
      <c r="B98" t="inlineStr">
        <is>
          <t>protoss_stargate</t>
        </is>
      </c>
      <c r="C98" t="inlineStr">
        <is>
          <t>Stargate</t>
        </is>
      </c>
      <c r="D98" s="6" t="inlineStr">
        <is>
          <t>Building</t>
        </is>
      </c>
      <c r="E98" s="6" t="n">
        <v>300000</v>
      </c>
      <c r="F98" s="6" t="n"/>
      <c r="G98" t="inlineStr">
        <is>
          <t>Wood</t>
        </is>
      </c>
      <c r="H98" s="6" t="n">
        <v>1</v>
      </c>
      <c r="I98" s="6" t="n">
        <v>1</v>
      </c>
      <c r="J98" s="6" t="n">
        <v>1</v>
      </c>
      <c r="K98" s="6" t="n"/>
      <c r="X98" s="6" t="n">
        <v>1500</v>
      </c>
    </row>
    <row r="99">
      <c r="A99" t="inlineStr">
        <is>
          <t>starcraft</t>
        </is>
      </c>
      <c r="B99" t="inlineStr">
        <is>
          <t>protoss_templararchives</t>
        </is>
      </c>
      <c r="C99" t="inlineStr">
        <is>
          <t>Templar Archives</t>
        </is>
      </c>
      <c r="D99" s="6" t="inlineStr">
        <is>
          <t>Building</t>
        </is>
      </c>
      <c r="E99" s="6" t="n">
        <v>250000</v>
      </c>
      <c r="F99" s="6" t="n"/>
      <c r="G99" t="inlineStr">
        <is>
          <t>Wood</t>
        </is>
      </c>
      <c r="H99" s="6" t="n">
        <v>1</v>
      </c>
      <c r="I99" s="6" t="n">
        <v>1</v>
      </c>
      <c r="J99" s="6" t="n">
        <v>1</v>
      </c>
      <c r="K99" s="6" t="n"/>
      <c r="X99" s="6" t="n">
        <v>2500</v>
      </c>
    </row>
    <row r="100">
      <c r="A100" t="inlineStr">
        <is>
          <t>starcraft</t>
        </is>
      </c>
      <c r="B100" t="inlineStr">
        <is>
          <t>protoss_vespenegascollector</t>
        </is>
      </c>
      <c r="C100" t="inlineStr">
        <is>
          <t>Vespene Gas Collector</t>
        </is>
      </c>
      <c r="D100" s="6" t="inlineStr">
        <is>
          <t>Building</t>
        </is>
      </c>
      <c r="E100" s="6" t="n"/>
      <c r="F100" s="6" t="n"/>
      <c r="H100" s="6" t="n">
        <v>1</v>
      </c>
      <c r="I100" s="6" t="n">
        <v>1</v>
      </c>
      <c r="J100" s="6" t="n">
        <v>1</v>
      </c>
      <c r="K100" s="6" t="n"/>
      <c r="X100" s="6" t="n">
        <v>2500</v>
      </c>
    </row>
    <row r="101">
      <c r="A101" s="4" t="inlineStr">
        <is>
          <t>UPGRADES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t="inlineStr">
        <is>
          <t>starcraft</t>
        </is>
      </c>
      <c r="B102" t="inlineStr">
        <is>
          <t>protoss_upgrade_airarmorlevel1</t>
        </is>
      </c>
      <c r="C102" t="inlineStr">
        <is>
          <t>Air Armor Level 1</t>
        </is>
      </c>
      <c r="D102" s="6" t="inlineStr">
        <is>
          <t>ResearchedUpgrade</t>
        </is>
      </c>
      <c r="E102" s="6" t="n"/>
      <c r="F102" s="6" t="n"/>
      <c r="H102" s="6" t="n">
        <v>1</v>
      </c>
      <c r="I102" s="6" t="n">
        <v>1</v>
      </c>
      <c r="J102" s="6" t="n">
        <v>1</v>
      </c>
      <c r="K102" s="6" t="n"/>
      <c r="X102" s="6" t="n">
        <v>2500</v>
      </c>
    </row>
    <row r="103">
      <c r="A103" t="inlineStr">
        <is>
          <t>starcraft</t>
        </is>
      </c>
      <c r="B103" t="inlineStr">
        <is>
          <t>protoss_upgrade_airarmorlevel2</t>
        </is>
      </c>
      <c r="C103" t="inlineStr">
        <is>
          <t>Air Armor Level 2</t>
        </is>
      </c>
      <c r="D103" s="6" t="inlineStr">
        <is>
          <t>ResearchedUpgrade</t>
        </is>
      </c>
      <c r="E103" s="6" t="n"/>
      <c r="F103" s="6" t="n"/>
      <c r="H103" s="6" t="n">
        <v>0.4648</v>
      </c>
      <c r="I103" s="6" t="n">
        <v>1</v>
      </c>
      <c r="J103" s="6" t="n">
        <v>1</v>
      </c>
      <c r="K103" s="6" t="n"/>
      <c r="X103" s="6" t="n">
        <v>5000</v>
      </c>
    </row>
    <row r="104">
      <c r="A104" t="inlineStr">
        <is>
          <t>starcraft</t>
        </is>
      </c>
      <c r="B104" t="inlineStr">
        <is>
          <t>protoss_upgrade_airweaponslevel1</t>
        </is>
      </c>
      <c r="C104" t="inlineStr">
        <is>
          <t>Air Weapons Level 1</t>
        </is>
      </c>
      <c r="D104" s="6" t="inlineStr">
        <is>
          <t>ResearchedUpgrade</t>
        </is>
      </c>
      <c r="E104" s="6" t="n"/>
      <c r="F104" s="6" t="n"/>
      <c r="H104" s="6" t="n">
        <v>1</v>
      </c>
      <c r="I104" s="6" t="n">
        <v>1</v>
      </c>
      <c r="J104" s="6" t="n">
        <v>1</v>
      </c>
      <c r="K104" s="6" t="n"/>
      <c r="X104" s="6" t="n">
        <v>2500</v>
      </c>
    </row>
    <row r="105">
      <c r="A105" t="inlineStr">
        <is>
          <t>starcraft</t>
        </is>
      </c>
      <c r="B105" t="inlineStr">
        <is>
          <t>protoss_upgrade_airweaponslevel2</t>
        </is>
      </c>
      <c r="C105" t="inlineStr">
        <is>
          <t>Air Weapons Level 2</t>
        </is>
      </c>
      <c r="D105" s="6" t="inlineStr">
        <is>
          <t>ResearchedUpgrade</t>
        </is>
      </c>
      <c r="E105" s="6" t="n"/>
      <c r="F105" s="6" t="n"/>
      <c r="H105" s="6" t="n">
        <v>0.4648</v>
      </c>
      <c r="I105" s="6" t="n">
        <v>1</v>
      </c>
      <c r="J105" s="6" t="n">
        <v>1</v>
      </c>
      <c r="K105" s="6" t="n"/>
      <c r="X105" s="6" t="n">
        <v>5000</v>
      </c>
    </row>
    <row r="106">
      <c r="A106" t="inlineStr">
        <is>
          <t>starcraft</t>
        </is>
      </c>
      <c r="B106" t="inlineStr">
        <is>
          <t>protoss_upgrade_graviticpropulsion</t>
        </is>
      </c>
      <c r="C106" t="inlineStr">
        <is>
          <t>Gravitic Propulsion</t>
        </is>
      </c>
      <c r="D106" s="6" t="inlineStr">
        <is>
          <t>ResearchedUpgrade</t>
        </is>
      </c>
      <c r="E106" s="6" t="n"/>
      <c r="F106" s="6" t="n"/>
      <c r="H106" s="6" t="n">
        <v>0.8048999999999999</v>
      </c>
      <c r="I106" s="6" t="n">
        <v>1</v>
      </c>
      <c r="J106" s="6" t="n">
        <v>1</v>
      </c>
      <c r="K106" s="6" t="n"/>
      <c r="X106" s="6" t="n">
        <v>2500</v>
      </c>
    </row>
    <row r="107">
      <c r="A107" t="inlineStr">
        <is>
          <t>starcraft</t>
        </is>
      </c>
      <c r="B107" t="inlineStr">
        <is>
          <t>protoss_upgrade_groundarmorlevel1</t>
        </is>
      </c>
      <c r="C107" t="inlineStr">
        <is>
          <t>Ground Armor Level 1</t>
        </is>
      </c>
      <c r="D107" s="6" t="inlineStr">
        <is>
          <t>ResearchedUpgrade</t>
        </is>
      </c>
      <c r="E107" s="6" t="n"/>
      <c r="F107" s="6" t="n"/>
      <c r="H107" s="6" t="n">
        <v>1</v>
      </c>
      <c r="I107" s="6" t="n">
        <v>1</v>
      </c>
      <c r="J107" s="6" t="n">
        <v>1</v>
      </c>
      <c r="K107" s="6" t="n"/>
      <c r="X107" s="6" t="n">
        <v>2500</v>
      </c>
    </row>
    <row r="108">
      <c r="A108" t="inlineStr">
        <is>
          <t>starcraft</t>
        </is>
      </c>
      <c r="B108" t="inlineStr">
        <is>
          <t>protoss_upgrade_groundarmorlevel2</t>
        </is>
      </c>
      <c r="C108" t="inlineStr">
        <is>
          <t>Ground Armor Level 2</t>
        </is>
      </c>
      <c r="D108" s="6" t="inlineStr">
        <is>
          <t>ResearchedUpgrade</t>
        </is>
      </c>
      <c r="E108" s="6" t="n"/>
      <c r="F108" s="6" t="n"/>
      <c r="H108" s="6" t="n">
        <v>0.7674</v>
      </c>
      <c r="I108" s="6" t="n">
        <v>1</v>
      </c>
      <c r="J108" s="6" t="n">
        <v>1</v>
      </c>
      <c r="K108" s="6" t="n"/>
      <c r="X108" s="6" t="n">
        <v>5000</v>
      </c>
    </row>
    <row r="109">
      <c r="A109" t="inlineStr">
        <is>
          <t>starcraft</t>
        </is>
      </c>
      <c r="B109" t="inlineStr">
        <is>
          <t>protoss_upgrade_groundweaponslevel1</t>
        </is>
      </c>
      <c r="C109" t="inlineStr">
        <is>
          <t>Ground Weapons Level 1</t>
        </is>
      </c>
      <c r="D109" s="6" t="inlineStr">
        <is>
          <t>ResearchedUpgrade</t>
        </is>
      </c>
      <c r="E109" s="6" t="n"/>
      <c r="F109" s="6" t="n"/>
      <c r="H109" s="6" t="n">
        <v>1</v>
      </c>
      <c r="I109" s="6" t="n">
        <v>1</v>
      </c>
      <c r="J109" s="6" t="n">
        <v>1</v>
      </c>
      <c r="K109" s="6" t="n"/>
      <c r="X109" s="6" t="n">
        <v>2500</v>
      </c>
    </row>
    <row r="110">
      <c r="A110" t="inlineStr">
        <is>
          <t>starcraft</t>
        </is>
      </c>
      <c r="B110" t="inlineStr">
        <is>
          <t>protoss_upgrade_groundweaponslevel2</t>
        </is>
      </c>
      <c r="C110" t="inlineStr">
        <is>
          <t>Ground Weapons Level 2</t>
        </is>
      </c>
      <c r="D110" s="6" t="inlineStr">
        <is>
          <t>ResearchedUpgrade</t>
        </is>
      </c>
      <c r="E110" s="6" t="n"/>
      <c r="F110" s="6" t="n"/>
      <c r="H110" s="6" t="n">
        <v>0.7674</v>
      </c>
      <c r="I110" s="6" t="n">
        <v>1</v>
      </c>
      <c r="J110" s="6" t="n">
        <v>1</v>
      </c>
      <c r="K110" s="6" t="n"/>
      <c r="X110" s="6" t="n">
        <v>5000</v>
      </c>
    </row>
    <row r="111">
      <c r="A111" t="inlineStr">
        <is>
          <t>starcraft</t>
        </is>
      </c>
      <c r="B111" t="inlineStr">
        <is>
          <t>protoss_upgrade_plasmashields</t>
        </is>
      </c>
      <c r="C111" t="inlineStr">
        <is>
          <t>Plasma Shields</t>
        </is>
      </c>
      <c r="D111" s="6" t="inlineStr">
        <is>
          <t>ResearchedUpgrade</t>
        </is>
      </c>
      <c r="E111" s="6" t="n"/>
      <c r="F111" s="6" t="n"/>
      <c r="H111" s="6" t="n">
        <v>1</v>
      </c>
      <c r="I111" s="6" t="n">
        <v>1</v>
      </c>
      <c r="J111" s="6" t="n">
        <v>1</v>
      </c>
      <c r="K111" s="6" t="n"/>
      <c r="X111" s="6" t="n">
        <v>5000</v>
      </c>
    </row>
    <row r="112">
      <c r="A112" t="inlineStr">
        <is>
          <t>starcraft</t>
        </is>
      </c>
      <c r="B112" t="inlineStr">
        <is>
          <t>protoss_upgrade_reavercapacity</t>
        </is>
      </c>
      <c r="C112" t="inlineStr">
        <is>
          <t>Reaver Capacity</t>
        </is>
      </c>
      <c r="D112" s="6" t="inlineStr">
        <is>
          <t>ResearchedUpgrade</t>
        </is>
      </c>
      <c r="E112" s="6" t="n"/>
      <c r="F112" s="6" t="n"/>
      <c r="H112" s="6" t="n">
        <v>0.8048999999999999</v>
      </c>
      <c r="I112" s="6" t="n">
        <v>1</v>
      </c>
      <c r="J112" s="6" t="n">
        <v>1</v>
      </c>
      <c r="K112" s="6" t="n"/>
      <c r="X112" s="6" t="n">
        <v>2500</v>
      </c>
    </row>
    <row r="113">
      <c r="A113" t="inlineStr">
        <is>
          <t>starcraft</t>
        </is>
      </c>
      <c r="B113" t="inlineStr">
        <is>
          <t>protoss_upgrade_resonatingglaves</t>
        </is>
      </c>
      <c r="C113" t="inlineStr">
        <is>
          <t>Resonating Glaves</t>
        </is>
      </c>
      <c r="D113" s="6" t="inlineStr">
        <is>
          <t>ResearchedUpgrade</t>
        </is>
      </c>
      <c r="E113" s="6" t="n"/>
      <c r="F113" s="6" t="n"/>
      <c r="H113" s="6" t="n">
        <v>1</v>
      </c>
      <c r="I113" s="6" t="n">
        <v>1</v>
      </c>
      <c r="J113" s="6" t="n">
        <v>1</v>
      </c>
      <c r="K113" s="6" t="n"/>
      <c r="X113" s="6" t="n">
        <v>2500</v>
      </c>
    </row>
    <row r="114">
      <c r="A114" t="inlineStr">
        <is>
          <t>starcraft</t>
        </is>
      </c>
      <c r="B114" t="inlineStr">
        <is>
          <t>protoss_upgrade_singularitycharge</t>
        </is>
      </c>
      <c r="C114" t="inlineStr">
        <is>
          <t>Singularity Charge</t>
        </is>
      </c>
      <c r="D114" s="6" t="inlineStr">
        <is>
          <t>ResearchedUpgrade</t>
        </is>
      </c>
      <c r="E114" s="6" t="n"/>
      <c r="F114" s="6" t="n"/>
      <c r="H114" s="6" t="n">
        <v>1</v>
      </c>
      <c r="I114" s="6" t="n">
        <v>1</v>
      </c>
      <c r="J114" s="6" t="n">
        <v>1</v>
      </c>
      <c r="K114" s="6" t="n"/>
      <c r="X114" s="6" t="n">
        <v>2500</v>
      </c>
    </row>
    <row r="115">
      <c r="A115" t="inlineStr">
        <is>
          <t>starcraft</t>
        </is>
      </c>
      <c r="B115" t="inlineStr">
        <is>
          <t>protoss_upgrade_upgradepylonlevel1</t>
        </is>
      </c>
      <c r="C115" t="inlineStr">
        <is>
          <t>Upgrade Pylon Level 1</t>
        </is>
      </c>
      <c r="D115" s="6" t="inlineStr">
        <is>
          <t>ResearchedUpgrade</t>
        </is>
      </c>
      <c r="E115" s="6" t="n"/>
      <c r="F115" s="6" t="n"/>
      <c r="H115" s="6" t="n">
        <v>1</v>
      </c>
      <c r="I115" s="6" t="n">
        <v>1</v>
      </c>
      <c r="J115" s="6" t="n">
        <v>1</v>
      </c>
      <c r="K115" s="6" t="n"/>
      <c r="X115" s="6" t="n">
        <v>2500</v>
      </c>
    </row>
    <row r="116">
      <c r="A116" t="inlineStr">
        <is>
          <t>starcraft</t>
        </is>
      </c>
      <c r="B116" t="inlineStr">
        <is>
          <t>protoss_upgrade_upgradepylonlevel2</t>
        </is>
      </c>
      <c r="C116" t="inlineStr">
        <is>
          <t>Upgrade Pylon Level 2</t>
        </is>
      </c>
      <c r="D116" s="6" t="inlineStr">
        <is>
          <t>ResearchedUpgrade</t>
        </is>
      </c>
      <c r="E116" s="6" t="n"/>
      <c r="F116" s="6" t="n"/>
      <c r="H116" s="6" t="n">
        <v>1</v>
      </c>
      <c r="I116" s="6" t="n">
        <v>1</v>
      </c>
      <c r="J116" s="6" t="n">
        <v>1</v>
      </c>
      <c r="K116" s="6" t="n"/>
      <c r="X116" s="6" t="n">
        <v>5000</v>
      </c>
    </row>
    <row r="117">
      <c r="A117" s="4" t="inlineStr">
        <is>
          <t>PROMOTIONS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t="inlineStr">
        <is>
          <t>starcraft</t>
        </is>
      </c>
      <c r="B118" t="inlineStr">
        <is>
          <t>protoss_promotion_amaranth</t>
        </is>
      </c>
      <c r="C118" t="inlineStr">
        <is>
          <t>Unlock Amaranth</t>
        </is>
      </c>
      <c r="D118" s="6" t="inlineStr">
        <is>
          <t>PromotionUpgrade</t>
        </is>
      </c>
      <c r="E118" s="6" t="n"/>
      <c r="F118" s="6" t="n"/>
      <c r="H118" s="6" t="n">
        <v>1</v>
      </c>
      <c r="I118" s="6" t="n">
        <v>1</v>
      </c>
      <c r="J118" s="6" t="n">
        <v>1</v>
      </c>
      <c r="K118" s="6" t="n"/>
      <c r="X118" s="6" t="n"/>
    </row>
    <row r="119">
      <c r="A119" t="inlineStr">
        <is>
          <t>starcraft</t>
        </is>
      </c>
      <c r="B119" t="inlineStr">
        <is>
          <t>protoss_promotion_analogue</t>
        </is>
      </c>
      <c r="C119" t="inlineStr">
        <is>
          <t>Unlock Analogue</t>
        </is>
      </c>
      <c r="D119" s="6" t="inlineStr">
        <is>
          <t>PromotionUpgrade</t>
        </is>
      </c>
      <c r="E119" s="6" t="n"/>
      <c r="F119" s="6" t="n"/>
      <c r="H119" s="6" t="n">
        <v>1</v>
      </c>
      <c r="I119" s="6" t="n">
        <v>1</v>
      </c>
      <c r="J119" s="6" t="n">
        <v>1</v>
      </c>
      <c r="K119" s="6" t="n"/>
      <c r="X119" s="6" t="n"/>
    </row>
    <row r="120">
      <c r="A120" t="inlineStr">
        <is>
          <t>starcraft</t>
        </is>
      </c>
      <c r="B120" t="inlineStr">
        <is>
          <t>protoss_promotion_atreus</t>
        </is>
      </c>
      <c r="C120" t="inlineStr">
        <is>
          <t>Unlock Atreus</t>
        </is>
      </c>
      <c r="D120" s="6" t="inlineStr">
        <is>
          <t>PromotionUpgrade</t>
        </is>
      </c>
      <c r="E120" s="6" t="n"/>
      <c r="F120" s="6" t="n"/>
      <c r="H120" s="6" t="n">
        <v>1</v>
      </c>
      <c r="I120" s="6" t="n">
        <v>1</v>
      </c>
      <c r="J120" s="6" t="n">
        <v>1</v>
      </c>
      <c r="K120" s="6" t="n"/>
      <c r="X120" s="6" t="n"/>
    </row>
    <row r="121">
      <c r="A121" t="inlineStr">
        <is>
          <t>starcraft</t>
        </is>
      </c>
      <c r="B121" t="inlineStr">
        <is>
          <t>protoss_promotion_epigraph</t>
        </is>
      </c>
      <c r="C121" t="inlineStr">
        <is>
          <t>Unlock Epigraph</t>
        </is>
      </c>
      <c r="D121" s="6" t="inlineStr">
        <is>
          <t>PromotionUpgrade</t>
        </is>
      </c>
      <c r="E121" s="6" t="n"/>
      <c r="F121" s="6" t="n"/>
      <c r="H121" s="6" t="n">
        <v>1</v>
      </c>
      <c r="I121" s="6" t="n">
        <v>1</v>
      </c>
      <c r="J121" s="6" t="n">
        <v>1</v>
      </c>
      <c r="K121" s="6" t="n"/>
      <c r="X121" s="6" t="n"/>
    </row>
    <row r="122">
      <c r="A122" t="inlineStr">
        <is>
          <t>starcraft</t>
        </is>
      </c>
      <c r="B122" t="inlineStr">
        <is>
          <t>protoss_promotion_gladius</t>
        </is>
      </c>
      <c r="C122" t="inlineStr">
        <is>
          <t>Unlock Gladius</t>
        </is>
      </c>
      <c r="D122" s="6" t="inlineStr">
        <is>
          <t>PromotionUpgrade</t>
        </is>
      </c>
      <c r="E122" s="6" t="n"/>
      <c r="F122" s="6" t="n"/>
      <c r="H122" s="6" t="n">
        <v>1</v>
      </c>
      <c r="I122" s="6" t="n">
        <v>1</v>
      </c>
      <c r="J122" s="6" t="n">
        <v>1</v>
      </c>
      <c r="K122" s="6" t="n"/>
      <c r="X122" s="6" t="n"/>
    </row>
    <row r="123">
      <c r="A123" t="inlineStr">
        <is>
          <t>starcraft</t>
        </is>
      </c>
      <c r="B123" t="inlineStr">
        <is>
          <t>protoss_promotion_idol</t>
        </is>
      </c>
      <c r="C123" t="inlineStr">
        <is>
          <t>Unlock Idol</t>
        </is>
      </c>
      <c r="D123" s="6" t="inlineStr">
        <is>
          <t>PromotionUpgrade</t>
        </is>
      </c>
      <c r="E123" s="6" t="n"/>
      <c r="F123" s="6" t="n"/>
      <c r="H123" s="6" t="n">
        <v>1</v>
      </c>
      <c r="I123" s="6" t="n">
        <v>1</v>
      </c>
      <c r="J123" s="6" t="n">
        <v>1</v>
      </c>
      <c r="K123" s="6" t="n"/>
      <c r="X123" s="6" t="n"/>
    </row>
    <row r="124">
      <c r="A124" t="inlineStr">
        <is>
          <t>starcraft</t>
        </is>
      </c>
      <c r="B124" t="inlineStr">
        <is>
          <t>protoss_promotion_legionnaire</t>
        </is>
      </c>
      <c r="C124" t="inlineStr">
        <is>
          <t>Unlock Legionnaire</t>
        </is>
      </c>
      <c r="D124" s="6" t="inlineStr">
        <is>
          <t>PromotionUpgrade</t>
        </is>
      </c>
      <c r="E124" s="6" t="n"/>
      <c r="F124" s="6" t="n"/>
      <c r="H124" s="6" t="n">
        <v>1</v>
      </c>
      <c r="I124" s="6" t="n">
        <v>1</v>
      </c>
      <c r="J124" s="6" t="n">
        <v>1</v>
      </c>
      <c r="K124" s="6" t="n"/>
      <c r="X124" s="6" t="n"/>
    </row>
    <row r="125">
      <c r="A125" t="inlineStr">
        <is>
          <t>starcraft</t>
        </is>
      </c>
      <c r="B125" t="inlineStr">
        <is>
          <t>protoss_promotion_manifold</t>
        </is>
      </c>
      <c r="C125" t="inlineStr">
        <is>
          <t>Unlock Manifold</t>
        </is>
      </c>
      <c r="D125" s="6" t="inlineStr">
        <is>
          <t>PromotionUpgrade</t>
        </is>
      </c>
      <c r="E125" s="6" t="n"/>
      <c r="F125" s="6" t="n"/>
      <c r="H125" s="6" t="n">
        <v>1</v>
      </c>
      <c r="I125" s="6" t="n">
        <v>1</v>
      </c>
      <c r="J125" s="6" t="n">
        <v>1</v>
      </c>
      <c r="K125" s="6" t="n"/>
      <c r="X125" s="6" t="n"/>
    </row>
    <row r="126">
      <c r="A126" t="inlineStr">
        <is>
          <t>starcraft</t>
        </is>
      </c>
      <c r="B126" t="inlineStr">
        <is>
          <t>protoss_promotion_patriarch</t>
        </is>
      </c>
      <c r="C126" t="inlineStr">
        <is>
          <t>Unlock Patriarch</t>
        </is>
      </c>
      <c r="D126" s="6" t="inlineStr">
        <is>
          <t>PromotionUpgrade</t>
        </is>
      </c>
      <c r="E126" s="6" t="n"/>
      <c r="F126" s="6" t="n"/>
      <c r="H126" s="6" t="n">
        <v>1</v>
      </c>
      <c r="I126" s="6" t="n">
        <v>1</v>
      </c>
      <c r="J126" s="6" t="n">
        <v>1</v>
      </c>
      <c r="K126" s="6" t="n"/>
      <c r="X126" s="6" t="n"/>
    </row>
    <row r="127">
      <c r="A127" t="inlineStr">
        <is>
          <t>starcraft</t>
        </is>
      </c>
      <c r="B127" t="inlineStr">
        <is>
          <t>protoss_promotion_positron</t>
        </is>
      </c>
      <c r="C127" t="inlineStr">
        <is>
          <t>Unlock Positron</t>
        </is>
      </c>
      <c r="D127" s="6" t="inlineStr">
        <is>
          <t>PromotionUpgrade</t>
        </is>
      </c>
      <c r="E127" s="6" t="n"/>
      <c r="F127" s="6" t="n"/>
      <c r="H127" s="6" t="n">
        <v>1</v>
      </c>
      <c r="I127" s="6" t="n">
        <v>1</v>
      </c>
      <c r="J127" s="6" t="n">
        <v>1</v>
      </c>
      <c r="K127" s="6" t="n"/>
      <c r="X127" s="6" t="n"/>
    </row>
    <row r="128">
      <c r="A128" t="inlineStr">
        <is>
          <t>starcraft</t>
        </is>
      </c>
      <c r="B128" t="inlineStr">
        <is>
          <t>protoss_promotion_starsovereign</t>
        </is>
      </c>
      <c r="C128" t="inlineStr">
        <is>
          <t>Unlock Star Sovereign</t>
        </is>
      </c>
      <c r="D128" s="6" t="inlineStr">
        <is>
          <t>PromotionUpgrade</t>
        </is>
      </c>
      <c r="E128" s="6" t="n"/>
      <c r="F128" s="6" t="n"/>
      <c r="H128" s="6" t="n">
        <v>1</v>
      </c>
      <c r="I128" s="6" t="n">
        <v>1</v>
      </c>
      <c r="J128" s="6" t="n">
        <v>1</v>
      </c>
      <c r="K128" s="6" t="n"/>
      <c r="X128" s="6" t="n"/>
    </row>
    <row r="129">
      <c r="A129" t="inlineStr">
        <is>
          <t>starcraft</t>
        </is>
      </c>
      <c r="B129" t="inlineStr">
        <is>
          <t>protoss_promotion_voidray</t>
        </is>
      </c>
      <c r="C129" t="inlineStr">
        <is>
          <t>Unlock Void Ray</t>
        </is>
      </c>
      <c r="D129" s="6" t="inlineStr">
        <is>
          <t>PromotionUpgrade</t>
        </is>
      </c>
      <c r="E129" s="6" t="n"/>
      <c r="F129" s="6" t="n"/>
      <c r="H129" s="6" t="n">
        <v>1</v>
      </c>
      <c r="I129" s="6" t="n">
        <v>1</v>
      </c>
      <c r="J129" s="6" t="n">
        <v>1</v>
      </c>
      <c r="K129" s="6" t="n"/>
      <c r="X129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zerg_defiler</t>
        </is>
      </c>
      <c r="C3" t="inlineStr">
        <is>
          <t>Defiler</t>
        </is>
      </c>
      <c r="D3" s="6" t="inlineStr">
        <is>
          <t>ScoutInfantry</t>
        </is>
      </c>
      <c r="E3" s="6" t="n">
        <v>80000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1.25</v>
      </c>
      <c r="K3" s="6" t="n"/>
      <c r="P3">
        <f>MAX(P4)</f>
        <v/>
      </c>
      <c r="S3">
        <f>S4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(((E3/5000)+(F3/50)+(S3/0)+((P3/0)*J3))*500/4+(((E3/5000)*(F3/50))+(((P3/0)*J3)*(S3/0)))*500/2+((E3/5000)*(F3/50)*((P3/0)*J3)*(S3/0))*500)*(H3/1.0)/3</f>
        <v/>
      </c>
      <c r="X3" s="6" t="n">
        <v>1400</v>
      </c>
      <c r="Y3">
        <f>IFERROR(W3-X3,"")</f>
        <v/>
      </c>
      <c r="Z3">
        <f>IFERROR(ABS(Y3)/MAX(X3,1),"")</f>
        <v/>
      </c>
      <c r="AA3">
        <f>IFERROR(ROUND(((3*X3-(((E3/5000)+(F3/50)+(S3/0))*500/4+((E3/5000)*(F3/50))*500/2)*(H3/1.0))/(500/4+((S3/0))*500/2+((E3/5000)*(F3/50)*(S3/0))*500)*(H3/1.0)*0)/J3,-1),"")</f>
        <v/>
      </c>
    </row>
    <row r="4">
      <c r="B4" s="7" t="inlineStr">
        <is>
          <t xml:space="preserve">  ↳ DefilerPlague</t>
        </is>
      </c>
      <c r="C4" s="7" t="inlineStr">
        <is>
          <t>Armament</t>
        </is>
      </c>
      <c r="L4" s="6" t="n">
        <v>30000</v>
      </c>
      <c r="M4" s="6" t="n">
        <v>175</v>
      </c>
      <c r="N4" s="6" t="n">
        <v>1</v>
      </c>
      <c r="O4" s="6" t="n"/>
      <c r="P4" s="6" t="n">
        <v>9000</v>
      </c>
      <c r="Q4" s="6" t="n">
        <v>1.25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^Warhead_Chemical_Heavy</t>
        </is>
      </c>
    </row>
    <row r="5">
      <c r="A5" t="inlineStr">
        <is>
          <t>starcraft</t>
        </is>
      </c>
      <c r="B5" t="inlineStr">
        <is>
          <t>zerg_hydralisk</t>
        </is>
      </c>
      <c r="C5" t="inlineStr">
        <is>
          <t>Hydralisk</t>
        </is>
      </c>
      <c r="D5" s="6" t="inlineStr">
        <is>
          <t>AntiTankAntiAirInfantry</t>
        </is>
      </c>
      <c r="E5" s="6" t="n">
        <v>80000</v>
      </c>
      <c r="F5" s="6" t="n">
        <v>76</v>
      </c>
      <c r="G5" t="inlineStr">
        <is>
          <t>Flak</t>
        </is>
      </c>
      <c r="H5" s="6" t="n">
        <v>1</v>
      </c>
      <c r="I5" s="6" t="n">
        <v>0.5</v>
      </c>
      <c r="J5" s="6" t="n">
        <v>1</v>
      </c>
      <c r="K5" s="6" t="n">
        <v>0.009899999999999999</v>
      </c>
      <c r="P5">
        <f>MAX(P6)</f>
        <v/>
      </c>
      <c r="S5">
        <f>S6</f>
        <v/>
      </c>
      <c r="T5">
        <f>(E5/100000+F5/100+(P5/1000)*J5/5+S5/200)*200*I5*H5</f>
        <v/>
      </c>
      <c r="U5">
        <f>((E5*F5/25000)+((P5/1000)*J5*S5/2.5))*I5*H5</f>
        <v/>
      </c>
      <c r="V5">
        <f>(E5*F5*(P5/1000)*J5*S5*I5*H5)/12500000</f>
        <v/>
      </c>
      <c r="W5">
        <f>(T5+U5+V5)/3</f>
        <v/>
      </c>
      <c r="X5" s="6" t="n">
        <v>3314</v>
      </c>
      <c r="Y5">
        <f>IFERROR(W5-X5,"")</f>
        <v/>
      </c>
      <c r="Z5">
        <f>IFERROR(ABS(Y5)/MAX(X5,1),"")</f>
        <v/>
      </c>
      <c r="AA5">
        <f>IFERROR((X5-(((E5/100000+F5/100+S5/200)*200*I5*H5)+((E5*F5/25000)*I5*H5))/3)/(((J5/5)*200*I5*H5)+((J5*S5/2.5)*I5*H5)+((E5*F5*J5*S5*I5*H5)/12500000))/3*1000,"")</f>
        <v/>
      </c>
    </row>
    <row r="6">
      <c r="B6" s="7" t="inlineStr">
        <is>
          <t xml:space="preserve">  ↳ HydraSpit</t>
        </is>
      </c>
      <c r="C6" s="7" t="inlineStr">
        <is>
          <t>Armament@PRIMARY</t>
        </is>
      </c>
      <c r="L6" s="6" t="n">
        <v>72000</v>
      </c>
      <c r="M6" s="6" t="n">
        <v>15</v>
      </c>
      <c r="N6" s="6" t="n">
        <v>1</v>
      </c>
      <c r="O6" s="6" t="n"/>
      <c r="P6" s="6" t="n">
        <v>5979</v>
      </c>
      <c r="Q6" s="6" t="n">
        <v>1</v>
      </c>
      <c r="R6">
        <f>M6+IF(N6&gt;1,N(O6)*(N6-1),0)</f>
        <v/>
      </c>
      <c r="S6">
        <f>IFERROR(L6*MAX(N6,1)/R6*IF(ISBLANK(K5),1,K5),0)</f>
        <v/>
      </c>
      <c r="AB6" s="7" t="inlineStr">
        <is>
          <t>^LightChemicalWeapon, ^LightMissile, ^SmallArms, ^ArrowWeapon</t>
        </is>
      </c>
    </row>
    <row r="7">
      <c r="B7" s="7" t="inlineStr">
        <is>
          <t xml:space="preserve">  ↳ HydraSpit</t>
        </is>
      </c>
      <c r="C7" s="7" t="inlineStr">
        <is>
          <t>Armament@GARRISONED</t>
        </is>
      </c>
      <c r="L7" s="6" t="n">
        <v>72000</v>
      </c>
      <c r="M7" s="6" t="n">
        <v>15</v>
      </c>
      <c r="N7" s="6" t="n">
        <v>1</v>
      </c>
      <c r="O7" s="6" t="n"/>
      <c r="P7" s="6" t="n">
        <v>5979</v>
      </c>
      <c r="Q7" s="6" t="n">
        <v>1</v>
      </c>
      <c r="R7">
        <f>M7+IF(N7&gt;1,N(O7)*(N7-1),0)</f>
        <v/>
      </c>
      <c r="S7">
        <f>IFERROR(L7*MAX(N7,1)/R7*IF(ISBLANK(K5),1,K5),0)</f>
        <v/>
      </c>
      <c r="AB7" s="7" t="inlineStr">
        <is>
          <t>^LightChemicalWeapon, ^LightMissile, ^SmallArms, ^ArrowWeapon</t>
        </is>
      </c>
    </row>
    <row r="8">
      <c r="A8" t="inlineStr">
        <is>
          <t>starcraft</t>
        </is>
      </c>
      <c r="B8" t="inlineStr">
        <is>
          <t>zerg_infestedterranbomber</t>
        </is>
      </c>
      <c r="C8" t="inlineStr">
        <is>
          <t>Infested Terran Bomber</t>
        </is>
      </c>
      <c r="D8" s="6" t="inlineStr">
        <is>
          <t>MeleeInfantry</t>
        </is>
      </c>
      <c r="E8" s="6" t="n">
        <v>60000</v>
      </c>
      <c r="F8" s="6" t="n">
        <v>90</v>
      </c>
      <c r="G8" t="inlineStr">
        <is>
          <t>Plate</t>
        </is>
      </c>
      <c r="H8" s="6" t="n">
        <v>0.7674</v>
      </c>
      <c r="I8" s="6" t="n">
        <v>1</v>
      </c>
      <c r="J8" s="6" t="n">
        <v>1</v>
      </c>
      <c r="K8" s="6" t="n"/>
      <c r="X8" s="6" t="n">
        <v>400</v>
      </c>
    </row>
    <row r="9">
      <c r="B9" s="7" t="inlineStr">
        <is>
          <t xml:space="preserve">  ↳ DemoTruckTargeting</t>
        </is>
      </c>
      <c r="C9" s="7" t="inlineStr">
        <is>
          <t>Armament@PRIMARY</t>
        </is>
      </c>
      <c r="L9" s="6" t="n"/>
      <c r="M9" s="6" t="n"/>
      <c r="N9" s="6" t="n">
        <v>1</v>
      </c>
      <c r="O9" s="6" t="n"/>
      <c r="P9" s="6" t="n">
        <v>2000</v>
      </c>
      <c r="Q9" s="6" t="n">
        <v>1</v>
      </c>
      <c r="R9">
        <f>M9+IF(N9&gt;1,N(O9)*(N9-1),0)</f>
        <v/>
      </c>
      <c r="S9">
        <f>IFERROR(L9*MAX(N9,1)/R9*IF(ISBLANK(K8),1,K8),0)</f>
        <v/>
      </c>
      <c r="AB9" s="7" t="inlineStr"/>
    </row>
    <row r="10">
      <c r="A10" t="inlineStr">
        <is>
          <t>starcraft</t>
        </is>
      </c>
      <c r="B10" t="inlineStr">
        <is>
          <t>zerg_kerrigan</t>
        </is>
      </c>
      <c r="C10" t="inlineStr">
        <is>
          <t>Kerrigan</t>
        </is>
      </c>
      <c r="D10" s="6" t="inlineStr">
        <is>
          <t>HeroInfantry</t>
        </is>
      </c>
      <c r="E10" s="6" t="n">
        <v>300000</v>
      </c>
      <c r="F10" s="6" t="n">
        <v>75</v>
      </c>
      <c r="G10" t="inlineStr">
        <is>
          <t>Heroic</t>
        </is>
      </c>
      <c r="H10" s="6" t="n">
        <v>0.75</v>
      </c>
      <c r="I10" s="6" t="n">
        <v>1</v>
      </c>
      <c r="J10" s="6" t="n">
        <v>1.25</v>
      </c>
      <c r="K10" s="6" t="n"/>
      <c r="P10">
        <f>MAX(P11)</f>
        <v/>
      </c>
      <c r="S10">
        <f>S11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4000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zerg_kerrigan</t>
        </is>
      </c>
      <c r="C11" s="7" t="inlineStr">
        <is>
          <t>Armament</t>
        </is>
      </c>
      <c r="L11" s="6" t="n">
        <v>40000</v>
      </c>
      <c r="M11" s="6" t="n">
        <v>20</v>
      </c>
      <c r="N11" s="6" t="n">
        <v>1</v>
      </c>
      <c r="O11" s="6" t="n"/>
      <c r="P11" s="6" t="n">
        <v>2225</v>
      </c>
      <c r="Q11" s="6" t="n">
        <v>1</v>
      </c>
      <c r="R11">
        <f>M11+IF(N11&gt;1,N(O11)*(N11-1),0)</f>
        <v/>
      </c>
      <c r="S11">
        <f>IFERROR(L11*MAX(N11,1)/R11*IF(ISBLANK(K10),1,K10),0)</f>
        <v/>
      </c>
      <c r="AB11" s="7" t="inlineStr">
        <is>
          <t>^Warhead_Melee_Medium</t>
        </is>
      </c>
    </row>
    <row r="12">
      <c r="A12" t="inlineStr">
        <is>
          <t>starcraft</t>
        </is>
      </c>
      <c r="B12" t="inlineStr">
        <is>
          <t>zerg_shriek</t>
        </is>
      </c>
      <c r="C12" t="inlineStr">
        <is>
          <t>Shriek</t>
        </is>
      </c>
      <c r="D12" s="6" t="inlineStr">
        <is>
          <t>FlyingInfantry</t>
        </is>
      </c>
      <c r="E12" s="6" t="n">
        <v>14000</v>
      </c>
      <c r="F12" s="6" t="n">
        <v>195</v>
      </c>
      <c r="G12" t="inlineStr">
        <is>
          <t>Scout</t>
        </is>
      </c>
      <c r="H12" s="6" t="n">
        <v>1</v>
      </c>
      <c r="I12" s="6" t="n">
        <v>1</v>
      </c>
      <c r="J12" s="6" t="n">
        <v>2</v>
      </c>
      <c r="K12" s="6" t="n"/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500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ShriekStinger</t>
        </is>
      </c>
      <c r="C13" s="7" t="inlineStr">
        <is>
          <t>Armament</t>
        </is>
      </c>
      <c r="L13" s="6" t="n">
        <v>4000</v>
      </c>
      <c r="M13" s="6" t="n">
        <v>11</v>
      </c>
      <c r="N13" s="6" t="n">
        <v>1</v>
      </c>
      <c r="O13" s="6" t="n"/>
      <c r="P13" s="6" t="n">
        <v>1150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^Warhead_Melee_Medium</t>
        </is>
      </c>
    </row>
    <row r="14">
      <c r="A14" t="inlineStr">
        <is>
          <t>starcraft</t>
        </is>
      </c>
      <c r="B14" t="inlineStr">
        <is>
          <t>zerg_spithid</t>
        </is>
      </c>
      <c r="C14" t="inlineStr">
        <is>
          <t>Spithid</t>
        </is>
      </c>
      <c r="D14" s="6" t="inlineStr">
        <is>
          <t>ScoutInfantry</t>
        </is>
      </c>
      <c r="E14" s="6" t="n">
        <v>40000</v>
      </c>
      <c r="F14" s="6" t="n">
        <v>110</v>
      </c>
      <c r="G14" t="inlineStr">
        <is>
          <t>None</t>
        </is>
      </c>
      <c r="H14" s="6" t="n">
        <v>1</v>
      </c>
      <c r="I14" s="6" t="n">
        <v>1</v>
      </c>
      <c r="J14" s="6" t="n">
        <v>1</v>
      </c>
      <c r="K14" s="6" t="n"/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(((E14/20000)+(F14/60)+(S14/60)+((P14/5000)*J14))*100/4+(((E14/20000)*(F14/60))+(((P14/5000)*J14)*(S14/60)))*100/2+((E14/20000)*(F14/60)*((P14/5000)*J14)*(S14/60))*100)*(H14/1.0)/3</f>
        <v/>
      </c>
      <c r="X14" s="6" t="n">
        <v>300</v>
      </c>
      <c r="Y14">
        <f>IFERROR(W14-X14,"")</f>
        <v/>
      </c>
      <c r="Z14">
        <f>IFERROR(ABS(Y14)/MAX(X14,1),"")</f>
        <v/>
      </c>
      <c r="AA14">
        <f>IFERROR(ROUND(((3*X14-(((E14/20000)+(F14/60)+(S14/60))*100/4+((E14/20000)*(F14/60))*100/2)*(H14/1.0))/(100/4+((S14/60))*100/2+((E14/20000)*(F14/60)*(S14/60))*100)*(H14/1.0)*5000)/J14,-1),"")</f>
        <v/>
      </c>
    </row>
    <row r="15">
      <c r="B15" s="7" t="inlineStr">
        <is>
          <t xml:space="preserve">  ↳ SpithidSpit</t>
        </is>
      </c>
      <c r="C15" s="7" t="inlineStr">
        <is>
          <t>Armament@PRIMARY</t>
        </is>
      </c>
      <c r="L15" s="6" t="n">
        <v>6000</v>
      </c>
      <c r="M15" s="6" t="n">
        <v>15</v>
      </c>
      <c r="N15" s="6" t="n">
        <v>1</v>
      </c>
      <c r="O15" s="6" t="n"/>
      <c r="P15" s="6" t="n">
        <v>3855</v>
      </c>
      <c r="Q15" s="6" t="n">
        <v>1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^LightMissile, ^SmallArms, ^ArrowWeapon</t>
        </is>
      </c>
    </row>
    <row r="16">
      <c r="B16" s="7" t="inlineStr">
        <is>
          <t xml:space="preserve">  ↳ SpithidSpit</t>
        </is>
      </c>
      <c r="C16" s="7" t="inlineStr">
        <is>
          <t>Armament@GARRISONED</t>
        </is>
      </c>
      <c r="L16" s="6" t="n">
        <v>6000</v>
      </c>
      <c r="M16" s="6" t="n">
        <v>15</v>
      </c>
      <c r="N16" s="6" t="n">
        <v>1</v>
      </c>
      <c r="O16" s="6" t="n"/>
      <c r="P16" s="6" t="n">
        <v>3855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^LightMissile, ^SmallArms, ^ArrowWeapon</t>
        </is>
      </c>
    </row>
    <row r="17">
      <c r="A17" t="inlineStr">
        <is>
          <t>starcraft</t>
        </is>
      </c>
      <c r="B17" t="inlineStr">
        <is>
          <t>zerg_swarmling</t>
        </is>
      </c>
      <c r="C17" t="inlineStr">
        <is>
          <t>Swarmling</t>
        </is>
      </c>
      <c r="D17" s="6" t="inlineStr">
        <is>
          <t>FlyingInfantry</t>
        </is>
      </c>
      <c r="E17" s="6" t="n">
        <v>40000</v>
      </c>
      <c r="F17" s="6" t="n">
        <v>80</v>
      </c>
      <c r="G17" t="inlineStr">
        <is>
          <t>Scout</t>
        </is>
      </c>
      <c r="H17" s="6" t="n">
        <v>1</v>
      </c>
      <c r="I17" s="6" t="n">
        <v>1</v>
      </c>
      <c r="J17" s="6" t="n">
        <v>1.25</v>
      </c>
      <c r="K17" s="6" t="n"/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800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SwarmlingShoot</t>
        </is>
      </c>
      <c r="C18" s="7" t="inlineStr">
        <is>
          <t>Armament</t>
        </is>
      </c>
      <c r="L18" s="6" t="n">
        <v>16000</v>
      </c>
      <c r="M18" s="6" t="n">
        <v>80</v>
      </c>
      <c r="N18" s="6" t="n">
        <v>1</v>
      </c>
      <c r="O18" s="6" t="n"/>
      <c r="P18" s="6" t="n">
        <v>8561</v>
      </c>
      <c r="Q18" s="6" t="n">
        <v>1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^MediumChemicalWeapon, ^MediumFlameWeapon, ^Grenade, ^ShrapnelWeapon, ^HeavyBomb, ^MediumMissile, ^Chaingun, ^FlakWeapon</t>
        </is>
      </c>
    </row>
    <row r="19">
      <c r="A19" t="inlineStr">
        <is>
          <t>starcraft</t>
        </is>
      </c>
      <c r="B19" t="inlineStr">
        <is>
          <t>zerg_talon</t>
        </is>
      </c>
      <c r="C19" t="inlineStr">
        <is>
          <t>Talon</t>
        </is>
      </c>
      <c r="D19" s="6" t="inlineStr">
        <is>
          <t>MeleeInfantry</t>
        </is>
      </c>
      <c r="E19" s="6" t="n">
        <v>32000</v>
      </c>
      <c r="F19" s="6" t="n">
        <v>160</v>
      </c>
      <c r="G19" t="inlineStr">
        <is>
          <t>Plate</t>
        </is>
      </c>
      <c r="H19" s="6" t="n">
        <v>1</v>
      </c>
      <c r="I19" s="6" t="n">
        <v>0.75</v>
      </c>
      <c r="J19" s="6" t="n">
        <v>1</v>
      </c>
      <c r="K19" s="6" t="n"/>
      <c r="P19">
        <f>MAX(P20)</f>
        <v/>
      </c>
      <c r="S19">
        <f>S20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(T19+U19+V19)/3</f>
        <v/>
      </c>
      <c r="X19" s="6" t="n">
        <v>300</v>
      </c>
      <c r="Y19">
        <f>IFERROR(W19-X19,"")</f>
        <v/>
      </c>
      <c r="Z19">
        <f>IFERROR(ABS(Y19)/MAX(X19,1),"")</f>
        <v/>
      </c>
      <c r="AA19">
        <f>IFERROR((X19-(((E19/100000+F19/100+S19/200)*200*I19*H19)+((E19*F19/25000)*I19*H19))/3)/(((J19/5)*200*I19*H19)+((J19*S19/2.5)*I19*H19)+((E19*F19*J19*S19*I19*H19)/12500000))/3*1000,"")</f>
        <v/>
      </c>
    </row>
    <row r="20">
      <c r="B20" s="7" t="inlineStr">
        <is>
          <t xml:space="preserve">  ↳ TalonClaw</t>
        </is>
      </c>
      <c r="C20" s="7" t="inlineStr">
        <is>
          <t>Armament</t>
        </is>
      </c>
      <c r="L20" s="6" t="n">
        <v>6000</v>
      </c>
      <c r="M20" s="6" t="n">
        <v>15</v>
      </c>
      <c r="N20" s="6" t="n">
        <v>1</v>
      </c>
      <c r="O20" s="6" t="n"/>
      <c r="P20" s="6" t="n">
        <v>1680</v>
      </c>
      <c r="Q20" s="6" t="n">
        <v>1</v>
      </c>
      <c r="R20">
        <f>M20+IF(N20&gt;1,N(O20)*(N20-1),0)</f>
        <v/>
      </c>
      <c r="S20">
        <f>IFERROR(L20*MAX(N20,1)/R20*IF(ISBLANK(K19),1,K19),0)</f>
        <v/>
      </c>
      <c r="AB20" s="7" t="inlineStr">
        <is>
          <t>^Warhead_Melee_Medium</t>
        </is>
      </c>
    </row>
    <row r="21">
      <c r="A21" t="inlineStr">
        <is>
          <t>starcraft</t>
        </is>
      </c>
      <c r="B21" t="inlineStr">
        <is>
          <t>zerg_ultralisk</t>
        </is>
      </c>
      <c r="C21" t="inlineStr">
        <is>
          <t>Ultralisk</t>
        </is>
      </c>
      <c r="D21" s="6" t="inlineStr">
        <is>
          <t>LineBreaker</t>
        </is>
      </c>
      <c r="E21" s="6" t="n">
        <v>400000</v>
      </c>
      <c r="F21" s="6" t="n">
        <v>80</v>
      </c>
      <c r="G21" t="inlineStr">
        <is>
          <t>Heavy</t>
        </is>
      </c>
      <c r="H21" s="6" t="n">
        <v>0.75</v>
      </c>
      <c r="I21" s="6" t="n">
        <v>1</v>
      </c>
      <c r="J21" s="6" t="n">
        <v>1</v>
      </c>
      <c r="K21" s="6" t="n"/>
      <c r="P21">
        <f>MAX(P22)</f>
        <v/>
      </c>
      <c r="S21">
        <f>S22</f>
        <v/>
      </c>
      <c r="T21">
        <f>(E21/100000+F21/100+(P21/1000)*J21/5+S21/200)*200*I21*H21</f>
        <v/>
      </c>
      <c r="U21">
        <f>((E21*F21/25000)+((P21/1000)*J21*S21/2.5))*I21*H21</f>
        <v/>
      </c>
      <c r="V21">
        <f>(E21*F21*(P21/1000)*J21*S21*I21*H21)/12500000</f>
        <v/>
      </c>
      <c r="W21">
        <f>(((E21/240000)+(F21/95)+(S21/600)+((P21/5500)*J21))*800/4+(((E21/240000)*(F21/95))+(((P21/5500)*J21)*(S21/600)))*800/2+((E21/240000)*(F21/95)*((P21/5500)*J21)*(S21/600))*800)*(H21/1.0)/3</f>
        <v/>
      </c>
      <c r="X21" s="6" t="n">
        <v>4400</v>
      </c>
      <c r="Y21">
        <f>IFERROR(W21-X21,"")</f>
        <v/>
      </c>
      <c r="Z21">
        <f>IFERROR(ABS(Y21)/MAX(X21,1),"")</f>
        <v/>
      </c>
      <c r="AA21">
        <f>IFERROR(ROUND(((3*X21-(((E21/240000)+(F21/95)+(S21/600))*800/4+((E21/240000)*(F21/95))*800/2)*(H21/1.0))/(800/4+((S21/600))*800/2+((E21/240000)*(F21/95)*(S21/600))*800)*(H21/1.0)*5500)/J21,-1),"")</f>
        <v/>
      </c>
    </row>
    <row r="22">
      <c r="B22" s="7" t="inlineStr">
        <is>
          <t xml:space="preserve">  ↳ UltraliskHusk</t>
        </is>
      </c>
      <c r="C22" s="7" t="inlineStr">
        <is>
          <t>Armament</t>
        </is>
      </c>
      <c r="L22" s="6" t="n">
        <v>40000</v>
      </c>
      <c r="M22" s="6" t="n">
        <v>15</v>
      </c>
      <c r="N22" s="6" t="n">
        <v>1</v>
      </c>
      <c r="O22" s="6" t="n"/>
      <c r="P22" s="6" t="n">
        <v>1600</v>
      </c>
      <c r="Q22" s="6" t="n">
        <v>1</v>
      </c>
      <c r="R22">
        <f>M22+IF(N22&gt;1,N(O22)*(N22-1),0)</f>
        <v/>
      </c>
      <c r="S22">
        <f>IFERROR(L22*MAX(N22,1)/R22*IF(ISBLANK(K21),1,K21),0)</f>
        <v/>
      </c>
      <c r="AB22" s="7" t="inlineStr">
        <is>
          <t>^Warhead_Melee_Medium</t>
        </is>
      </c>
    </row>
    <row r="23">
      <c r="A23" t="inlineStr">
        <is>
          <t>starcraft</t>
        </is>
      </c>
      <c r="B23" t="inlineStr">
        <is>
          <t>zerg_zergling</t>
        </is>
      </c>
      <c r="C23" t="inlineStr">
        <is>
          <t>Zergling</t>
        </is>
      </c>
      <c r="D23" s="6" t="inlineStr">
        <is>
          <t>MeleeInfantry</t>
        </is>
      </c>
      <c r="E23" s="6" t="n">
        <v>11000</v>
      </c>
      <c r="F23" s="6" t="n">
        <v>110</v>
      </c>
      <c r="G23" t="inlineStr">
        <is>
          <t>Plate</t>
        </is>
      </c>
      <c r="H23" s="6" t="n">
        <v>1</v>
      </c>
      <c r="I23" s="6" t="n">
        <v>0.75</v>
      </c>
      <c r="J23" s="6" t="n">
        <v>1</v>
      </c>
      <c r="K23" s="6" t="n">
        <v>0.015</v>
      </c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200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ZerglingClaw</t>
        </is>
      </c>
      <c r="C24" s="7" t="inlineStr">
        <is>
          <t>Armament</t>
        </is>
      </c>
      <c r="L24" s="6" t="n">
        <v>2000</v>
      </c>
      <c r="M24" s="6" t="n">
        <v>11</v>
      </c>
      <c r="N24" s="6" t="n">
        <v>1</v>
      </c>
      <c r="O24" s="6" t="n"/>
      <c r="P24" s="6" t="n">
        <v>1350</v>
      </c>
      <c r="Q24" s="6" t="n">
        <v>1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^Warhead_Melee_Medium</t>
        </is>
      </c>
    </row>
    <row r="25">
      <c r="A25" s="4" t="inlineStr">
        <is>
          <t>VEHICLES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>
      <c r="A26" t="inlineStr">
        <is>
          <t>starcraft</t>
        </is>
      </c>
      <c r="B26" t="inlineStr">
        <is>
          <t>zerg_drone</t>
        </is>
      </c>
      <c r="C26" t="inlineStr">
        <is>
          <t>Zerg Drone</t>
        </is>
      </c>
      <c r="D26" s="6" t="inlineStr">
        <is>
          <t>Harvester</t>
        </is>
      </c>
      <c r="E26" s="6" t="n">
        <v>45000</v>
      </c>
      <c r="F26" s="6" t="n">
        <v>100</v>
      </c>
      <c r="G26" t="inlineStr">
        <is>
          <t>Light</t>
        </is>
      </c>
      <c r="H26" s="6" t="n">
        <v>1</v>
      </c>
      <c r="I26" s="6" t="n">
        <v>1</v>
      </c>
      <c r="J26" s="6" t="n">
        <v>1</v>
      </c>
      <c r="K26" s="6" t="n"/>
      <c r="P26">
        <f>MAX(P27)</f>
        <v/>
      </c>
      <c r="S26">
        <f>S27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500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DroneAttack</t>
        </is>
      </c>
      <c r="C27" s="7" t="inlineStr">
        <is>
          <t>Armament</t>
        </is>
      </c>
      <c r="L27" s="6" t="n">
        <v>10000</v>
      </c>
      <c r="M27" s="6" t="n">
        <v>25</v>
      </c>
      <c r="N27" s="6" t="n">
        <v>1</v>
      </c>
      <c r="O27" s="6" t="n"/>
      <c r="P27" s="6" t="n">
        <v>1500</v>
      </c>
      <c r="Q27" s="6" t="n">
        <v>1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^Warhead_Melee_Medium</t>
        </is>
      </c>
    </row>
    <row r="28">
      <c r="A28" t="inlineStr">
        <is>
          <t>starcraft</t>
        </is>
      </c>
      <c r="B28" t="inlineStr">
        <is>
          <t>zerg_goremaw</t>
        </is>
      </c>
      <c r="C28" t="inlineStr">
        <is>
          <t>Goremaw</t>
        </is>
      </c>
      <c r="D28" s="6" t="inlineStr">
        <is>
          <t>HighTechTank</t>
        </is>
      </c>
      <c r="E28" s="6" t="n">
        <v>150000</v>
      </c>
      <c r="F28" s="6" t="n">
        <v>150</v>
      </c>
      <c r="G28" t="inlineStr">
        <is>
          <t>Superheavy</t>
        </is>
      </c>
      <c r="H28" s="6" t="n">
        <v>0.75</v>
      </c>
      <c r="I28" s="6" t="n">
        <v>1</v>
      </c>
      <c r="J28" s="6" t="n">
        <v>1.25</v>
      </c>
      <c r="K28" s="6" t="n"/>
      <c r="P28">
        <f>MAX(P29)</f>
        <v/>
      </c>
      <c r="S28">
        <f>S29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(((E28/700000)+(F28/65)+(S28/2000)+((P28/6500)*J28))*2000/4+(((E28/700000)*(F28/65))+(((P28/6500)*J28)*(S28/2000)))*2000/2+((E28/700000)*(F28/65)*((P28/6500)*J28)*(S28/2000))*2000)*(H28/0.75)/3</f>
        <v/>
      </c>
      <c r="X28" s="6" t="n">
        <v>1500</v>
      </c>
      <c r="Y28">
        <f>IFERROR(W28-X28,"")</f>
        <v/>
      </c>
      <c r="Z28">
        <f>IFERROR(ABS(Y28)/MAX(X28,1),"")</f>
        <v/>
      </c>
      <c r="AA28">
        <f>IFERROR(ROUND(((3*X28-(((E28/700000)+(F28/65)+(S28/2000))*2000/4+((E28/700000)*(F28/65))*2000/2)*(H28/0.75))/(2000/4+((S28/2000))*2000/2+((E28/700000)*(F28/65)*(S28/2000))*2000)*(H28/0.75)*6500)/J28,-1),"")</f>
        <v/>
      </c>
    </row>
    <row r="29">
      <c r="B29" s="7" t="inlineStr">
        <is>
          <t xml:space="preserve">  ↳ GoremawClaw</t>
        </is>
      </c>
      <c r="C29" s="7" t="inlineStr">
        <is>
          <t>Armament</t>
        </is>
      </c>
      <c r="L29" s="6" t="n">
        <v>30000</v>
      </c>
      <c r="M29" s="6" t="n">
        <v>30</v>
      </c>
      <c r="N29" s="6" t="n">
        <v>1</v>
      </c>
      <c r="O29" s="6" t="n"/>
      <c r="P29" s="6" t="n">
        <v>1250</v>
      </c>
      <c r="Q29" s="6" t="n">
        <v>1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^Warhead_Melee_Medium</t>
        </is>
      </c>
    </row>
    <row r="30">
      <c r="A30" t="inlineStr">
        <is>
          <t>starcraft</t>
        </is>
      </c>
      <c r="B30" t="inlineStr">
        <is>
          <t>zerg_hatcherydrone</t>
        </is>
      </c>
      <c r="C30" t="inlineStr">
        <is>
          <t>Zerg Hatchery Drone</t>
        </is>
      </c>
      <c r="D30" s="6" t="inlineStr">
        <is>
          <t>SupportVehicle</t>
        </is>
      </c>
      <c r="E30" s="6" t="n">
        <v>300000</v>
      </c>
      <c r="F30" s="6" t="n">
        <v>75</v>
      </c>
      <c r="G30" t="inlineStr">
        <is>
          <t>Medium</t>
        </is>
      </c>
      <c r="H30" s="6" t="n">
        <v>1</v>
      </c>
      <c r="I30" s="6" t="n">
        <v>1</v>
      </c>
      <c r="J30" s="6" t="n">
        <v>1</v>
      </c>
      <c r="K30" s="6" t="n"/>
      <c r="X30" s="6" t="n">
        <v>5000</v>
      </c>
    </row>
    <row r="31">
      <c r="A31" t="inlineStr">
        <is>
          <t>starcraft</t>
        </is>
      </c>
      <c r="B31" t="inlineStr">
        <is>
          <t>zerg_hermit</t>
        </is>
      </c>
      <c r="C31" t="inlineStr">
        <is>
          <t>Hermit</t>
        </is>
      </c>
      <c r="D31" s="6" t="inlineStr">
        <is>
          <t>EpicVehicle</t>
        </is>
      </c>
      <c r="E31" s="6" t="n">
        <v>375000</v>
      </c>
      <c r="F31" s="6" t="n">
        <v>50</v>
      </c>
      <c r="G31" t="inlineStr">
        <is>
          <t>Superheavy</t>
        </is>
      </c>
      <c r="H31" s="6" t="n">
        <v>0.75</v>
      </c>
      <c r="I31" s="6" t="n">
        <v>0.4</v>
      </c>
      <c r="J31" s="6" t="n">
        <v>1</v>
      </c>
      <c r="K31" s="6" t="n">
        <v>0.004</v>
      </c>
      <c r="P31">
        <f>MAX(P32)</f>
        <v/>
      </c>
      <c r="S31">
        <f>S32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(((E31/4000000)+(F31/60)+(S31/20000)+((P31/8500)*J31))*10000/4+(((E31/4000000)*(F31/60))+(((P31/8500)*J31)*(S31/20000)))*10000/2+((E31/4000000)*(F31/60)*((P31/8500)*J31)*(S31/20000))*10000)*(H31/0.75)/3</f>
        <v/>
      </c>
      <c r="X31" s="6" t="n">
        <v>6000</v>
      </c>
      <c r="Y31">
        <f>IFERROR(W31-X31,"")</f>
        <v/>
      </c>
      <c r="Z31">
        <f>IFERROR(ABS(Y31)/MAX(X31,1),"")</f>
        <v/>
      </c>
      <c r="AA31">
        <f>IFERROR(ROUND(((3*X31-(((E31/4000000)+(F31/60)+(S31/20000))*10000/4+((E31/4000000)*(F31/60))*10000/2)*(H31/0.75))/(10000/4+((S31/20000))*10000/2+((E31/4000000)*(F31/60)*(S31/20000))*10000)*(H31/0.75)*8500)/J31,-1),"")</f>
        <v/>
      </c>
    </row>
    <row r="32">
      <c r="B32" s="7" t="inlineStr">
        <is>
          <t xml:space="preserve">  ↳ HermitShoot</t>
        </is>
      </c>
      <c r="C32" s="7" t="inlineStr">
        <is>
          <t>Armament</t>
        </is>
      </c>
      <c r="L32" s="6" t="n">
        <v>12000</v>
      </c>
      <c r="M32" s="6" t="n">
        <v>30</v>
      </c>
      <c r="N32" s="6" t="n">
        <v>5</v>
      </c>
      <c r="O32" s="6" t="n">
        <v>0</v>
      </c>
      <c r="P32" s="6" t="n">
        <v>7120</v>
      </c>
      <c r="Q32" s="6" t="n">
        <v>1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^Grenade, ^ShrapnelWeapon, ^HeavyBomb, ^MediumMissile, ^Chaingun, ^FlakWeapon</t>
        </is>
      </c>
    </row>
    <row r="33">
      <c r="A33" t="inlineStr">
        <is>
          <t>starcraft</t>
        </is>
      </c>
      <c r="B33" t="inlineStr">
        <is>
          <t>zerg_lurker</t>
        </is>
      </c>
      <c r="C33" t="inlineStr">
        <is>
          <t>Lurker</t>
        </is>
      </c>
      <c r="D33" s="6" t="inlineStr">
        <is>
          <t>FireSupport</t>
        </is>
      </c>
      <c r="E33" s="6" t="n">
        <v>125000</v>
      </c>
      <c r="F33" s="6" t="n">
        <v>90</v>
      </c>
      <c r="G33" t="inlineStr">
        <is>
          <t>Light</t>
        </is>
      </c>
      <c r="H33" s="6" t="n">
        <v>1</v>
      </c>
      <c r="I33" s="6" t="n">
        <v>1</v>
      </c>
      <c r="J33" s="6" t="n">
        <v>1.25</v>
      </c>
      <c r="K33" s="6" t="n"/>
      <c r="X33" s="6" t="n">
        <v>1300</v>
      </c>
    </row>
    <row r="34">
      <c r="B34" s="7" t="inlineStr">
        <is>
          <t xml:space="preserve">  ↳ LurkerTargeting</t>
        </is>
      </c>
      <c r="C34" s="7" t="inlineStr">
        <is>
          <t>Armament@Dummy</t>
        </is>
      </c>
      <c r="L34" s="6" t="n"/>
      <c r="M34" s="6" t="n">
        <v>33</v>
      </c>
      <c r="N34" s="6" t="n">
        <v>1</v>
      </c>
      <c r="O34" s="6" t="n"/>
      <c r="P34" s="6" t="n">
        <v>6666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/>
    </row>
    <row r="35">
      <c r="B35" s="7" t="inlineStr">
        <is>
          <t xml:space="preserve">  ↳ LurkerSpines</t>
        </is>
      </c>
      <c r="C35" s="7" t="inlineStr">
        <is>
          <t>Armament@Deployed</t>
        </is>
      </c>
      <c r="L35" s="6" t="n"/>
      <c r="M35" s="6" t="n">
        <v>66</v>
      </c>
      <c r="N35" s="6" t="n">
        <v>1</v>
      </c>
      <c r="O35" s="6" t="n"/>
      <c r="P35" s="6" t="n">
        <v>6666</v>
      </c>
      <c r="Q35" s="6" t="n">
        <v>1</v>
      </c>
      <c r="R35">
        <f>M35+IF(N35&gt;1,N(O35)*(N35-1),0)</f>
        <v/>
      </c>
      <c r="S35">
        <f>IFERROR(L35*MAX(N35,1)/R35*IF(ISBLANK(K33),1,K33),0)</f>
        <v/>
      </c>
      <c r="AB35" s="7" t="inlineStr"/>
    </row>
    <row r="36">
      <c r="A36" t="inlineStr">
        <is>
          <t>starcraft</t>
        </is>
      </c>
      <c r="B36" t="inlineStr">
        <is>
          <t>zerg_sporemaw</t>
        </is>
      </c>
      <c r="C36" t="inlineStr">
        <is>
          <t>Sporemaw</t>
        </is>
      </c>
      <c r="D36" s="6" t="inlineStr">
        <is>
          <t>FireSupport</t>
        </is>
      </c>
      <c r="E36" s="6" t="n">
        <v>25000</v>
      </c>
      <c r="F36" s="6" t="n">
        <v>80</v>
      </c>
      <c r="G36" t="inlineStr">
        <is>
          <t>Light</t>
        </is>
      </c>
      <c r="H36" s="6" t="n">
        <v>1</v>
      </c>
      <c r="I36" s="6" t="n">
        <v>1</v>
      </c>
      <c r="J36" s="6" t="n">
        <v>1</v>
      </c>
      <c r="K36" s="6" t="n"/>
      <c r="P36">
        <f>MAX(P37)</f>
        <v/>
      </c>
      <c r="S36">
        <f>S37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(((E36/120000)+(F36/90)+(S36/2100)+((P36/10000)*J36))*1400/4+(((E36/120000)*(F36/90))+(((P36/10000)*J36)*(S36/2100)))*1400/2+((E36/120000)*(F36/90)*((P36/10000)*J36)*(S36/2100))*1400)*(H36/0.6735)/3</f>
        <v/>
      </c>
      <c r="X36" s="6" t="n">
        <v>1000</v>
      </c>
      <c r="Y36">
        <f>IFERROR(W36-X36,"")</f>
        <v/>
      </c>
      <c r="Z36">
        <f>IFERROR(ABS(Y36)/MAX(X36,1),"")</f>
        <v/>
      </c>
      <c r="AA36">
        <f>IFERROR(ROUND(((3*X36-(((E36/120000)+(F36/90)+(S36/2100))*1400/4+((E36/120000)*(F36/90))*1400/2)*(H36/0.6735))/(1400/4+((S36/2100))*1400/2+((E36/120000)*(F36/90)*(S36/2100))*1400)*(H36/0.6735)*10000)/J36,-1),"")</f>
        <v/>
      </c>
    </row>
    <row r="37">
      <c r="B37" s="7" t="inlineStr">
        <is>
          <t xml:space="preserve">  ↳ SporemawShoot</t>
        </is>
      </c>
      <c r="C37" s="7" t="inlineStr">
        <is>
          <t>Armament@PRIMARY</t>
        </is>
      </c>
      <c r="L37" s="6" t="n">
        <v>18000</v>
      </c>
      <c r="M37" s="6" t="n">
        <v>40</v>
      </c>
      <c r="N37" s="6" t="n">
        <v>1</v>
      </c>
      <c r="O37" s="6" t="n"/>
      <c r="P37" s="6" t="n">
        <v>7740</v>
      </c>
      <c r="Q37" s="6" t="n">
        <v>1</v>
      </c>
      <c r="R37">
        <f>M37+IF(N37&gt;1,N(O37)*(N37-1),0)</f>
        <v/>
      </c>
      <c r="S37">
        <f>IFERROR(L37*MAX(N37,1)/R37*IF(ISBLANK(K36),1,K36),0)</f>
        <v/>
      </c>
      <c r="AB37" s="7" t="inlineStr">
        <is>
          <t>^TankDestroyerCannon, ^MediumCannon, ^HeavyCannon, ^Grenade, ^ShrapnelWeapon, ^HeavyBomb, ^MediumMissile, ^Chaingun, ^FlakWeapon</t>
        </is>
      </c>
    </row>
    <row r="38">
      <c r="B38" s="7" t="inlineStr">
        <is>
          <t xml:space="preserve">  ↳ SporemawShoot</t>
        </is>
      </c>
      <c r="C38" s="7" t="inlineStr">
        <is>
          <t>Armament@GARRISONED</t>
        </is>
      </c>
      <c r="L38" s="6" t="n">
        <v>18000</v>
      </c>
      <c r="M38" s="6" t="n">
        <v>40</v>
      </c>
      <c r="N38" s="6" t="n">
        <v>1</v>
      </c>
      <c r="O38" s="6" t="n"/>
      <c r="P38" s="6" t="n">
        <v>7740</v>
      </c>
      <c r="Q38" s="6" t="n">
        <v>1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^TankDestroyerCannon, ^MediumCannon, ^HeavyCannon, ^Grenade, ^ShrapnelWeapon, ^HeavyBomb, ^MediumMissile, ^Chaingun, ^FlakWeapon</t>
        </is>
      </c>
    </row>
    <row r="39">
      <c r="A39" s="4" t="inlineStr">
        <is>
          <t>AIRCRAFT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t="inlineStr">
        <is>
          <t>starcraft</t>
        </is>
      </c>
      <c r="B40" t="inlineStr">
        <is>
          <t>zerg_behemoth</t>
        </is>
      </c>
      <c r="C40" t="inlineStr">
        <is>
          <t>Behemoth</t>
        </is>
      </c>
      <c r="D40" s="6" t="inlineStr">
        <is>
          <t>Spaceship</t>
        </is>
      </c>
      <c r="E40" s="6" t="n">
        <v>600000</v>
      </c>
      <c r="F40" s="6" t="n">
        <v>30</v>
      </c>
      <c r="G40" t="inlineStr">
        <is>
          <t>Spaceship</t>
        </is>
      </c>
      <c r="H40" s="6" t="n">
        <v>0.75</v>
      </c>
      <c r="I40" s="6" t="n">
        <v>1</v>
      </c>
      <c r="J40" s="6" t="n">
        <v>1.25</v>
      </c>
      <c r="K40" s="6" t="n"/>
      <c r="P40">
        <f>MAX(P41)</f>
        <v/>
      </c>
      <c r="S40">
        <f>S41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(T40+U40+V40)/3</f>
        <v/>
      </c>
      <c r="X40" s="6" t="n">
        <v>7200</v>
      </c>
      <c r="Y40">
        <f>IFERROR(W40-X40,"")</f>
        <v/>
      </c>
      <c r="Z40">
        <f>IFERROR(ABS(Y40)/MAX(X40,1),"")</f>
        <v/>
      </c>
      <c r="AA40">
        <f>IFERROR((X40-(((E40/100000+F40/100+S40/200)*200*I40*H40)+((E40*F40/25000)*I40*H40))/3)/(((J40/5)*200*I40*H40)+((J40*S40/2.5)*I40*H40)+((E40*F40*J40*S40*I40*H40)/12500000))/3*1000,"")</f>
        <v/>
      </c>
    </row>
    <row r="41">
      <c r="B41" s="7" t="inlineStr">
        <is>
          <t xml:space="preserve">  ↳ BehemothShoot</t>
        </is>
      </c>
      <c r="C41" s="7" t="inlineStr">
        <is>
          <t>Armament</t>
        </is>
      </c>
      <c r="L41" s="6" t="n">
        <v>12000</v>
      </c>
      <c r="M41" s="6" t="n">
        <v>60</v>
      </c>
      <c r="N41" s="6" t="n">
        <v>1</v>
      </c>
      <c r="O41" s="6" t="n"/>
      <c r="P41" s="6" t="n">
        <v>5230</v>
      </c>
      <c r="Q41" s="6" t="n">
        <v>1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^LightFlameWeapon, ^MediumChemicalWeapon, ^HeavyMissile, ^Grenade, ^ShrapnelWeapon, ^HeavyBomb</t>
        </is>
      </c>
    </row>
    <row r="42">
      <c r="A42" t="inlineStr">
        <is>
          <t>starcraft</t>
        </is>
      </c>
      <c r="B42" t="inlineStr">
        <is>
          <t>zerg_broodweaver</t>
        </is>
      </c>
      <c r="C42" t="inlineStr">
        <is>
          <t>Broodweaver</t>
        </is>
      </c>
      <c r="D42" s="6" t="inlineStr">
        <is>
          <t>UnarmedTransportHelicopter</t>
        </is>
      </c>
      <c r="E42" s="6" t="n">
        <v>50000</v>
      </c>
      <c r="F42" s="6" t="n">
        <v>45</v>
      </c>
      <c r="G42" t="inlineStr">
        <is>
          <t>Helicopter</t>
        </is>
      </c>
      <c r="H42" s="6" t="n">
        <v>1</v>
      </c>
      <c r="I42" s="6" t="n">
        <v>1</v>
      </c>
      <c r="J42" s="6" t="n">
        <v>2</v>
      </c>
      <c r="K42" s="6" t="n"/>
      <c r="P42">
        <f>MAX(P43)</f>
        <v/>
      </c>
      <c r="S42">
        <f>S43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(T42+U42+V42)/3</f>
        <v/>
      </c>
      <c r="X42" s="6" t="n">
        <v>2000</v>
      </c>
      <c r="Y42">
        <f>IFERROR(W42-X42,"")</f>
        <v/>
      </c>
      <c r="Z42">
        <f>IFERROR(ABS(Y42)/MAX(X42,1),"")</f>
        <v/>
      </c>
      <c r="AA42">
        <f>IFERROR((X42-(((E42/100000+F42/100+S42/200)*200*I42*H42)+((E42*F42/25000)*I42*H42))/3)/(((J42/5)*200*I42*H42)+((J42*S42/2.5)*I42*H42)+((E42*F42*J42*S42*I42*H42)/12500000))/3*1000,"")</f>
        <v/>
      </c>
    </row>
    <row r="43">
      <c r="B43" s="7" t="inlineStr">
        <is>
          <t xml:space="preserve">  ↳ BroodweaverLeech</t>
        </is>
      </c>
      <c r="C43" s="7" t="inlineStr">
        <is>
          <t>Armament</t>
        </is>
      </c>
      <c r="L43" s="6" t="n">
        <v>-3000</v>
      </c>
      <c r="M43" s="6" t="n">
        <v>60</v>
      </c>
      <c r="N43" s="6" t="n">
        <v>10</v>
      </c>
      <c r="O43" s="6" t="n">
        <v>1</v>
      </c>
      <c r="P43" s="6" t="n">
        <v>4500</v>
      </c>
      <c r="Q43" s="6" t="n">
        <v>1</v>
      </c>
      <c r="R43">
        <f>M43+IF(N43&gt;1,N(O43)*(N43-1),0)</f>
        <v/>
      </c>
      <c r="S43">
        <f>IFERROR(L43*MAX(N43,1)/R43*IF(ISBLANK(K42),1,K42),0)</f>
        <v/>
      </c>
      <c r="AB43" s="7" t="inlineStr">
        <is>
          <t>^HealingWeapon</t>
        </is>
      </c>
    </row>
    <row r="44">
      <c r="A44" t="inlineStr">
        <is>
          <t>starcraft</t>
        </is>
      </c>
      <c r="B44" t="inlineStr">
        <is>
          <t>zerg_corruptor</t>
        </is>
      </c>
      <c r="C44" t="inlineStr">
        <is>
          <t>Corruptor</t>
        </is>
      </c>
      <c r="D44" s="6" t="inlineStr">
        <is>
          <t>Helicopter</t>
        </is>
      </c>
      <c r="E44" s="6" t="n">
        <v>100000</v>
      </c>
      <c r="F44" s="6" t="n">
        <v>100</v>
      </c>
      <c r="G44" t="inlineStr">
        <is>
          <t>Helicopter</t>
        </is>
      </c>
      <c r="H44" s="6" t="n">
        <v>1</v>
      </c>
      <c r="I44" s="6" t="n">
        <v>1</v>
      </c>
      <c r="J44" s="6" t="n">
        <v>2</v>
      </c>
      <c r="K44" s="6" t="n"/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1500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CorruptorSpore</t>
        </is>
      </c>
      <c r="C45" s="7" t="inlineStr">
        <is>
          <t>Armament</t>
        </is>
      </c>
      <c r="L45" s="6" t="n">
        <v>10000</v>
      </c>
      <c r="M45" s="6" t="n">
        <v>50</v>
      </c>
      <c r="N45" s="6" t="n">
        <v>1</v>
      </c>
      <c r="O45" s="6" t="n"/>
      <c r="P45" s="6" t="n">
        <v>6250</v>
      </c>
      <c r="Q45" s="6" t="n">
        <v>1</v>
      </c>
      <c r="R45">
        <f>M45+IF(N45&gt;1,N(O45)*(N45-1),0)</f>
        <v/>
      </c>
      <c r="S45">
        <f>IFERROR(L45*MAX(N45,1)/R45*IF(ISBLANK(K44),1,K44),0)</f>
        <v/>
      </c>
      <c r="AB45" s="7" t="inlineStr">
        <is>
          <t>^Warhead_Chemical_Medium</t>
        </is>
      </c>
    </row>
    <row r="46">
      <c r="A46" t="inlineStr">
        <is>
          <t>starcraft</t>
        </is>
      </c>
      <c r="B46" t="inlineStr">
        <is>
          <t>zerg_devourer</t>
        </is>
      </c>
      <c r="C46" t="inlineStr">
        <is>
          <t>Devourer</t>
        </is>
      </c>
      <c r="D46" s="6" t="inlineStr">
        <is>
          <t>Helicopter</t>
        </is>
      </c>
      <c r="E46" s="6" t="n">
        <v>250000</v>
      </c>
      <c r="F46" s="6" t="n">
        <v>90</v>
      </c>
      <c r="G46" t="inlineStr">
        <is>
          <t>Helicopter</t>
        </is>
      </c>
      <c r="H46" s="6" t="n">
        <v>1</v>
      </c>
      <c r="I46" s="6" t="n">
        <v>1</v>
      </c>
      <c r="J46" s="6" t="n">
        <v>2</v>
      </c>
      <c r="K46" s="6" t="n"/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2000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SCDevourerAA</t>
        </is>
      </c>
      <c r="C47" s="7" t="inlineStr">
        <is>
          <t>Armament</t>
        </is>
      </c>
      <c r="L47" s="6" t="n">
        <v>44000</v>
      </c>
      <c r="M47" s="6" t="n">
        <v>100</v>
      </c>
      <c r="N47" s="6" t="n">
        <v>1</v>
      </c>
      <c r="O47" s="6" t="n"/>
      <c r="P47" s="6" t="n">
        <v>4444</v>
      </c>
      <c r="Q47" s="6" t="n">
        <v>1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TractorGLAnthraxPurple, MutaliskSpore</t>
        </is>
      </c>
    </row>
    <row r="48">
      <c r="A48" t="inlineStr">
        <is>
          <t>starcraft</t>
        </is>
      </c>
      <c r="B48" t="inlineStr">
        <is>
          <t>zerg_dreadshroud</t>
        </is>
      </c>
      <c r="C48" t="inlineStr">
        <is>
          <t>Dreadshroud</t>
        </is>
      </c>
      <c r="D48" s="6" t="inlineStr">
        <is>
          <t>Helicopter</t>
        </is>
      </c>
      <c r="E48" s="6" t="n">
        <v>60000</v>
      </c>
      <c r="F48" s="6" t="n">
        <v>120</v>
      </c>
      <c r="G48" t="inlineStr">
        <is>
          <t>Helicopter</t>
        </is>
      </c>
      <c r="H48" s="6" t="n">
        <v>1</v>
      </c>
      <c r="I48" s="6" t="n">
        <v>1</v>
      </c>
      <c r="J48" s="6" t="n">
        <v>2</v>
      </c>
      <c r="K48" s="6" t="n"/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1200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DreadshroudSpore</t>
        </is>
      </c>
      <c r="C49" s="7" t="inlineStr">
        <is>
          <t>Armament</t>
        </is>
      </c>
      <c r="L49" s="6" t="n">
        <v>11000</v>
      </c>
      <c r="M49" s="6" t="n">
        <v>60</v>
      </c>
      <c r="N49" s="6" t="n">
        <v>1</v>
      </c>
      <c r="O49" s="6" t="n"/>
      <c r="P49" s="6" t="n">
        <v>5850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^LightFlameWeapon, ^MediumMissile, ^ShrapnelWeapon, ^FlakWeapon, ^MediumChemicalWeapon, ^LaserWeapon</t>
        </is>
      </c>
    </row>
    <row r="50">
      <c r="A50" t="inlineStr">
        <is>
          <t>starcraft</t>
        </is>
      </c>
      <c r="B50" t="inlineStr">
        <is>
          <t>zerg_gorekraken</t>
        </is>
      </c>
      <c r="C50" t="inlineStr">
        <is>
          <t>Gorekraken</t>
        </is>
      </c>
      <c r="D50" s="6" t="inlineStr">
        <is>
          <t>Helicopter</t>
        </is>
      </c>
      <c r="E50" s="6" t="n">
        <v>350000</v>
      </c>
      <c r="F50" s="6" t="n">
        <v>70</v>
      </c>
      <c r="G50" t="inlineStr">
        <is>
          <t>Helicopter</t>
        </is>
      </c>
      <c r="H50" s="6" t="n">
        <v>1</v>
      </c>
      <c r="I50" s="6" t="n">
        <v>1</v>
      </c>
      <c r="J50" s="6" t="n">
        <v>1</v>
      </c>
      <c r="K50" s="6" t="n"/>
      <c r="P50">
        <f>MAX(P51)</f>
        <v/>
      </c>
      <c r="S50">
        <f>S51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2000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GorekrakenClaw</t>
        </is>
      </c>
      <c r="C51" s="7" t="inlineStr">
        <is>
          <t>Armament</t>
        </is>
      </c>
      <c r="L51" s="6" t="n">
        <v>14000</v>
      </c>
      <c r="M51" s="6" t="n">
        <v>15</v>
      </c>
      <c r="N51" s="6" t="n">
        <v>1</v>
      </c>
      <c r="O51" s="6" t="n"/>
      <c r="P51" s="6" t="n">
        <v>1448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^Warhead_Melee_Medium</t>
        </is>
      </c>
    </row>
    <row r="52">
      <c r="A52" t="inlineStr">
        <is>
          <t>starcraft</t>
        </is>
      </c>
      <c r="B52" t="inlineStr">
        <is>
          <t>zerg_guardian</t>
        </is>
      </c>
      <c r="C52" t="inlineStr">
        <is>
          <t>Guardian</t>
        </is>
      </c>
      <c r="D52" s="6" t="inlineStr">
        <is>
          <t>Helicopter</t>
        </is>
      </c>
      <c r="E52" s="6" t="n">
        <v>150000</v>
      </c>
      <c r="F52" s="6" t="n">
        <v>50</v>
      </c>
      <c r="G52" t="inlineStr">
        <is>
          <t>Helicopter</t>
        </is>
      </c>
      <c r="H52" s="6" t="n">
        <v>1</v>
      </c>
      <c r="I52" s="6" t="n">
        <v>1</v>
      </c>
      <c r="J52" s="6" t="n">
        <v>1.25</v>
      </c>
      <c r="K52" s="6" t="n"/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2200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GuardianShoot</t>
        </is>
      </c>
      <c r="C53" s="7" t="inlineStr">
        <is>
          <t>Armament</t>
        </is>
      </c>
      <c r="L53" s="6" t="n">
        <v>24000</v>
      </c>
      <c r="M53" s="6" t="n">
        <v>60</v>
      </c>
      <c r="N53" s="6" t="n">
        <v>1</v>
      </c>
      <c r="O53" s="6" t="n"/>
      <c r="P53" s="6" t="n">
        <v>10000</v>
      </c>
      <c r="Q53" s="6" t="n">
        <v>1</v>
      </c>
      <c r="R53">
        <f>M53+IF(N53&gt;1,N(O53)*(N53-1),0)</f>
        <v/>
      </c>
      <c r="S53">
        <f>IFERROR(L53*MAX(N53,1)/R53*IF(ISBLANK(K52),1,K52),0)</f>
        <v/>
      </c>
      <c r="AB53" s="7" t="inlineStr">
        <is>
          <t>^Grenade, ^ShrapnelWeapon, ^HeavyBomb</t>
        </is>
      </c>
    </row>
    <row r="54">
      <c r="A54" t="inlineStr">
        <is>
          <t>starcraft</t>
        </is>
      </c>
      <c r="B54" t="inlineStr">
        <is>
          <t>zerg_mutalisk</t>
        </is>
      </c>
      <c r="C54" t="inlineStr">
        <is>
          <t>Mutalisk</t>
        </is>
      </c>
      <c r="D54" s="6" t="inlineStr">
        <is>
          <t>Helicopter</t>
        </is>
      </c>
      <c r="E54" s="6" t="n">
        <v>40000</v>
      </c>
      <c r="F54" s="6" t="n">
        <v>160</v>
      </c>
      <c r="G54" t="inlineStr">
        <is>
          <t>Helicopter</t>
        </is>
      </c>
      <c r="H54" s="6" t="n">
        <v>1</v>
      </c>
      <c r="I54" s="6" t="n">
        <v>1</v>
      </c>
      <c r="J54" s="6" t="n">
        <v>1.25</v>
      </c>
      <c r="K54" s="6" t="n">
        <v>0.0025</v>
      </c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1000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MutaliskSpore</t>
        </is>
      </c>
      <c r="C55" s="7" t="inlineStr">
        <is>
          <t>Armament</t>
        </is>
      </c>
      <c r="L55" s="6" t="n">
        <v>32000</v>
      </c>
      <c r="M55" s="6" t="n">
        <v>20</v>
      </c>
      <c r="N55" s="6" t="n">
        <v>1</v>
      </c>
      <c r="O55" s="6" t="n"/>
      <c r="P55" s="6" t="n">
        <v>4444</v>
      </c>
      <c r="Q55" s="6" t="n">
        <v>1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^SwordWeapon, ^MediumChemicalWeapon, ^SmallArms, ^ArrowWeapon</t>
        </is>
      </c>
    </row>
    <row r="56">
      <c r="A56" t="inlineStr">
        <is>
          <t>starcraft</t>
        </is>
      </c>
      <c r="B56" t="inlineStr">
        <is>
          <t>zerg_overlord</t>
        </is>
      </c>
      <c r="C56" t="inlineStr">
        <is>
          <t>Zerg Overlord</t>
        </is>
      </c>
      <c r="D56" s="6" t="inlineStr">
        <is>
          <t>Helicopter</t>
        </is>
      </c>
      <c r="E56" s="6" t="n">
        <v>25000</v>
      </c>
      <c r="F56" s="6" t="n">
        <v>30</v>
      </c>
      <c r="G56" t="inlineStr">
        <is>
          <t>Helicopter</t>
        </is>
      </c>
      <c r="H56" s="6" t="n">
        <v>1</v>
      </c>
      <c r="I56" s="6" t="n">
        <v>1</v>
      </c>
      <c r="J56" s="6" t="n">
        <v>1</v>
      </c>
      <c r="K56" s="6" t="n"/>
      <c r="X56" s="6" t="n">
        <v>500</v>
      </c>
    </row>
    <row r="57">
      <c r="A57" t="inlineStr">
        <is>
          <t>starcraft</t>
        </is>
      </c>
      <c r="B57" t="inlineStr">
        <is>
          <t>zerg_queen</t>
        </is>
      </c>
      <c r="C57" t="inlineStr">
        <is>
          <t>Queen</t>
        </is>
      </c>
      <c r="D57" s="6" t="inlineStr">
        <is>
          <t>Helicopter</t>
        </is>
      </c>
      <c r="E57" s="6" t="n">
        <v>125000</v>
      </c>
      <c r="F57" s="6" t="n">
        <v>100</v>
      </c>
      <c r="G57" t="inlineStr">
        <is>
          <t>Helicopter</t>
        </is>
      </c>
      <c r="H57" s="6" t="n">
        <v>1</v>
      </c>
      <c r="I57" s="6" t="n">
        <v>1</v>
      </c>
      <c r="J57" s="6" t="n">
        <v>1.25</v>
      </c>
      <c r="K57" s="6" t="n"/>
      <c r="P57">
        <f>MAX(P58)</f>
        <v/>
      </c>
      <c r="S57">
        <f>S58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1200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QueenSpine</t>
        </is>
      </c>
      <c r="C58" s="7" t="inlineStr">
        <is>
          <t>Armament@Spines</t>
        </is>
      </c>
      <c r="L58" s="6" t="n">
        <v>20000</v>
      </c>
      <c r="M58" s="6" t="n">
        <v>78</v>
      </c>
      <c r="N58" s="6" t="n">
        <v>1</v>
      </c>
      <c r="O58" s="6" t="n"/>
      <c r="P58" s="6" t="n">
        <v>5480</v>
      </c>
      <c r="Q58" s="6" t="n">
        <v>1</v>
      </c>
      <c r="R58">
        <f>M58+IF(N58&gt;1,N(O58)*(N58-1),0)</f>
        <v/>
      </c>
      <c r="S58">
        <f>IFERROR(L58*MAX(N58,1)/R58*IF(ISBLANK(K57),1,K57),0)</f>
        <v/>
      </c>
      <c r="AB58" s="7" t="inlineStr">
        <is>
          <t>^MediumChemicalWeapon, ^ArrowWeapon</t>
        </is>
      </c>
    </row>
    <row r="59">
      <c r="A59" t="inlineStr">
        <is>
          <t>starcraft</t>
        </is>
      </c>
      <c r="B59" t="inlineStr">
        <is>
          <t>zerg_scourge</t>
        </is>
      </c>
      <c r="C59" t="inlineStr">
        <is>
          <t>Scourge</t>
        </is>
      </c>
      <c r="D59" s="6" t="inlineStr">
        <is>
          <t>Fighter</t>
        </is>
      </c>
      <c r="E59" s="6" t="n">
        <v>25000</v>
      </c>
      <c r="F59" s="6" t="n">
        <v>200</v>
      </c>
      <c r="G59" t="inlineStr">
        <is>
          <t>Fighter</t>
        </is>
      </c>
      <c r="H59" s="6" t="n">
        <v>1</v>
      </c>
      <c r="I59" s="6" t="n">
        <v>1</v>
      </c>
      <c r="J59" s="6" t="n">
        <v>1</v>
      </c>
      <c r="K59" s="6" t="n"/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700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ScourgeExplosion</t>
        </is>
      </c>
      <c r="C60" s="7" t="inlineStr">
        <is>
          <t>Armament@PRIMARY</t>
        </is>
      </c>
      <c r="L60" s="6" t="n">
        <v>100000</v>
      </c>
      <c r="M60" s="6" t="n">
        <v>25</v>
      </c>
      <c r="N60" s="6" t="n">
        <v>1</v>
      </c>
      <c r="O60" s="6" t="n"/>
      <c r="P60" s="6" t="n">
        <v>2000</v>
      </c>
      <c r="Q60" s="6" t="n">
        <v>1.125</v>
      </c>
      <c r="R60">
        <f>M60+IF(N60&gt;1,N(O60)*(N60-1),0)</f>
        <v/>
      </c>
      <c r="S60">
        <f>IFERROR(L60*MAX(N60,1)/R60*IF(ISBLANK(K59),1,K59),0)</f>
        <v/>
      </c>
      <c r="AB60" s="7" t="inlineStr">
        <is>
          <t>^Warhead_Demolition_Heavy, ^Warhead_Concussion_Medium</t>
        </is>
      </c>
    </row>
    <row r="61">
      <c r="A61" s="4" t="inlineStr">
        <is>
          <t>DEFENSES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t="inlineStr">
        <is>
          <t>starcraft</t>
        </is>
      </c>
      <c r="B62" t="inlineStr">
        <is>
          <t>zerg_creepcolony</t>
        </is>
      </c>
      <c r="C62" t="inlineStr">
        <is>
          <t>Creep Colony</t>
        </is>
      </c>
      <c r="D62" s="6" t="inlineStr">
        <is>
          <t>BasicDefense</t>
        </is>
      </c>
      <c r="E62" s="6" t="n">
        <v>80000</v>
      </c>
      <c r="F62" s="6" t="n">
        <v>100</v>
      </c>
      <c r="G62" t="inlineStr">
        <is>
          <t>Wood</t>
        </is>
      </c>
      <c r="H62" s="6" t="n">
        <v>1</v>
      </c>
      <c r="I62" s="6" t="n">
        <v>1</v>
      </c>
      <c r="J62" s="6" t="n">
        <v>1</v>
      </c>
      <c r="K62" s="6" t="n"/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1000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Tentacle</t>
        </is>
      </c>
      <c r="C63" s="7" t="inlineStr">
        <is>
          <t>Armament@sunken</t>
        </is>
      </c>
      <c r="L63" s="6" t="n">
        <v>24000</v>
      </c>
      <c r="M63" s="6" t="n">
        <v>32</v>
      </c>
      <c r="N63" s="6" t="n">
        <v>1</v>
      </c>
      <c r="O63" s="6" t="n"/>
      <c r="P63" s="6" t="n">
        <v>7680</v>
      </c>
      <c r="Q63" s="6" t="n">
        <v>1.25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^Warhead_CannonHE_Heavy</t>
        </is>
      </c>
    </row>
    <row r="64">
      <c r="B64" s="7" t="inlineStr">
        <is>
          <t xml:space="preserve">  ↳ Spore_AA</t>
        </is>
      </c>
      <c r="C64" s="7" t="inlineStr">
        <is>
          <t>Armament@spore</t>
        </is>
      </c>
      <c r="L64" s="6" t="n">
        <v>36000</v>
      </c>
      <c r="M64" s="6" t="n">
        <v>34</v>
      </c>
      <c r="N64" s="6" t="n">
        <v>1</v>
      </c>
      <c r="O64" s="6" t="n"/>
      <c r="P64" s="6" t="n">
        <v>10160</v>
      </c>
      <c r="Q64" s="6" t="n">
        <v>1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^MediumMissile, ^Chaingun, ^FlakWeapon</t>
        </is>
      </c>
    </row>
    <row r="65">
      <c r="A65" t="inlineStr">
        <is>
          <t>starcraft</t>
        </is>
      </c>
      <c r="B65" t="inlineStr">
        <is>
          <t>zerg_creepcolony_defense</t>
        </is>
      </c>
      <c r="C65" t="inlineStr">
        <is>
          <t>Creep Colony</t>
        </is>
      </c>
      <c r="D65" s="6" t="inlineStr">
        <is>
          <t>BasicDefense</t>
        </is>
      </c>
      <c r="E65" s="6" t="n">
        <v>80000</v>
      </c>
      <c r="F65" s="6" t="n">
        <v>100</v>
      </c>
      <c r="G65" t="inlineStr">
        <is>
          <t>Wood</t>
        </is>
      </c>
      <c r="H65" s="6" t="n">
        <v>1</v>
      </c>
      <c r="I65" s="6" t="n">
        <v>1</v>
      </c>
      <c r="J65" s="6" t="n">
        <v>1</v>
      </c>
      <c r="K65" s="6" t="n"/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1000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Tentacle</t>
        </is>
      </c>
      <c r="C66" s="7" t="inlineStr">
        <is>
          <t>Armament@sunken</t>
        </is>
      </c>
      <c r="L66" s="6" t="n">
        <v>24000</v>
      </c>
      <c r="M66" s="6" t="n">
        <v>32</v>
      </c>
      <c r="N66" s="6" t="n">
        <v>1</v>
      </c>
      <c r="O66" s="6" t="n"/>
      <c r="P66" s="6" t="n">
        <v>7680</v>
      </c>
      <c r="Q66" s="6" t="n">
        <v>1.25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^Warhead_CannonHE_Heavy</t>
        </is>
      </c>
    </row>
    <row r="67">
      <c r="B67" s="7" t="inlineStr">
        <is>
          <t xml:space="preserve">  ↳ Spore_AA</t>
        </is>
      </c>
      <c r="C67" s="7" t="inlineStr">
        <is>
          <t>Armament@spore</t>
        </is>
      </c>
      <c r="L67" s="6" t="n">
        <v>36000</v>
      </c>
      <c r="M67" s="6" t="n">
        <v>34</v>
      </c>
      <c r="N67" s="6" t="n">
        <v>1</v>
      </c>
      <c r="O67" s="6" t="n"/>
      <c r="P67" s="6" t="n">
        <v>10160</v>
      </c>
      <c r="Q67" s="6" t="n">
        <v>1</v>
      </c>
      <c r="R67">
        <f>M67+IF(N67&gt;1,N(O67)*(N67-1),0)</f>
        <v/>
      </c>
      <c r="S67">
        <f>IFERROR(L67*MAX(N67,1)/R67*IF(ISBLANK(K65),1,K65),0)</f>
        <v/>
      </c>
      <c r="AB67" s="7" t="inlineStr">
        <is>
          <t>^MediumMissile, ^Chaingun, ^FlakWeapon</t>
        </is>
      </c>
    </row>
    <row r="68">
      <c r="A68" t="inlineStr">
        <is>
          <t>starcraft</t>
        </is>
      </c>
      <c r="B68" t="inlineStr">
        <is>
          <t>zerg_sporecolony</t>
        </is>
      </c>
      <c r="C68" t="inlineStr">
        <is>
          <t>Spore Colony</t>
        </is>
      </c>
      <c r="D68" s="6" t="inlineStr">
        <is>
          <t>BasicDefense</t>
        </is>
      </c>
      <c r="E68" s="6" t="n">
        <v>80000</v>
      </c>
      <c r="F68" s="6" t="n">
        <v>100</v>
      </c>
      <c r="G68" t="inlineStr">
        <is>
          <t>Wood</t>
        </is>
      </c>
      <c r="H68" s="6" t="n">
        <v>1</v>
      </c>
      <c r="I68" s="6" t="n">
        <v>1</v>
      </c>
      <c r="J68" s="6" t="n">
        <v>1</v>
      </c>
      <c r="K68" s="6" t="n"/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1250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Tentacle</t>
        </is>
      </c>
      <c r="C69" s="7" t="inlineStr">
        <is>
          <t>Armament@sunken</t>
        </is>
      </c>
      <c r="L69" s="6" t="n">
        <v>24000</v>
      </c>
      <c r="M69" s="6" t="n">
        <v>32</v>
      </c>
      <c r="N69" s="6" t="n">
        <v>1</v>
      </c>
      <c r="O69" s="6" t="n"/>
      <c r="P69" s="6" t="n">
        <v>7680</v>
      </c>
      <c r="Q69" s="6" t="n">
        <v>1.25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^Warhead_CannonHE_Heavy</t>
        </is>
      </c>
    </row>
    <row r="70">
      <c r="B70" s="7" t="inlineStr">
        <is>
          <t xml:space="preserve">  ↳ Spore_AA</t>
        </is>
      </c>
      <c r="C70" s="7" t="inlineStr">
        <is>
          <t>Armament@spore</t>
        </is>
      </c>
      <c r="L70" s="6" t="n">
        <v>36000</v>
      </c>
      <c r="M70" s="6" t="n">
        <v>34</v>
      </c>
      <c r="N70" s="6" t="n">
        <v>1</v>
      </c>
      <c r="O70" s="6" t="n"/>
      <c r="P70" s="6" t="n">
        <v>10160</v>
      </c>
      <c r="Q70" s="6" t="n">
        <v>1</v>
      </c>
      <c r="R70">
        <f>M70+IF(N70&gt;1,N(O70)*(N70-1),0)</f>
        <v/>
      </c>
      <c r="S70">
        <f>IFERROR(L70*MAX(N70,1)/R70*IF(ISBLANK(K68),1,K68),0)</f>
        <v/>
      </c>
      <c r="AB70" s="7" t="inlineStr">
        <is>
          <t>^MediumMissile, ^Chaingun, ^FlakWeapon</t>
        </is>
      </c>
    </row>
    <row r="71">
      <c r="A71" t="inlineStr">
        <is>
          <t>starcraft</t>
        </is>
      </c>
      <c r="B71" t="inlineStr">
        <is>
          <t>zerg_sunkencolony_defense</t>
        </is>
      </c>
      <c r="C71" t="inlineStr">
        <is>
          <t>Sunken Colony</t>
        </is>
      </c>
      <c r="D71" s="6" t="inlineStr">
        <is>
          <t>BasicDefense</t>
        </is>
      </c>
      <c r="E71" s="6" t="n">
        <v>80000</v>
      </c>
      <c r="F71" s="6" t="n">
        <v>100</v>
      </c>
      <c r="G71" t="inlineStr">
        <is>
          <t>Wood</t>
        </is>
      </c>
      <c r="H71" s="6" t="n">
        <v>1</v>
      </c>
      <c r="I71" s="6" t="n">
        <v>1</v>
      </c>
      <c r="J71" s="6" t="n">
        <v>1</v>
      </c>
      <c r="K71" s="6" t="n"/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1250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Tentacle</t>
        </is>
      </c>
      <c r="C72" s="7" t="inlineStr">
        <is>
          <t>Armament@sunken</t>
        </is>
      </c>
      <c r="L72" s="6" t="n">
        <v>24000</v>
      </c>
      <c r="M72" s="6" t="n">
        <v>32</v>
      </c>
      <c r="N72" s="6" t="n">
        <v>1</v>
      </c>
      <c r="O72" s="6" t="n"/>
      <c r="P72" s="6" t="n">
        <v>7680</v>
      </c>
      <c r="Q72" s="6" t="n">
        <v>1.25</v>
      </c>
      <c r="R72">
        <f>M72+IF(N72&gt;1,N(O72)*(N72-1),0)</f>
        <v/>
      </c>
      <c r="S72">
        <f>IFERROR(L72*MAX(N72,1)/R72*IF(ISBLANK(K71),1,K71),0)</f>
        <v/>
      </c>
      <c r="AB72" s="7" t="inlineStr">
        <is>
          <t>^Warhead_CannonHE_Heavy</t>
        </is>
      </c>
    </row>
    <row r="73">
      <c r="B73" s="7" t="inlineStr">
        <is>
          <t xml:space="preserve">  ↳ Spore_AA</t>
        </is>
      </c>
      <c r="C73" s="7" t="inlineStr">
        <is>
          <t>Armament@spore</t>
        </is>
      </c>
      <c r="L73" s="6" t="n">
        <v>36000</v>
      </c>
      <c r="M73" s="6" t="n">
        <v>34</v>
      </c>
      <c r="N73" s="6" t="n">
        <v>1</v>
      </c>
      <c r="O73" s="6" t="n"/>
      <c r="P73" s="6" t="n">
        <v>10160</v>
      </c>
      <c r="Q73" s="6" t="n">
        <v>1</v>
      </c>
      <c r="R73">
        <f>M73+IF(N73&gt;1,N(O73)*(N73-1),0)</f>
        <v/>
      </c>
      <c r="S73">
        <f>IFERROR(L73*MAX(N73,1)/R73*IF(ISBLANK(K71),1,K71),0)</f>
        <v/>
      </c>
      <c r="AB73" s="7" t="inlineStr">
        <is>
          <t>^MediumMissile, ^Chaingun, ^FlakWeapon</t>
        </is>
      </c>
    </row>
    <row r="74">
      <c r="A74" s="4" t="inlineStr">
        <is>
          <t>BUILDINGS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t="inlineStr">
        <is>
          <t>starcraft</t>
        </is>
      </c>
      <c r="B75" t="inlineStr">
        <is>
          <t>zerg_defilermound</t>
        </is>
      </c>
      <c r="C75" t="inlineStr">
        <is>
          <t>Defiler Mound</t>
        </is>
      </c>
      <c r="D75" s="6" t="inlineStr">
        <is>
          <t>Building</t>
        </is>
      </c>
      <c r="E75" s="6" t="n">
        <v>200000</v>
      </c>
      <c r="F75" s="6" t="n"/>
      <c r="G75" t="inlineStr">
        <is>
          <t>Wood</t>
        </is>
      </c>
      <c r="H75" s="6" t="n">
        <v>1</v>
      </c>
      <c r="I75" s="6" t="n">
        <v>1</v>
      </c>
      <c r="J75" s="6" t="n">
        <v>1</v>
      </c>
      <c r="K75" s="6" t="n"/>
      <c r="X75" s="6" t="n">
        <v>2000</v>
      </c>
    </row>
    <row r="76">
      <c r="A76" t="inlineStr">
        <is>
          <t>starcraft</t>
        </is>
      </c>
      <c r="B76" t="inlineStr">
        <is>
          <t>zerg_evolutionchamber</t>
        </is>
      </c>
      <c r="C76" t="inlineStr">
        <is>
          <t>Evolution Chamber</t>
        </is>
      </c>
      <c r="D76" s="6" t="inlineStr">
        <is>
          <t>Building</t>
        </is>
      </c>
      <c r="E76" s="6" t="n">
        <v>200000</v>
      </c>
      <c r="F76" s="6" t="n"/>
      <c r="G76" t="inlineStr">
        <is>
          <t>Wood</t>
        </is>
      </c>
      <c r="H76" s="6" t="n">
        <v>1</v>
      </c>
      <c r="I76" s="6" t="n">
        <v>1</v>
      </c>
      <c r="J76" s="6" t="n">
        <v>1</v>
      </c>
      <c r="K76" s="6" t="n"/>
      <c r="X76" s="6" t="n">
        <v>2000</v>
      </c>
    </row>
    <row r="77">
      <c r="A77" t="inlineStr">
        <is>
          <t>starcraft</t>
        </is>
      </c>
      <c r="B77" t="inlineStr">
        <is>
          <t>zerg_extractor</t>
        </is>
      </c>
      <c r="C77" t="inlineStr">
        <is>
          <t>Extractor</t>
        </is>
      </c>
      <c r="D77" s="6" t="inlineStr">
        <is>
          <t>Building</t>
        </is>
      </c>
      <c r="E77" s="6" t="n">
        <v>300000</v>
      </c>
      <c r="F77" s="6" t="n"/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K77" s="6" t="n"/>
      <c r="X77" s="6" t="n">
        <v>3000</v>
      </c>
    </row>
    <row r="78">
      <c r="A78" t="inlineStr">
        <is>
          <t>starcraft</t>
        </is>
      </c>
      <c r="B78" t="inlineStr">
        <is>
          <t>zerg_greaterspire</t>
        </is>
      </c>
      <c r="C78" t="inlineStr">
        <is>
          <t>Greater Spire</t>
        </is>
      </c>
      <c r="D78" s="6" t="inlineStr">
        <is>
          <t>Building</t>
        </is>
      </c>
      <c r="E78" s="6" t="n"/>
      <c r="F78" s="6" t="n"/>
      <c r="H78" s="6" t="n">
        <v>1</v>
      </c>
      <c r="I78" s="6" t="n">
        <v>1</v>
      </c>
      <c r="J78" s="6" t="n">
        <v>1</v>
      </c>
      <c r="K78" s="6" t="n"/>
      <c r="X78" s="6" t="n">
        <v>1500</v>
      </c>
    </row>
    <row r="79">
      <c r="A79" t="inlineStr">
        <is>
          <t>starcraft</t>
        </is>
      </c>
      <c r="B79" t="inlineStr">
        <is>
          <t>zerg_hatchery</t>
        </is>
      </c>
      <c r="C79" t="inlineStr">
        <is>
          <t>Hatchery</t>
        </is>
      </c>
      <c r="D79" s="6" t="inlineStr">
        <is>
          <t>Building</t>
        </is>
      </c>
      <c r="E79" s="6" t="n">
        <v>1000000</v>
      </c>
      <c r="F79" s="6" t="n"/>
      <c r="G79" t="inlineStr">
        <is>
          <t>Concrete</t>
        </is>
      </c>
      <c r="H79" s="6" t="n">
        <v>1</v>
      </c>
      <c r="I79" s="6" t="n">
        <v>1</v>
      </c>
      <c r="J79" s="6" t="n">
        <v>1</v>
      </c>
      <c r="K79" s="6" t="n"/>
      <c r="X79" s="6" t="n">
        <v>5000</v>
      </c>
    </row>
    <row r="80">
      <c r="A80" t="inlineStr">
        <is>
          <t>starcraft</t>
        </is>
      </c>
      <c r="B80" t="inlineStr">
        <is>
          <t>zerg_hive</t>
        </is>
      </c>
      <c r="C80" t="inlineStr">
        <is>
          <t>Hive</t>
        </is>
      </c>
      <c r="D80" s="6" t="inlineStr">
        <is>
          <t>Building</t>
        </is>
      </c>
      <c r="E80" s="6" t="n"/>
      <c r="F80" s="6" t="n"/>
      <c r="H80" s="6" t="n">
        <v>1</v>
      </c>
      <c r="I80" s="6" t="n">
        <v>1</v>
      </c>
      <c r="J80" s="6" t="n">
        <v>1</v>
      </c>
      <c r="K80" s="6" t="n"/>
      <c r="X80" s="6" t="n">
        <v>2000</v>
      </c>
    </row>
    <row r="81">
      <c r="A81" t="inlineStr">
        <is>
          <t>starcraft</t>
        </is>
      </c>
      <c r="B81" t="inlineStr">
        <is>
          <t>zerg_hydraliskden</t>
        </is>
      </c>
      <c r="C81" t="inlineStr">
        <is>
          <t>Hydralisk Den</t>
        </is>
      </c>
      <c r="D81" s="6" t="inlineStr">
        <is>
          <t>Building</t>
        </is>
      </c>
      <c r="E81" s="6" t="n">
        <v>150000</v>
      </c>
      <c r="F81" s="6" t="n"/>
      <c r="G81" t="inlineStr">
        <is>
          <t>Wood</t>
        </is>
      </c>
      <c r="H81" s="6" t="n">
        <v>1</v>
      </c>
      <c r="I81" s="6" t="n">
        <v>1</v>
      </c>
      <c r="J81" s="6" t="n">
        <v>1</v>
      </c>
      <c r="K81" s="6" t="n"/>
      <c r="X81" s="6" t="n">
        <v>1500</v>
      </c>
    </row>
    <row r="82">
      <c r="A82" t="inlineStr">
        <is>
          <t>starcraft</t>
        </is>
      </c>
      <c r="B82" t="inlineStr">
        <is>
          <t>zerg_infestedcommandcenter</t>
        </is>
      </c>
      <c r="C82" t="inlineStr">
        <is>
          <t>Infested Command Center</t>
        </is>
      </c>
      <c r="D82" s="6" t="inlineStr">
        <is>
          <t>Building</t>
        </is>
      </c>
      <c r="E82" s="6" t="n">
        <v>400000</v>
      </c>
      <c r="F82" s="6" t="n"/>
      <c r="G82" t="inlineStr">
        <is>
          <t>Concrete</t>
        </is>
      </c>
      <c r="H82" s="6" t="n">
        <v>0.9429</v>
      </c>
      <c r="I82" s="6" t="n">
        <v>1</v>
      </c>
      <c r="J82" s="6" t="n">
        <v>1</v>
      </c>
      <c r="K82" s="6" t="n"/>
      <c r="X82" s="6" t="n">
        <v>2000</v>
      </c>
    </row>
    <row r="83">
      <c r="A83" t="inlineStr">
        <is>
          <t>starcraft</t>
        </is>
      </c>
      <c r="B83" t="inlineStr">
        <is>
          <t>zerg_lair</t>
        </is>
      </c>
      <c r="C83" t="inlineStr">
        <is>
          <t>Lair</t>
        </is>
      </c>
      <c r="D83" s="6" t="inlineStr">
        <is>
          <t>Building</t>
        </is>
      </c>
      <c r="E83" s="6" t="n"/>
      <c r="F83" s="6" t="n"/>
      <c r="H83" s="6" t="n">
        <v>1</v>
      </c>
      <c r="I83" s="6" t="n">
        <v>1</v>
      </c>
      <c r="J83" s="6" t="n">
        <v>1</v>
      </c>
      <c r="K83" s="6" t="n"/>
      <c r="X83" s="6" t="n">
        <v>1400</v>
      </c>
    </row>
    <row r="84">
      <c r="A84" t="inlineStr">
        <is>
          <t>starcraft</t>
        </is>
      </c>
      <c r="B84" t="inlineStr">
        <is>
          <t>zerg_nyduscanal</t>
        </is>
      </c>
      <c r="C84" t="inlineStr">
        <is>
          <t>Nydus Canal</t>
        </is>
      </c>
      <c r="D84" s="6" t="inlineStr">
        <is>
          <t>Building</t>
        </is>
      </c>
      <c r="E84" s="6" t="n">
        <v>25000</v>
      </c>
      <c r="F84" s="6" t="n"/>
      <c r="G84" t="inlineStr">
        <is>
          <t>Wood</t>
        </is>
      </c>
      <c r="H84" s="6" t="n">
        <v>1</v>
      </c>
      <c r="I84" s="6" t="n">
        <v>1</v>
      </c>
      <c r="J84" s="6" t="n">
        <v>1</v>
      </c>
      <c r="K84" s="6" t="n"/>
      <c r="X84" s="6" t="n">
        <v>800</v>
      </c>
    </row>
    <row r="85">
      <c r="A85" t="inlineStr">
        <is>
          <t>starcraft</t>
        </is>
      </c>
      <c r="B85" t="inlineStr">
        <is>
          <t>zerg_overmind</t>
        </is>
      </c>
      <c r="C85" t="inlineStr">
        <is>
          <t>Overmind</t>
        </is>
      </c>
      <c r="D85" s="6" t="inlineStr">
        <is>
          <t>Building</t>
        </is>
      </c>
      <c r="E85" s="6" t="n">
        <v>500000</v>
      </c>
      <c r="F85" s="6" t="n"/>
      <c r="G85" t="inlineStr">
        <is>
          <t>Concrete</t>
        </is>
      </c>
      <c r="H85" s="6" t="n">
        <v>1</v>
      </c>
      <c r="I85" s="6" t="n">
        <v>1</v>
      </c>
      <c r="J85" s="6" t="n">
        <v>1</v>
      </c>
      <c r="K85" s="6" t="n"/>
      <c r="X85" s="6" t="n">
        <v>5000</v>
      </c>
    </row>
    <row r="86">
      <c r="A86" t="inlineStr">
        <is>
          <t>starcraft</t>
        </is>
      </c>
      <c r="B86" t="inlineStr">
        <is>
          <t>zerg_queensnest</t>
        </is>
      </c>
      <c r="C86" t="inlineStr">
        <is>
          <t>Queen's Nest</t>
        </is>
      </c>
      <c r="D86" s="6" t="inlineStr">
        <is>
          <t>Building</t>
        </is>
      </c>
      <c r="E86" s="6" t="n">
        <v>150000</v>
      </c>
      <c r="F86" s="6" t="n"/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K86" s="6" t="n"/>
      <c r="X86" s="6" t="n">
        <v>1500</v>
      </c>
    </row>
    <row r="87">
      <c r="A87" t="inlineStr">
        <is>
          <t>starcraft</t>
        </is>
      </c>
      <c r="B87" t="inlineStr">
        <is>
          <t>zerg_spawningpool</t>
        </is>
      </c>
      <c r="C87" t="inlineStr">
        <is>
          <t>Spawning Pool</t>
        </is>
      </c>
      <c r="D87" s="6" t="inlineStr">
        <is>
          <t>Building</t>
        </is>
      </c>
      <c r="E87" s="6" t="n">
        <v>125000</v>
      </c>
      <c r="F87" s="6" t="n"/>
      <c r="G87" t="inlineStr">
        <is>
          <t>Wood</t>
        </is>
      </c>
      <c r="H87" s="6" t="n">
        <v>1</v>
      </c>
      <c r="I87" s="6" t="n">
        <v>1</v>
      </c>
      <c r="J87" s="6" t="n">
        <v>1</v>
      </c>
      <c r="K87" s="6" t="n"/>
      <c r="X87" s="6" t="n">
        <v>1250</v>
      </c>
    </row>
    <row r="88">
      <c r="A88" t="inlineStr">
        <is>
          <t>starcraft</t>
        </is>
      </c>
      <c r="B88" t="inlineStr">
        <is>
          <t>zerg_spire</t>
        </is>
      </c>
      <c r="C88" t="inlineStr">
        <is>
          <t>Spire</t>
        </is>
      </c>
      <c r="D88" s="6" t="inlineStr">
        <is>
          <t>Building</t>
        </is>
      </c>
      <c r="E88" s="6" t="n">
        <v>150000</v>
      </c>
      <c r="F88" s="6" t="n"/>
      <c r="G88" t="inlineStr">
        <is>
          <t>Wood</t>
        </is>
      </c>
      <c r="H88" s="6" t="n">
        <v>1</v>
      </c>
      <c r="I88" s="6" t="n">
        <v>1</v>
      </c>
      <c r="J88" s="6" t="n">
        <v>1</v>
      </c>
      <c r="K88" s="6" t="n"/>
      <c r="X88" s="6" t="n">
        <v>1500</v>
      </c>
    </row>
    <row r="89">
      <c r="A89" t="inlineStr">
        <is>
          <t>starcraft</t>
        </is>
      </c>
      <c r="B89" t="inlineStr">
        <is>
          <t>zerg_sporecolony_defense</t>
        </is>
      </c>
      <c r="C89" t="inlineStr">
        <is>
          <t>Spore Colony</t>
        </is>
      </c>
      <c r="D89" s="6" t="inlineStr">
        <is>
          <t>Building</t>
        </is>
      </c>
      <c r="E89" s="6" t="n"/>
      <c r="F89" s="6" t="n"/>
      <c r="H89" s="6" t="n">
        <v>1</v>
      </c>
      <c r="I89" s="6" t="n">
        <v>1</v>
      </c>
      <c r="J89" s="6" t="n">
        <v>1</v>
      </c>
      <c r="K89" s="6" t="n"/>
      <c r="X89" s="6" t="n">
        <v>500</v>
      </c>
    </row>
    <row r="90">
      <c r="A90" t="inlineStr">
        <is>
          <t>starcraft</t>
        </is>
      </c>
      <c r="B90" t="inlineStr">
        <is>
          <t>zerg_sunkencolony</t>
        </is>
      </c>
      <c r="C90" t="inlineStr">
        <is>
          <t>Sunken Colony</t>
        </is>
      </c>
      <c r="D90" s="6" t="inlineStr">
        <is>
          <t>Building</t>
        </is>
      </c>
      <c r="E90" s="6" t="n"/>
      <c r="F90" s="6" t="n"/>
      <c r="H90" s="6" t="n">
        <v>1</v>
      </c>
      <c r="I90" s="6" t="n">
        <v>1</v>
      </c>
      <c r="J90" s="6" t="n">
        <v>1</v>
      </c>
      <c r="K90" s="6" t="n"/>
      <c r="X90" s="6" t="n">
        <v>500</v>
      </c>
    </row>
    <row r="91">
      <c r="A91" t="inlineStr">
        <is>
          <t>starcraft</t>
        </is>
      </c>
      <c r="B91" t="inlineStr">
        <is>
          <t>zerg_ultraliskcavern</t>
        </is>
      </c>
      <c r="C91" t="inlineStr">
        <is>
          <t>Ultralisk Cavern</t>
        </is>
      </c>
      <c r="D91" s="6" t="inlineStr">
        <is>
          <t>Building</t>
        </is>
      </c>
      <c r="E91" s="6" t="n">
        <v>200000</v>
      </c>
      <c r="F91" s="6" t="n"/>
      <c r="G91" t="inlineStr">
        <is>
          <t>Wood</t>
        </is>
      </c>
      <c r="H91" s="6" t="n">
        <v>1</v>
      </c>
      <c r="I91" s="6" t="n">
        <v>1</v>
      </c>
      <c r="J91" s="6" t="n">
        <v>1</v>
      </c>
      <c r="K91" s="6" t="n"/>
      <c r="X91" s="6" t="n">
        <v>2000</v>
      </c>
    </row>
    <row r="92">
      <c r="A92" t="inlineStr">
        <is>
          <t>starcraft</t>
        </is>
      </c>
      <c r="B92" t="inlineStr">
        <is>
          <t>zerg_vespenegascollector</t>
        </is>
      </c>
      <c r="C92" t="inlineStr">
        <is>
          <t>Vespene Gas Collector</t>
        </is>
      </c>
      <c r="D92" s="6" t="inlineStr">
        <is>
          <t>Building</t>
        </is>
      </c>
      <c r="E92" s="6" t="n"/>
      <c r="F92" s="6" t="n"/>
      <c r="H92" s="6" t="n">
        <v>1</v>
      </c>
      <c r="I92" s="6" t="n">
        <v>1</v>
      </c>
      <c r="J92" s="6" t="n">
        <v>1</v>
      </c>
      <c r="K92" s="6" t="n"/>
      <c r="X92" s="6" t="n">
        <v>2500</v>
      </c>
    </row>
    <row r="93">
      <c r="A93" s="4" t="inlineStr">
        <is>
          <t>UPGRADES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t="inlineStr">
        <is>
          <t>starcraft</t>
        </is>
      </c>
      <c r="B94" t="inlineStr">
        <is>
          <t>zerg_upgrade_adrenalglands</t>
        </is>
      </c>
      <c r="C94" t="inlineStr">
        <is>
          <t>Adrenal Glands</t>
        </is>
      </c>
      <c r="D94" s="6" t="inlineStr">
        <is>
          <t>ResearchedUpgrade</t>
        </is>
      </c>
      <c r="E94" s="6" t="n"/>
      <c r="F94" s="6" t="n"/>
      <c r="H94" s="6" t="n">
        <v>1</v>
      </c>
      <c r="I94" s="6" t="n">
        <v>1</v>
      </c>
      <c r="J94" s="6" t="n">
        <v>1</v>
      </c>
      <c r="K94" s="6" t="n"/>
      <c r="X94" s="6" t="n">
        <v>2500</v>
      </c>
    </row>
    <row r="95">
      <c r="A95" t="inlineStr">
        <is>
          <t>starcraft</t>
        </is>
      </c>
      <c r="B95" t="inlineStr">
        <is>
          <t>zerg_upgrade_carapacelevel1</t>
        </is>
      </c>
      <c r="C95" t="inlineStr">
        <is>
          <t>Carapace Level 1</t>
        </is>
      </c>
      <c r="D95" s="6" t="inlineStr">
        <is>
          <t>ResearchedUpgrade</t>
        </is>
      </c>
      <c r="E95" s="6" t="n"/>
      <c r="F95" s="6" t="n"/>
      <c r="H95" s="6" t="n">
        <v>1</v>
      </c>
      <c r="I95" s="6" t="n">
        <v>1</v>
      </c>
      <c r="J95" s="6" t="n">
        <v>1</v>
      </c>
      <c r="K95" s="6" t="n"/>
      <c r="X95" s="6" t="n">
        <v>2500</v>
      </c>
    </row>
    <row r="96">
      <c r="A96" t="inlineStr">
        <is>
          <t>starcraft</t>
        </is>
      </c>
      <c r="B96" t="inlineStr">
        <is>
          <t>zerg_upgrade_carapacelevel2</t>
        </is>
      </c>
      <c r="C96" t="inlineStr">
        <is>
          <t>Carapace Level 2</t>
        </is>
      </c>
      <c r="D96" s="6" t="inlineStr">
        <is>
          <t>ResearchedUpgrade</t>
        </is>
      </c>
      <c r="E96" s="6" t="n"/>
      <c r="F96" s="6" t="n"/>
      <c r="H96" s="6" t="n">
        <v>1</v>
      </c>
      <c r="I96" s="6" t="n">
        <v>1</v>
      </c>
      <c r="J96" s="6" t="n">
        <v>1</v>
      </c>
      <c r="K96" s="6" t="n"/>
      <c r="X96" s="6" t="n">
        <v>5000</v>
      </c>
    </row>
    <row r="97">
      <c r="A97" t="inlineStr">
        <is>
          <t>starcraft</t>
        </is>
      </c>
      <c r="B97" t="inlineStr">
        <is>
          <t>zerg_upgrade_flyerattackslevel1</t>
        </is>
      </c>
      <c r="C97" t="inlineStr">
        <is>
          <t>Flyer Attacks Level 1</t>
        </is>
      </c>
      <c r="D97" s="6" t="inlineStr">
        <is>
          <t>ResearchedUpgrade</t>
        </is>
      </c>
      <c r="E97" s="6" t="n"/>
      <c r="F97" s="6" t="n"/>
      <c r="H97" s="6" t="n">
        <v>1</v>
      </c>
      <c r="I97" s="6" t="n">
        <v>1</v>
      </c>
      <c r="J97" s="6" t="n">
        <v>1</v>
      </c>
      <c r="K97" s="6" t="n"/>
      <c r="X97" s="6" t="n">
        <v>2500</v>
      </c>
    </row>
    <row r="98">
      <c r="A98" t="inlineStr">
        <is>
          <t>starcraft</t>
        </is>
      </c>
      <c r="B98" t="inlineStr">
        <is>
          <t>zerg_upgrade_flyerattackslevel2</t>
        </is>
      </c>
      <c r="C98" t="inlineStr">
        <is>
          <t>Flyer Attacks Level 2</t>
        </is>
      </c>
      <c r="D98" s="6" t="inlineStr">
        <is>
          <t>ResearchedUpgrade</t>
        </is>
      </c>
      <c r="E98" s="6" t="n"/>
      <c r="F98" s="6" t="n"/>
      <c r="H98" s="6" t="n">
        <v>1</v>
      </c>
      <c r="I98" s="6" t="n">
        <v>1</v>
      </c>
      <c r="J98" s="6" t="n">
        <v>1</v>
      </c>
      <c r="K98" s="6" t="n"/>
      <c r="X98" s="6" t="n">
        <v>5000</v>
      </c>
    </row>
    <row r="99">
      <c r="A99" t="inlineStr">
        <is>
          <t>starcraft</t>
        </is>
      </c>
      <c r="B99" t="inlineStr">
        <is>
          <t>zerg_upgrade_flyercarapacelevel1</t>
        </is>
      </c>
      <c r="C99" t="inlineStr">
        <is>
          <t>Flyer Carapace Level 1</t>
        </is>
      </c>
      <c r="D99" s="6" t="inlineStr">
        <is>
          <t>ResearchedUpgrade</t>
        </is>
      </c>
      <c r="E99" s="6" t="n"/>
      <c r="F99" s="6" t="n"/>
      <c r="H99" s="6" t="n">
        <v>1</v>
      </c>
      <c r="I99" s="6" t="n">
        <v>1</v>
      </c>
      <c r="J99" s="6" t="n">
        <v>1</v>
      </c>
      <c r="K99" s="6" t="n"/>
      <c r="X99" s="6" t="n">
        <v>2500</v>
      </c>
    </row>
    <row r="100">
      <c r="A100" t="inlineStr">
        <is>
          <t>starcraft</t>
        </is>
      </c>
      <c r="B100" t="inlineStr">
        <is>
          <t>zerg_upgrade_flyercarapacelevel2</t>
        </is>
      </c>
      <c r="C100" t="inlineStr">
        <is>
          <t>Flyer Carapace Level 2</t>
        </is>
      </c>
      <c r="D100" s="6" t="inlineStr">
        <is>
          <t>ResearchedUpgrade</t>
        </is>
      </c>
      <c r="E100" s="6" t="n"/>
      <c r="F100" s="6" t="n"/>
      <c r="H100" s="6" t="n">
        <v>1</v>
      </c>
      <c r="I100" s="6" t="n">
        <v>1</v>
      </c>
      <c r="J100" s="6" t="n">
        <v>1</v>
      </c>
      <c r="K100" s="6" t="n"/>
      <c r="X100" s="6" t="n">
        <v>5000</v>
      </c>
    </row>
    <row r="101">
      <c r="A101" t="inlineStr">
        <is>
          <t>starcraft</t>
        </is>
      </c>
      <c r="B101" t="inlineStr">
        <is>
          <t>zerg_upgrade_groovedspines</t>
        </is>
      </c>
      <c r="C101" t="inlineStr">
        <is>
          <t>Grooved Spines</t>
        </is>
      </c>
      <c r="D101" s="6" t="inlineStr">
        <is>
          <t>ResearchedUpgrade</t>
        </is>
      </c>
      <c r="E101" s="6" t="n"/>
      <c r="F101" s="6" t="n"/>
      <c r="H101" s="6" t="n">
        <v>1</v>
      </c>
      <c r="I101" s="6" t="n">
        <v>1</v>
      </c>
      <c r="J101" s="6" t="n">
        <v>1</v>
      </c>
      <c r="K101" s="6" t="n"/>
      <c r="X101" s="6" t="n">
        <v>2500</v>
      </c>
    </row>
    <row r="102">
      <c r="A102" t="inlineStr">
        <is>
          <t>starcraft</t>
        </is>
      </c>
      <c r="B102" t="inlineStr">
        <is>
          <t>zerg_upgrade_meleeattackslevel1</t>
        </is>
      </c>
      <c r="C102" t="inlineStr">
        <is>
          <t>Melee Attacks Level 1</t>
        </is>
      </c>
      <c r="D102" s="6" t="inlineStr">
        <is>
          <t>ResearchedUpgrade</t>
        </is>
      </c>
      <c r="E102" s="6" t="n"/>
      <c r="F102" s="6" t="n"/>
      <c r="H102" s="6" t="n">
        <v>1</v>
      </c>
      <c r="I102" s="6" t="n">
        <v>1</v>
      </c>
      <c r="J102" s="6" t="n">
        <v>1</v>
      </c>
      <c r="K102" s="6" t="n"/>
      <c r="X102" s="6" t="n">
        <v>2500</v>
      </c>
    </row>
    <row r="103">
      <c r="A103" t="inlineStr">
        <is>
          <t>starcraft</t>
        </is>
      </c>
      <c r="B103" t="inlineStr">
        <is>
          <t>zerg_upgrade_meleeattackslevel2</t>
        </is>
      </c>
      <c r="C103" t="inlineStr">
        <is>
          <t>Melee Attacks Level 2</t>
        </is>
      </c>
      <c r="D103" s="6" t="inlineStr">
        <is>
          <t>ResearchedUpgrade</t>
        </is>
      </c>
      <c r="E103" s="6" t="n"/>
      <c r="F103" s="6" t="n"/>
      <c r="H103" s="6" t="n">
        <v>1</v>
      </c>
      <c r="I103" s="6" t="n">
        <v>1</v>
      </c>
      <c r="J103" s="6" t="n">
        <v>1</v>
      </c>
      <c r="K103" s="6" t="n"/>
      <c r="X103" s="6" t="n">
        <v>5000</v>
      </c>
    </row>
    <row r="104">
      <c r="A104" t="inlineStr">
        <is>
          <t>starcraft</t>
        </is>
      </c>
      <c r="B104" t="inlineStr">
        <is>
          <t>zerg_upgrade_metabolicboost</t>
        </is>
      </c>
      <c r="C104" t="inlineStr">
        <is>
          <t>Metabolic Boost</t>
        </is>
      </c>
      <c r="D104" s="6" t="inlineStr">
        <is>
          <t>ResearchedUpgrade</t>
        </is>
      </c>
      <c r="E104" s="6" t="n"/>
      <c r="F104" s="6" t="n"/>
      <c r="H104" s="6" t="n">
        <v>1</v>
      </c>
      <c r="I104" s="6" t="n">
        <v>1</v>
      </c>
      <c r="J104" s="6" t="n">
        <v>1</v>
      </c>
      <c r="K104" s="6" t="n"/>
      <c r="X104" s="6" t="n">
        <v>2500</v>
      </c>
    </row>
    <row r="105">
      <c r="A105" t="inlineStr">
        <is>
          <t>starcraft</t>
        </is>
      </c>
      <c r="B105" t="inlineStr">
        <is>
          <t>zerg_upgrade_missileattackslevel1</t>
        </is>
      </c>
      <c r="C105" t="inlineStr">
        <is>
          <t>Missile Attacks Level 1</t>
        </is>
      </c>
      <c r="D105" s="6" t="inlineStr">
        <is>
          <t>ResearchedUpgrade</t>
        </is>
      </c>
      <c r="E105" s="6" t="n"/>
      <c r="F105" s="6" t="n"/>
      <c r="H105" s="6" t="n">
        <v>1</v>
      </c>
      <c r="I105" s="6" t="n">
        <v>1</v>
      </c>
      <c r="J105" s="6" t="n">
        <v>1</v>
      </c>
      <c r="K105" s="6" t="n"/>
      <c r="X105" s="6" t="n">
        <v>2500</v>
      </c>
    </row>
    <row r="106">
      <c r="A106" t="inlineStr">
        <is>
          <t>starcraft</t>
        </is>
      </c>
      <c r="B106" t="inlineStr">
        <is>
          <t>zerg_upgrade_missileattackslevel2</t>
        </is>
      </c>
      <c r="C106" t="inlineStr">
        <is>
          <t>Missile Attacks Level 2</t>
        </is>
      </c>
      <c r="D106" s="6" t="inlineStr">
        <is>
          <t>ResearchedUpgrade</t>
        </is>
      </c>
      <c r="E106" s="6" t="n"/>
      <c r="F106" s="6" t="n"/>
      <c r="H106" s="6" t="n">
        <v>1</v>
      </c>
      <c r="I106" s="6" t="n">
        <v>1</v>
      </c>
      <c r="J106" s="6" t="n">
        <v>1</v>
      </c>
      <c r="K106" s="6" t="n"/>
      <c r="X106" s="6" t="n">
        <v>5000</v>
      </c>
    </row>
    <row r="107">
      <c r="A107" t="inlineStr">
        <is>
          <t>starcraft</t>
        </is>
      </c>
      <c r="B107" t="inlineStr">
        <is>
          <t>zerg_upgrade_pneumatizedcarapace</t>
        </is>
      </c>
      <c r="C107" t="inlineStr">
        <is>
          <t>Pneumatized Carapace</t>
        </is>
      </c>
      <c r="D107" s="6" t="inlineStr">
        <is>
          <t>ResearchedUpgrade</t>
        </is>
      </c>
      <c r="E107" s="6" t="n"/>
      <c r="F107" s="6" t="n"/>
      <c r="H107" s="6" t="n">
        <v>1</v>
      </c>
      <c r="I107" s="6" t="n">
        <v>1</v>
      </c>
      <c r="J107" s="6" t="n">
        <v>1</v>
      </c>
      <c r="K107" s="6" t="n"/>
      <c r="X107" s="6" t="n">
        <v>2500</v>
      </c>
    </row>
    <row r="108">
      <c r="A108" s="4" t="inlineStr">
        <is>
          <t>PROMOTIONS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starcraft</t>
        </is>
      </c>
      <c r="B109" t="inlineStr">
        <is>
          <t>zerg_promotion_behemoth</t>
        </is>
      </c>
      <c r="C109" t="inlineStr">
        <is>
          <t>Unlock Behemoth</t>
        </is>
      </c>
      <c r="D109" s="6" t="inlineStr">
        <is>
          <t>PromotionUpgrade</t>
        </is>
      </c>
      <c r="E109" s="6" t="n"/>
      <c r="F109" s="6" t="n"/>
      <c r="H109" s="6" t="n">
        <v>1</v>
      </c>
      <c r="I109" s="6" t="n">
        <v>1</v>
      </c>
      <c r="J109" s="6" t="n">
        <v>1</v>
      </c>
      <c r="K109" s="6" t="n"/>
      <c r="X109" s="6" t="n"/>
    </row>
    <row r="110">
      <c r="A110" t="inlineStr">
        <is>
          <t>starcraft</t>
        </is>
      </c>
      <c r="B110" t="inlineStr">
        <is>
          <t>zerg_promotion_broodweaver</t>
        </is>
      </c>
      <c r="C110" t="inlineStr">
        <is>
          <t>Unlock Broodweaver</t>
        </is>
      </c>
      <c r="D110" s="6" t="inlineStr">
        <is>
          <t>PromotionUpgrade</t>
        </is>
      </c>
      <c r="E110" s="6" t="n"/>
      <c r="F110" s="6" t="n"/>
      <c r="H110" s="6" t="n">
        <v>1</v>
      </c>
      <c r="I110" s="6" t="n">
        <v>1</v>
      </c>
      <c r="J110" s="6" t="n">
        <v>1</v>
      </c>
      <c r="K110" s="6" t="n"/>
      <c r="X110" s="6" t="n"/>
    </row>
    <row r="111">
      <c r="A111" t="inlineStr">
        <is>
          <t>starcraft</t>
        </is>
      </c>
      <c r="B111" t="inlineStr">
        <is>
          <t>zerg_promotion_corruptor</t>
        </is>
      </c>
      <c r="C111" t="inlineStr">
        <is>
          <t>Unlock Corruptor</t>
        </is>
      </c>
      <c r="D111" s="6" t="inlineStr">
        <is>
          <t>PromotionUpgrade</t>
        </is>
      </c>
      <c r="E111" s="6" t="n"/>
      <c r="F111" s="6" t="n"/>
      <c r="H111" s="6" t="n">
        <v>1</v>
      </c>
      <c r="I111" s="6" t="n">
        <v>1</v>
      </c>
      <c r="J111" s="6" t="n">
        <v>1</v>
      </c>
      <c r="K111" s="6" t="n"/>
      <c r="X111" s="6" t="n"/>
    </row>
    <row r="112">
      <c r="A112" t="inlineStr">
        <is>
          <t>starcraft</t>
        </is>
      </c>
      <c r="B112" t="inlineStr">
        <is>
          <t>zerg_promotion_dreadshroud</t>
        </is>
      </c>
      <c r="C112" t="inlineStr">
        <is>
          <t>Unlock Dreadshroud</t>
        </is>
      </c>
      <c r="D112" s="6" t="inlineStr">
        <is>
          <t>PromotionUpgrade</t>
        </is>
      </c>
      <c r="E112" s="6" t="n"/>
      <c r="F112" s="6" t="n"/>
      <c r="H112" s="6" t="n">
        <v>1</v>
      </c>
      <c r="I112" s="6" t="n">
        <v>1</v>
      </c>
      <c r="J112" s="6" t="n">
        <v>1</v>
      </c>
      <c r="K112" s="6" t="n"/>
      <c r="X112" s="6" t="n"/>
    </row>
    <row r="113">
      <c r="A113" t="inlineStr">
        <is>
          <t>starcraft</t>
        </is>
      </c>
      <c r="B113" t="inlineStr">
        <is>
          <t>zerg_promotion_gorekraken</t>
        </is>
      </c>
      <c r="C113" t="inlineStr">
        <is>
          <t>Unlock Gorekraken</t>
        </is>
      </c>
      <c r="D113" s="6" t="inlineStr">
        <is>
          <t>PromotionUpgrade</t>
        </is>
      </c>
      <c r="E113" s="6" t="n"/>
      <c r="F113" s="6" t="n"/>
      <c r="H113" s="6" t="n">
        <v>1</v>
      </c>
      <c r="I113" s="6" t="n">
        <v>1</v>
      </c>
      <c r="J113" s="6" t="n">
        <v>1</v>
      </c>
      <c r="K113" s="6" t="n"/>
      <c r="X113" s="6" t="n"/>
    </row>
    <row r="114">
      <c r="A114" t="inlineStr">
        <is>
          <t>starcraft</t>
        </is>
      </c>
      <c r="B114" t="inlineStr">
        <is>
          <t>zerg_promotion_goremaw</t>
        </is>
      </c>
      <c r="C114" t="inlineStr">
        <is>
          <t>Unlock Goremaw</t>
        </is>
      </c>
      <c r="D114" s="6" t="inlineStr">
        <is>
          <t>PromotionUpgrade</t>
        </is>
      </c>
      <c r="E114" s="6" t="n"/>
      <c r="F114" s="6" t="n"/>
      <c r="H114" s="6" t="n">
        <v>1</v>
      </c>
      <c r="I114" s="6" t="n">
        <v>1</v>
      </c>
      <c r="J114" s="6" t="n">
        <v>1</v>
      </c>
      <c r="K114" s="6" t="n"/>
      <c r="X114" s="6" t="n"/>
    </row>
    <row r="115">
      <c r="A115" t="inlineStr">
        <is>
          <t>starcraft</t>
        </is>
      </c>
      <c r="B115" t="inlineStr">
        <is>
          <t>zerg_promotion_hermit</t>
        </is>
      </c>
      <c r="C115" t="inlineStr">
        <is>
          <t>Unlock Hermit</t>
        </is>
      </c>
      <c r="D115" s="6" t="inlineStr">
        <is>
          <t>PromotionUpgrade</t>
        </is>
      </c>
      <c r="E115" s="6" t="n"/>
      <c r="F115" s="6" t="n"/>
      <c r="H115" s="6" t="n">
        <v>1</v>
      </c>
      <c r="I115" s="6" t="n">
        <v>1</v>
      </c>
      <c r="J115" s="6" t="n">
        <v>1</v>
      </c>
      <c r="K115" s="6" t="n"/>
      <c r="X115" s="6" t="n"/>
    </row>
    <row r="116">
      <c r="A116" t="inlineStr">
        <is>
          <t>starcraft</t>
        </is>
      </c>
      <c r="B116" t="inlineStr">
        <is>
          <t>zerg_promotion_shriek</t>
        </is>
      </c>
      <c r="C116" t="inlineStr">
        <is>
          <t>Unlock Shriek</t>
        </is>
      </c>
      <c r="D116" s="6" t="inlineStr">
        <is>
          <t>PromotionUpgrade</t>
        </is>
      </c>
      <c r="E116" s="6" t="n"/>
      <c r="F116" s="6" t="n"/>
      <c r="H116" s="6" t="n">
        <v>1</v>
      </c>
      <c r="I116" s="6" t="n">
        <v>1</v>
      </c>
      <c r="J116" s="6" t="n">
        <v>1</v>
      </c>
      <c r="K116" s="6" t="n"/>
      <c r="X116" s="6" t="n"/>
    </row>
    <row r="117">
      <c r="A117" t="inlineStr">
        <is>
          <t>starcraft</t>
        </is>
      </c>
      <c r="B117" t="inlineStr">
        <is>
          <t>zerg_promotion_spithid</t>
        </is>
      </c>
      <c r="C117" t="inlineStr">
        <is>
          <t>Unlock Spithid</t>
        </is>
      </c>
      <c r="D117" s="6" t="inlineStr">
        <is>
          <t>PromotionUpgrade</t>
        </is>
      </c>
      <c r="E117" s="6" t="n"/>
      <c r="F117" s="6" t="n"/>
      <c r="H117" s="6" t="n">
        <v>1</v>
      </c>
      <c r="I117" s="6" t="n">
        <v>1</v>
      </c>
      <c r="J117" s="6" t="n">
        <v>1</v>
      </c>
      <c r="K117" s="6" t="n"/>
      <c r="X117" s="6" t="n"/>
    </row>
    <row r="118">
      <c r="A118" t="inlineStr">
        <is>
          <t>starcraft</t>
        </is>
      </c>
      <c r="B118" t="inlineStr">
        <is>
          <t>zerg_promotion_sporemaw</t>
        </is>
      </c>
      <c r="C118" t="inlineStr">
        <is>
          <t>Unlock Sporemaw</t>
        </is>
      </c>
      <c r="D118" s="6" t="inlineStr">
        <is>
          <t>PromotionUpgrade</t>
        </is>
      </c>
      <c r="E118" s="6" t="n"/>
      <c r="F118" s="6" t="n"/>
      <c r="H118" s="6" t="n">
        <v>1</v>
      </c>
      <c r="I118" s="6" t="n">
        <v>1</v>
      </c>
      <c r="J118" s="6" t="n">
        <v>1</v>
      </c>
      <c r="K118" s="6" t="n"/>
      <c r="X118" s="6" t="n"/>
    </row>
    <row r="119">
      <c r="A119" t="inlineStr">
        <is>
          <t>starcraft</t>
        </is>
      </c>
      <c r="B119" t="inlineStr">
        <is>
          <t>zerg_promotion_swarmling</t>
        </is>
      </c>
      <c r="C119" t="inlineStr">
        <is>
          <t>Unlock Swarmling</t>
        </is>
      </c>
      <c r="D119" s="6" t="inlineStr">
        <is>
          <t>PromotionUpgrade</t>
        </is>
      </c>
      <c r="E119" s="6" t="n"/>
      <c r="F119" s="6" t="n"/>
      <c r="H119" s="6" t="n">
        <v>1</v>
      </c>
      <c r="I119" s="6" t="n">
        <v>1</v>
      </c>
      <c r="J119" s="6" t="n">
        <v>1</v>
      </c>
      <c r="K119" s="6" t="n"/>
      <c r="X119" s="6" t="n"/>
    </row>
    <row r="120">
      <c r="A120" t="inlineStr">
        <is>
          <t>starcraft</t>
        </is>
      </c>
      <c r="B120" t="inlineStr">
        <is>
          <t>zerg_promotion_talon</t>
        </is>
      </c>
      <c r="C120" t="inlineStr">
        <is>
          <t>Unlock Talon</t>
        </is>
      </c>
      <c r="D120" s="6" t="inlineStr">
        <is>
          <t>PromotionUpgrade</t>
        </is>
      </c>
      <c r="E120" s="6" t="n"/>
      <c r="F120" s="6" t="n"/>
      <c r="H120" s="6" t="n">
        <v>1</v>
      </c>
      <c r="I120" s="6" t="n">
        <v>1</v>
      </c>
      <c r="J120" s="6" t="n">
        <v>1</v>
      </c>
      <c r="K120" s="6" t="n"/>
      <c r="X12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starcraft</t>
        </is>
      </c>
      <c r="B3" t="inlineStr">
        <is>
          <t>terran_firebat</t>
        </is>
      </c>
      <c r="C3" t="inlineStr">
        <is>
          <t>Firebat</t>
        </is>
      </c>
      <c r="D3" s="6" t="inlineStr">
        <is>
          <t>MeleeInfantry</t>
        </is>
      </c>
      <c r="E3" s="6" t="n">
        <v>52000</v>
      </c>
      <c r="F3" s="6" t="n">
        <v>52</v>
      </c>
      <c r="G3" t="inlineStr">
        <is>
          <t>Plate</t>
        </is>
      </c>
      <c r="H3" s="6" t="n">
        <v>1</v>
      </c>
      <c r="I3" s="6" t="n">
        <v>0.75</v>
      </c>
      <c r="J3" s="6" t="n">
        <v>1</v>
      </c>
      <c r="K3" s="6" t="n">
        <v>0.005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FirebatF</t>
        </is>
      </c>
      <c r="C4" s="7" t="inlineStr">
        <is>
          <t>Armament@1</t>
        </is>
      </c>
      <c r="L4" s="6" t="n">
        <v>2000</v>
      </c>
      <c r="M4" s="6" t="n">
        <v>28</v>
      </c>
      <c r="N4" s="6" t="n">
        <v>13</v>
      </c>
      <c r="O4" s="6" t="n">
        <v>2</v>
      </c>
      <c r="P4" s="6" t="n">
        <v>3400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^Warhead_Flame_Medium</t>
        </is>
      </c>
    </row>
    <row r="5">
      <c r="B5" s="7" t="inlineStr">
        <is>
          <t xml:space="preserve">  ↳ FirebatF</t>
        </is>
      </c>
      <c r="C5" s="7" t="inlineStr">
        <is>
          <t>Armament@2</t>
        </is>
      </c>
      <c r="L5" s="6" t="n">
        <v>2000</v>
      </c>
      <c r="M5" s="6" t="n">
        <v>28</v>
      </c>
      <c r="N5" s="6" t="n">
        <v>13</v>
      </c>
      <c r="O5" s="6" t="n">
        <v>2</v>
      </c>
      <c r="P5" s="6" t="n">
        <v>3400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^Warhead_Flame_Medium</t>
        </is>
      </c>
    </row>
    <row r="6">
      <c r="B6" s="7" t="inlineStr">
        <is>
          <t xml:space="preserve">  ↳ FirebatF</t>
        </is>
      </c>
      <c r="C6" s="7" t="inlineStr">
        <is>
          <t>Armament@GARRISONED1</t>
        </is>
      </c>
      <c r="L6" s="6" t="n">
        <v>2000</v>
      </c>
      <c r="M6" s="6" t="n">
        <v>28</v>
      </c>
      <c r="N6" s="6" t="n">
        <v>13</v>
      </c>
      <c r="O6" s="6" t="n">
        <v>2</v>
      </c>
      <c r="P6" s="6" t="n">
        <v>3400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^Warhead_Flame_Medium</t>
        </is>
      </c>
    </row>
    <row r="7">
      <c r="B7" s="7" t="inlineStr">
        <is>
          <t xml:space="preserve">  ↳ FirebatF</t>
        </is>
      </c>
      <c r="C7" s="7" t="inlineStr">
        <is>
          <t>Armament@GARRISONED2</t>
        </is>
      </c>
      <c r="L7" s="6" t="n">
        <v>2000</v>
      </c>
      <c r="M7" s="6" t="n">
        <v>28</v>
      </c>
      <c r="N7" s="6" t="n">
        <v>13</v>
      </c>
      <c r="O7" s="6" t="n">
        <v>2</v>
      </c>
      <c r="P7" s="6" t="n">
        <v>3400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^Warhead_Flame_Medium</t>
        </is>
      </c>
    </row>
    <row r="8">
      <c r="A8" t="inlineStr">
        <is>
          <t>starcraft</t>
        </is>
      </c>
      <c r="B8" t="inlineStr">
        <is>
          <t>terran_ghost</t>
        </is>
      </c>
      <c r="C8" t="inlineStr">
        <is>
          <t>Ghost</t>
        </is>
      </c>
      <c r="D8" s="6" t="inlineStr">
        <is>
          <t>SniperInfantry</t>
        </is>
      </c>
      <c r="E8" s="6" t="n">
        <v>44000</v>
      </c>
      <c r="F8" s="6" t="n">
        <v>75</v>
      </c>
      <c r="G8" t="inlineStr">
        <is>
          <t>Flak</t>
        </is>
      </c>
      <c r="H8" s="6" t="n">
        <v>0.75</v>
      </c>
      <c r="I8" s="6" t="n">
        <v>0.75</v>
      </c>
      <c r="J8" s="6" t="n">
        <v>1</v>
      </c>
      <c r="K8" s="6" t="n">
        <v>0.0103</v>
      </c>
      <c r="P8">
        <f>MAX(P9,P10)</f>
        <v/>
      </c>
      <c r="S8">
        <f>S9+S10</f>
        <v/>
      </c>
      <c r="T8">
        <f>(E8/100000+F8/100+(P8/1000)*J8/5+S8/200)*200*I8*H8</f>
        <v/>
      </c>
      <c r="U8">
        <f>((E8*F8/25000)+((P8/1000)*J8*S8/2.5))*I8*H8</f>
        <v/>
      </c>
      <c r="V8">
        <f>(E8*F8*(P8/1000)*J8*S8*I8*H8)/12500000</f>
        <v/>
      </c>
      <c r="W8">
        <f>(((E8/15000)+(F8/50)+(S8/240)+((P8/6000)*J8))*200/4+(((E8/15000)*(F8/50))+(((P8/6000)*J8)*(S8/240)))*200/2+((E8/15000)*(F8/50)*((P8/6000)*J8)*(S8/240))*200)*(H8/1.0)/3</f>
        <v/>
      </c>
      <c r="X8" s="6" t="n">
        <v>1176</v>
      </c>
      <c r="Y8">
        <f>IFERROR(W8-X8,"")</f>
        <v/>
      </c>
      <c r="Z8">
        <f>IFERROR(ABS(Y8)/MAX(X8,1),"")</f>
        <v/>
      </c>
      <c r="AA8">
        <f>IFERROR(ROUND(((3*X8-(((E8/15000)+(F8/50)+(S8/240))*200/4+((E8/15000)*(F8/50))*200/2)*(H8/1.0))/(200/4+((S8/240))*200/2+((E8/15000)*(F8/50)*(S8/240))*200)*(H8/1.0)*6000)/J8,-1),"")</f>
        <v/>
      </c>
    </row>
    <row r="9">
      <c r="B9" s="7" t="inlineStr">
        <is>
          <t xml:space="preserve">  ↳ GhostSniperLockdown</t>
        </is>
      </c>
      <c r="C9" s="7" t="inlineStr">
        <is>
          <t>Armament@lockdown</t>
        </is>
      </c>
      <c r="L9" s="6" t="n">
        <v>124000</v>
      </c>
      <c r="M9" s="6" t="n">
        <v>22</v>
      </c>
      <c r="N9" s="6" t="n">
        <v>1</v>
      </c>
      <c r="O9" s="6" t="n"/>
      <c r="P9" s="6" t="n">
        <v>8428</v>
      </c>
      <c r="Q9" s="6" t="n">
        <v>1.25</v>
      </c>
      <c r="R9">
        <f>M9+IF(N9&gt;1,N(O9)*(N9-1),0)</f>
        <v/>
      </c>
      <c r="S9">
        <f>IFERROR(L9*MAX(N9,1)/R9*IF(ISBLANK(K8),1,K8),0)</f>
        <v/>
      </c>
      <c r="AB9" s="7" t="inlineStr">
        <is>
          <t>^Warhead_Tesla_Super, ^Warhead_CannonHE_Heavy</t>
        </is>
      </c>
    </row>
    <row r="10">
      <c r="B10" s="7" t="inlineStr">
        <is>
          <t xml:space="preserve">  ↳ GhostSniper</t>
        </is>
      </c>
      <c r="C10" s="7" t="inlineStr">
        <is>
          <t>Armament@PRIMARY</t>
        </is>
      </c>
      <c r="L10" s="6" t="n">
        <v>10000</v>
      </c>
      <c r="M10" s="6" t="n">
        <v>22</v>
      </c>
      <c r="N10" s="6" t="n">
        <v>1</v>
      </c>
      <c r="O10" s="6" t="n"/>
      <c r="P10" s="6" t="n">
        <v>8428</v>
      </c>
      <c r="Q10" s="6" t="n">
        <v>1.25</v>
      </c>
      <c r="R10">
        <f>M10+IF(N10&gt;1,N(O10)*(N10-1),0)</f>
        <v/>
      </c>
      <c r="S10">
        <f>IFERROR(L10*MAX(N10,1)/R10*IF(ISBLANK(K8),1,K8),0)</f>
        <v/>
      </c>
      <c r="AB10" s="7" t="inlineStr">
        <is>
          <t>^Warhead_CannonHE_Heavy</t>
        </is>
      </c>
    </row>
    <row r="11">
      <c r="B11" s="7" t="inlineStr">
        <is>
          <t xml:space="preserve">  ↳ GhostSniper</t>
        </is>
      </c>
      <c r="C11" s="7" t="inlineStr">
        <is>
          <t>Armament@GARRISONED</t>
        </is>
      </c>
      <c r="L11" s="6" t="n">
        <v>10000</v>
      </c>
      <c r="M11" s="6" t="n">
        <v>22</v>
      </c>
      <c r="N11" s="6" t="n">
        <v>1</v>
      </c>
      <c r="O11" s="6" t="n"/>
      <c r="P11" s="6" t="n">
        <v>8428</v>
      </c>
      <c r="Q11" s="6" t="n">
        <v>1.25</v>
      </c>
      <c r="R11">
        <f>M11+IF(N11&gt;1,N(O11)*(N11-1),0)</f>
        <v/>
      </c>
      <c r="S11">
        <f>IFERROR(L11*MAX(N11,1)/R11*IF(ISBLANK(K8),1,K8),0)</f>
        <v/>
      </c>
      <c r="AB11" s="7" t="inlineStr">
        <is>
          <t>^Warhead_CannonHE_Heavy</t>
        </is>
      </c>
    </row>
    <row r="12">
      <c r="A12" t="inlineStr">
        <is>
          <t>starcraft</t>
        </is>
      </c>
      <c r="B12" t="inlineStr">
        <is>
          <t>terran_harakan</t>
        </is>
      </c>
      <c r="C12" t="inlineStr">
        <is>
          <t>Harakan</t>
        </is>
      </c>
      <c r="D12" s="6" t="inlineStr">
        <is>
          <t>MeleeInfantry</t>
        </is>
      </c>
      <c r="E12" s="6" t="n">
        <v>78000</v>
      </c>
      <c r="F12" s="6" t="n">
        <v>56</v>
      </c>
      <c r="G12" t="inlineStr">
        <is>
          <t>Plate</t>
        </is>
      </c>
      <c r="H12" s="6" t="n">
        <v>1</v>
      </c>
      <c r="I12" s="6" t="n">
        <v>0.75</v>
      </c>
      <c r="J12" s="6" t="n">
        <v>1</v>
      </c>
      <c r="K12" s="6" t="n">
        <v>0.0025</v>
      </c>
      <c r="P12">
        <f>MAX(P13,P14)</f>
        <v/>
      </c>
      <c r="S12">
        <f>S13+S14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700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HarakanF</t>
        </is>
      </c>
      <c r="C13" s="7" t="inlineStr">
        <is>
          <t>Armament@1</t>
        </is>
      </c>
      <c r="L13" s="6" t="n">
        <v>4000</v>
      </c>
      <c r="M13" s="6" t="n">
        <v>47</v>
      </c>
      <c r="N13" s="6" t="n">
        <v>20</v>
      </c>
      <c r="O13" s="6" t="n">
        <v>2</v>
      </c>
      <c r="P13" s="6" t="n">
        <v>4185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^HeavyFlameWeapon, ^MediumFlameWeapon</t>
        </is>
      </c>
    </row>
    <row r="14">
      <c r="B14" s="7" t="inlineStr">
        <is>
          <t xml:space="preserve">  ↳ HarakanF</t>
        </is>
      </c>
      <c r="C14" s="7" t="inlineStr">
        <is>
          <t>Armament@2</t>
        </is>
      </c>
      <c r="L14" s="6" t="n">
        <v>4000</v>
      </c>
      <c r="M14" s="6" t="n">
        <v>47</v>
      </c>
      <c r="N14" s="6" t="n">
        <v>20</v>
      </c>
      <c r="O14" s="6" t="n">
        <v>2</v>
      </c>
      <c r="P14" s="6" t="n">
        <v>4185</v>
      </c>
      <c r="Q14" s="6" t="n">
        <v>1</v>
      </c>
      <c r="R14">
        <f>M14+IF(N14&gt;1,N(O14)*(N14-1),0)</f>
        <v/>
      </c>
      <c r="S14">
        <f>IFERROR(L14*MAX(N14,1)/R14*IF(ISBLANK(K12),1,K12),0)</f>
        <v/>
      </c>
      <c r="AB14" s="7" t="inlineStr">
        <is>
          <t>^HeavyFlameWeapon, ^MediumFlameWeapon</t>
        </is>
      </c>
    </row>
    <row r="15">
      <c r="B15" s="7" t="inlineStr">
        <is>
          <t xml:space="preserve">  ↳ HarakanF</t>
        </is>
      </c>
      <c r="C15" s="7" t="inlineStr">
        <is>
          <t>Armament@GARRISONED1</t>
        </is>
      </c>
      <c r="L15" s="6" t="n">
        <v>4000</v>
      </c>
      <c r="M15" s="6" t="n">
        <v>47</v>
      </c>
      <c r="N15" s="6" t="n">
        <v>20</v>
      </c>
      <c r="O15" s="6" t="n">
        <v>2</v>
      </c>
      <c r="P15" s="6" t="n">
        <v>4185</v>
      </c>
      <c r="Q15" s="6" t="n">
        <v>1</v>
      </c>
      <c r="R15">
        <f>M15+IF(N15&gt;1,N(O15)*(N15-1),0)</f>
        <v/>
      </c>
      <c r="S15">
        <f>IFERROR(L15*MAX(N15,1)/R15*IF(ISBLANK(K12),1,K12),0)</f>
        <v/>
      </c>
      <c r="AB15" s="7" t="inlineStr">
        <is>
          <t>^HeavyFlameWeapon, ^MediumFlameWeapon</t>
        </is>
      </c>
    </row>
    <row r="16">
      <c r="B16" s="7" t="inlineStr">
        <is>
          <t xml:space="preserve">  ↳ HarakanF</t>
        </is>
      </c>
      <c r="C16" s="7" t="inlineStr">
        <is>
          <t>Armament@GARRISONED2</t>
        </is>
      </c>
      <c r="L16" s="6" t="n">
        <v>4000</v>
      </c>
      <c r="M16" s="6" t="n">
        <v>47</v>
      </c>
      <c r="N16" s="6" t="n">
        <v>20</v>
      </c>
      <c r="O16" s="6" t="n">
        <v>2</v>
      </c>
      <c r="P16" s="6" t="n">
        <v>4185</v>
      </c>
      <c r="Q16" s="6" t="n">
        <v>1</v>
      </c>
      <c r="R16">
        <f>M16+IF(N16&gt;1,N(O16)*(N16-1),0)</f>
        <v/>
      </c>
      <c r="S16">
        <f>IFERROR(L16*MAX(N16,1)/R16*IF(ISBLANK(K12),1,K12),0)</f>
        <v/>
      </c>
      <c r="AB16" s="7" t="inlineStr">
        <is>
          <t>^HeavyFlameWeapon, ^MediumFlameWeapon</t>
        </is>
      </c>
    </row>
    <row r="17">
      <c r="A17" t="inlineStr">
        <is>
          <t>starcraft</t>
        </is>
      </c>
      <c r="B17" t="inlineStr">
        <is>
          <t>terran_jimraynor</t>
        </is>
      </c>
      <c r="C17" t="inlineStr">
        <is>
          <t>Jim Raynor</t>
        </is>
      </c>
      <c r="D17" s="6" t="inlineStr">
        <is>
          <t>HeroInfantry</t>
        </is>
      </c>
      <c r="E17" s="6" t="n">
        <v>200000</v>
      </c>
      <c r="F17" s="6" t="n">
        <v>65</v>
      </c>
      <c r="G17" t="inlineStr">
        <is>
          <t>Heroic</t>
        </is>
      </c>
      <c r="H17" s="6" t="n">
        <v>0.75</v>
      </c>
      <c r="I17" s="6" t="n">
        <v>1</v>
      </c>
      <c r="J17" s="6" t="n">
        <v>1</v>
      </c>
      <c r="K17" s="6" t="n"/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4000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JimRaynorMachineGun</t>
        </is>
      </c>
      <c r="C18" s="7" t="inlineStr">
        <is>
          <t>Armament@PRIMARY</t>
        </is>
      </c>
      <c r="L18" s="6" t="n">
        <v>4000</v>
      </c>
      <c r="M18" s="6" t="n">
        <v>12</v>
      </c>
      <c r="N18" s="6" t="n">
        <v>5</v>
      </c>
      <c r="O18" s="6" t="n">
        <v>2</v>
      </c>
      <c r="P18" s="6" t="n">
        <v>7446</v>
      </c>
      <c r="Q18" s="6" t="n">
        <v>1.25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^Warhead_MissileHE_Heavy, ^Warhead_CannonHE_Heavy</t>
        </is>
      </c>
    </row>
    <row r="19">
      <c r="B19" s="7" t="inlineStr">
        <is>
          <t xml:space="preserve">  ↳ JimRaynorMachineGun</t>
        </is>
      </c>
      <c r="C19" s="7" t="inlineStr">
        <is>
          <t>Armament@GARRISONED</t>
        </is>
      </c>
      <c r="L19" s="6" t="n">
        <v>4000</v>
      </c>
      <c r="M19" s="6" t="n">
        <v>12</v>
      </c>
      <c r="N19" s="6" t="n">
        <v>5</v>
      </c>
      <c r="O19" s="6" t="n">
        <v>2</v>
      </c>
      <c r="P19" s="6" t="n">
        <v>7446</v>
      </c>
      <c r="Q19" s="6" t="n">
        <v>1.25</v>
      </c>
      <c r="R19">
        <f>M19+IF(N19&gt;1,N(O19)*(N19-1),0)</f>
        <v/>
      </c>
      <c r="S19">
        <f>IFERROR(L19*MAX(N19,1)/R19*IF(ISBLANK(K17),1,K17),0)</f>
        <v/>
      </c>
      <c r="AB19" s="7" t="inlineStr">
        <is>
          <t>^Warhead_MissileHE_Heavy, ^Warhead_CannonHE_Heavy</t>
        </is>
      </c>
    </row>
    <row r="20">
      <c r="A20" t="inlineStr">
        <is>
          <t>starcraft</t>
        </is>
      </c>
      <c r="B20" t="inlineStr">
        <is>
          <t>terran_madcap</t>
        </is>
      </c>
      <c r="C20" t="inlineStr">
        <is>
          <t>Madcap</t>
        </is>
      </c>
      <c r="D20" s="6" t="inlineStr">
        <is>
          <t>AntiTankAntiAirInfantry</t>
        </is>
      </c>
      <c r="E20" s="6" t="n">
        <v>60000</v>
      </c>
      <c r="F20" s="6" t="n">
        <v>60</v>
      </c>
      <c r="G20" t="inlineStr">
        <is>
          <t>Flak</t>
        </is>
      </c>
      <c r="H20" s="6" t="n">
        <v>1</v>
      </c>
      <c r="I20" s="6" t="n">
        <v>0.5</v>
      </c>
      <c r="J20" s="6" t="n">
        <v>1.25</v>
      </c>
      <c r="K20" s="6" t="n">
        <v>0.0108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1003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MadcapGun</t>
        </is>
      </c>
      <c r="C21" s="7" t="inlineStr">
        <is>
          <t>Armament@PRIMARY</t>
        </is>
      </c>
      <c r="L21" s="6" t="n">
        <v>36000</v>
      </c>
      <c r="M21" s="6" t="n">
        <v>25</v>
      </c>
      <c r="N21" s="6" t="n">
        <v>1</v>
      </c>
      <c r="O21" s="6" t="n"/>
      <c r="P21" s="6" t="n">
        <v>5542</v>
      </c>
      <c r="Q21" s="6" t="n">
        <v>1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^Warhead_Bullet_Light, ^Warhead_Bullet_Medium, ^Warhead_CannonHE_Heavy</t>
        </is>
      </c>
    </row>
    <row r="22">
      <c r="B22" s="7" t="inlineStr">
        <is>
          <t xml:space="preserve">  ↳ MadcapGun</t>
        </is>
      </c>
      <c r="C22" s="7" t="inlineStr">
        <is>
          <t>Armament@GARRISONED</t>
        </is>
      </c>
      <c r="L22" s="6" t="n">
        <v>36000</v>
      </c>
      <c r="M22" s="6" t="n">
        <v>25</v>
      </c>
      <c r="N22" s="6" t="n">
        <v>1</v>
      </c>
      <c r="O22" s="6" t="n"/>
      <c r="P22" s="6" t="n">
        <v>5542</v>
      </c>
      <c r="Q22" s="6" t="n">
        <v>1</v>
      </c>
      <c r="R22">
        <f>M22+IF(N22&gt;1,N(O22)*(N22-1),0)</f>
        <v/>
      </c>
      <c r="S22">
        <f>IFERROR(L22*MAX(N22,1)/R22*IF(ISBLANK(K20),1,K20),0)</f>
        <v/>
      </c>
      <c r="AB22" s="7" t="inlineStr">
        <is>
          <t>^Warhead_Bullet_Light, ^Warhead_Bullet_Medium, ^Warhead_CannonHE_Heavy</t>
        </is>
      </c>
    </row>
    <row r="23">
      <c r="A23" t="inlineStr">
        <is>
          <t>starcraft</t>
        </is>
      </c>
      <c r="B23" t="inlineStr">
        <is>
          <t>terran_marauder</t>
        </is>
      </c>
      <c r="C23" t="inlineStr">
        <is>
          <t>Marauder</t>
        </is>
      </c>
      <c r="D23" s="6" t="inlineStr">
        <is>
          <t>HeavyInfantry</t>
        </is>
      </c>
      <c r="E23" s="6" t="n">
        <v>90000</v>
      </c>
      <c r="F23" s="6" t="n">
        <v>45</v>
      </c>
      <c r="G23" t="inlineStr">
        <is>
          <t>Plate</t>
        </is>
      </c>
      <c r="H23" s="6" t="n">
        <v>1</v>
      </c>
      <c r="I23" s="6" t="n">
        <v>0.8</v>
      </c>
      <c r="J23" s="6" t="n">
        <v>1</v>
      </c>
      <c r="K23" s="6" t="n"/>
      <c r="P23">
        <f>MAX(P24)</f>
        <v/>
      </c>
      <c r="S23">
        <f>S24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(((E23/50000)+(F23/50)+(S23/1000)+((P23/5000)*J23))*800/4+(((E23/50000)*(F23/50))+(((P23/5000)*J23)*(S23/1000)))*800/2+((E23/50000)*(F23/50)*((P23/5000)*J23)*(S23/1000))*800)*(H23/0.75)/3</f>
        <v/>
      </c>
      <c r="X23" s="6" t="n">
        <v>1000</v>
      </c>
      <c r="Y23">
        <f>IFERROR(W23-X23,"")</f>
        <v/>
      </c>
      <c r="Z23">
        <f>IFERROR(ABS(Y23)/MAX(X23,1),"")</f>
        <v/>
      </c>
      <c r="AA23">
        <f>IFERROR(ROUND(((3*X23-(((E23/50000)+(F23/50)+(S23/1000))*800/4+((E23/50000)*(F23/50))*800/2)*(H23/0.75))/(800/4+((S23/1000))*800/2+((E23/50000)*(F23/50)*(S23/1000))*800)*(H23/0.75)*5000)/J23,-1),"")</f>
        <v/>
      </c>
    </row>
    <row r="24">
      <c r="B24" s="7" t="inlineStr">
        <is>
          <t xml:space="preserve">  ↳ MarauderMissiles</t>
        </is>
      </c>
      <c r="C24" s="7" t="inlineStr">
        <is>
          <t>Armament@1</t>
        </is>
      </c>
      <c r="L24" s="6" t="n">
        <v>30000</v>
      </c>
      <c r="M24" s="6" t="n">
        <v>60</v>
      </c>
      <c r="N24" s="6" t="n">
        <v>1</v>
      </c>
      <c r="O24" s="6" t="n"/>
      <c r="P24" s="6" t="n">
        <v>7010</v>
      </c>
      <c r="Q24" s="6" t="n">
        <v>1.25</v>
      </c>
      <c r="R24">
        <f>M24+IF(N24&gt;1,N(O24)*(N24-1),0)</f>
        <v/>
      </c>
      <c r="S24">
        <f>IFERROR(L24*MAX(N24,1)/R24*IF(ISBLANK(K23),1,K23),0)</f>
        <v/>
      </c>
      <c r="AB24" s="7" t="inlineStr">
        <is>
          <t>^Warhead_CannonHE_Heavy</t>
        </is>
      </c>
    </row>
    <row r="25">
      <c r="B25" s="7" t="inlineStr">
        <is>
          <t xml:space="preserve">  ↳ MarauderMissiles</t>
        </is>
      </c>
      <c r="C25" s="7" t="inlineStr">
        <is>
          <t>Armament@GARRISONED1</t>
        </is>
      </c>
      <c r="L25" s="6" t="n">
        <v>30000</v>
      </c>
      <c r="M25" s="6" t="n">
        <v>60</v>
      </c>
      <c r="N25" s="6" t="n">
        <v>1</v>
      </c>
      <c r="O25" s="6" t="n"/>
      <c r="P25" s="6" t="n">
        <v>7010</v>
      </c>
      <c r="Q25" s="6" t="n">
        <v>1.25</v>
      </c>
      <c r="R25">
        <f>M25+IF(N25&gt;1,N(O25)*(N25-1),0)</f>
        <v/>
      </c>
      <c r="S25">
        <f>IFERROR(L25*MAX(N25,1)/R25*IF(ISBLANK(K23),1,K23),0)</f>
        <v/>
      </c>
      <c r="AB25" s="7" t="inlineStr">
        <is>
          <t>^Warhead_CannonHE_Heavy</t>
        </is>
      </c>
    </row>
    <row r="26">
      <c r="A26" t="inlineStr">
        <is>
          <t>starcraft</t>
        </is>
      </c>
      <c r="B26" t="inlineStr">
        <is>
          <t>terran_marine</t>
        </is>
      </c>
      <c r="C26" t="inlineStr">
        <is>
          <t>Marine</t>
        </is>
      </c>
      <c r="D26" s="6" t="inlineStr">
        <is>
          <t>AntiTankAntiAirInfantry</t>
        </is>
      </c>
      <c r="E26" s="6" t="n">
        <v>41000</v>
      </c>
      <c r="F26" s="6" t="n">
        <v>61</v>
      </c>
      <c r="G26" t="inlineStr">
        <is>
          <t>Flak</t>
        </is>
      </c>
      <c r="H26" s="6" t="n">
        <v>1</v>
      </c>
      <c r="I26" s="6" t="n">
        <v>1</v>
      </c>
      <c r="J26" s="6" t="n">
        <v>1</v>
      </c>
      <c r="K26" s="6" t="n">
        <v>0.0031</v>
      </c>
      <c r="P26">
        <f>MAX(P27)</f>
        <v/>
      </c>
      <c r="S26">
        <f>S27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689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MarineMG</t>
        </is>
      </c>
      <c r="C27" s="7" t="inlineStr">
        <is>
          <t>Armament@PRIMARY</t>
        </is>
      </c>
      <c r="L27" s="6" t="n">
        <v>36000</v>
      </c>
      <c r="M27" s="6" t="n">
        <v>26</v>
      </c>
      <c r="N27" s="6" t="n">
        <v>3</v>
      </c>
      <c r="O27" s="6" t="n">
        <v>2</v>
      </c>
      <c r="P27" s="6" t="n">
        <v>6105</v>
      </c>
      <c r="Q27" s="6" t="n">
        <v>1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^Warhead_Bullet_Light, ^Warhead_Bullet_Medium, ^Warhead_CannonHE_Heavy</t>
        </is>
      </c>
    </row>
    <row r="28">
      <c r="B28" s="7" t="inlineStr">
        <is>
          <t xml:space="preserve">  ↳ MarineMG</t>
        </is>
      </c>
      <c r="C28" s="7" t="inlineStr">
        <is>
          <t>Armament@GARRISONED</t>
        </is>
      </c>
      <c r="L28" s="6" t="n">
        <v>36000</v>
      </c>
      <c r="M28" s="6" t="n">
        <v>26</v>
      </c>
      <c r="N28" s="6" t="n">
        <v>3</v>
      </c>
      <c r="O28" s="6" t="n">
        <v>2</v>
      </c>
      <c r="P28" s="6" t="n">
        <v>6105</v>
      </c>
      <c r="Q28" s="6" t="n">
        <v>1</v>
      </c>
      <c r="R28">
        <f>M28+IF(N28&gt;1,N(O28)*(N28-1),0)</f>
        <v/>
      </c>
      <c r="S28">
        <f>IFERROR(L28*MAX(N28,1)/R28*IF(ISBLANK(K26),1,K26),0)</f>
        <v/>
      </c>
      <c r="AB28" s="7" t="inlineStr">
        <is>
          <t>^Warhead_Bullet_Light, ^Warhead_Bullet_Medium, ^Warhead_CannonHE_Heavy</t>
        </is>
      </c>
    </row>
    <row r="29">
      <c r="A29" t="inlineStr">
        <is>
          <t>starcraft</t>
        </is>
      </c>
      <c r="B29" t="inlineStr">
        <is>
          <t>terran_medic</t>
        </is>
      </c>
      <c r="C29" t="inlineStr">
        <is>
          <t>Medic</t>
        </is>
      </c>
      <c r="D29" s="6" t="inlineStr">
        <is>
          <t>Medic</t>
        </is>
      </c>
      <c r="E29" s="6" t="n">
        <v>60000</v>
      </c>
      <c r="F29" s="6" t="n">
        <v>60</v>
      </c>
      <c r="G29" t="inlineStr">
        <is>
          <t>None</t>
        </is>
      </c>
      <c r="H29" s="6" t="n">
        <v>1</v>
      </c>
      <c r="I29" s="6" t="n">
        <v>1</v>
      </c>
      <c r="J29" s="6" t="n">
        <v>1</v>
      </c>
      <c r="K29" s="6" t="n"/>
      <c r="P29">
        <f>MAX(P30,P31)</f>
        <v/>
      </c>
      <c r="S29">
        <f>S30+S31</f>
        <v/>
      </c>
      <c r="T29">
        <f>(E29/100000+F29/100+(P29/1000)*J29/5+S29/200)*200*I29*H29</f>
        <v/>
      </c>
      <c r="U29">
        <f>((E29*F29/25000)+((P29/1000)*J29*S29/2.5))*I29*H29</f>
        <v/>
      </c>
      <c r="V29">
        <f>(E29*F29*(P29/1000)*J29*S29*I29*H29)/12500000</f>
        <v/>
      </c>
      <c r="W29">
        <f>(((E29/5000)+(F29/50)+(S29/0)+((P29/0)*J29))*500/4+(((E29/5000)*(F29/50))+(((P29/0)*J29)*(S29/0)))*500/2+((E29/5000)*(F29/50)*((P29/0)*J29)*(S29/0))*500)*(H29/1.0)/3</f>
        <v/>
      </c>
      <c r="X29" s="6" t="n">
        <v>600</v>
      </c>
      <c r="Y29">
        <f>IFERROR(W29-X29,"")</f>
        <v/>
      </c>
      <c r="Z29">
        <f>IFERROR(ABS(Y29)/MAX(X29,1),"")</f>
        <v/>
      </c>
      <c r="AA29">
        <f>IFERROR(ROUND(((3*X29-(((E29/5000)+(F29/50)+(S29/0))*500/4+((E29/5000)*(F29/50))*500/2)*(H29/1.0))/(500/4+((S29/0))*500/2+((E29/5000)*(F29/50)*(S29/0))*500)*(H29/1.0)*0)/J29,-1),"")</f>
        <v/>
      </c>
    </row>
    <row r="30">
      <c r="B30" s="7" t="inlineStr">
        <is>
          <t xml:space="preserve">  ↳ MedicFlare</t>
        </is>
      </c>
      <c r="C30" s="7" t="inlineStr">
        <is>
          <t>Armament@Flare</t>
        </is>
      </c>
      <c r="L30" s="6" t="n">
        <v>7000</v>
      </c>
      <c r="M30" s="6" t="n">
        <v>60</v>
      </c>
      <c r="N30" s="6" t="n">
        <v>1</v>
      </c>
      <c r="O30" s="6" t="n"/>
      <c r="P30" s="6" t="n">
        <v>6000</v>
      </c>
      <c r="Q30" s="6" t="n">
        <v>1</v>
      </c>
      <c r="R30">
        <f>M30+IF(N30&gt;1,N(O30)*(N30-1),0)</f>
        <v/>
      </c>
      <c r="S30">
        <f>IFERROR(L30*MAX(N30,1)/R30*IF(ISBLANK(K29),1,K29),0)</f>
        <v/>
      </c>
      <c r="AB30" s="7" t="inlineStr">
        <is>
          <t>^LightFlameWeapon, ^FlakWeapon, ^LaserWeapon</t>
        </is>
      </c>
    </row>
    <row r="31">
      <c r="B31" s="7" t="inlineStr">
        <is>
          <t xml:space="preserve">  ↳ MedicHeal</t>
        </is>
      </c>
      <c r="C31" s="7" t="inlineStr">
        <is>
          <t>Armament@Heal</t>
        </is>
      </c>
      <c r="L31" s="6" t="n">
        <v>-3000</v>
      </c>
      <c r="M31" s="6" t="n">
        <v>10</v>
      </c>
      <c r="N31" s="6" t="n">
        <v>1</v>
      </c>
      <c r="O31" s="6" t="n"/>
      <c r="P31" s="6" t="n">
        <v>6000</v>
      </c>
      <c r="Q31" s="6" t="n">
        <v>1</v>
      </c>
      <c r="R31">
        <f>M31+IF(N31&gt;1,N(O31)*(N31-1),0)</f>
        <v/>
      </c>
      <c r="S31">
        <f>IFERROR(L31*MAX(N31,1)/R31*IF(ISBLANK(K29),1,K29),0)</f>
        <v/>
      </c>
      <c r="AB31" s="7" t="inlineStr">
        <is>
          <t>^HealingWeapon</t>
        </is>
      </c>
    </row>
    <row r="32">
      <c r="B32" s="7" t="inlineStr">
        <is>
          <t xml:space="preserve">  ↳ MedicFlare</t>
        </is>
      </c>
      <c r="C32" s="7" t="inlineStr">
        <is>
          <t>Armament@FlareGARRISONED</t>
        </is>
      </c>
      <c r="L32" s="6" t="n">
        <v>7000</v>
      </c>
      <c r="M32" s="6" t="n">
        <v>60</v>
      </c>
      <c r="N32" s="6" t="n">
        <v>1</v>
      </c>
      <c r="O32" s="6" t="n"/>
      <c r="P32" s="6" t="n">
        <v>6000</v>
      </c>
      <c r="Q32" s="6" t="n">
        <v>1</v>
      </c>
      <c r="R32">
        <f>M32+IF(N32&gt;1,N(O32)*(N32-1),0)</f>
        <v/>
      </c>
      <c r="S32">
        <f>IFERROR(L32*MAX(N32,1)/R32*IF(ISBLANK(K29),1,K29),0)</f>
        <v/>
      </c>
      <c r="AB32" s="7" t="inlineStr">
        <is>
          <t>^LightFlameWeapon, ^FlakWeapon, ^LaserWeapon</t>
        </is>
      </c>
    </row>
    <row r="33">
      <c r="A33" t="inlineStr">
        <is>
          <t>starcraft</t>
        </is>
      </c>
      <c r="B33" t="inlineStr">
        <is>
          <t>terran_reaper</t>
        </is>
      </c>
      <c r="C33" t="inlineStr">
        <is>
          <t>Reaper</t>
        </is>
      </c>
      <c r="D33" s="6" t="inlineStr">
        <is>
          <t>SniperInfantry</t>
        </is>
      </c>
      <c r="E33" s="6" t="n">
        <v>60000</v>
      </c>
      <c r="F33" s="6" t="n">
        <v>120</v>
      </c>
      <c r="G33" t="inlineStr">
        <is>
          <t>Flak</t>
        </is>
      </c>
      <c r="H33" s="6" t="n">
        <v>1</v>
      </c>
      <c r="I33" s="6" t="n">
        <v>0.5</v>
      </c>
      <c r="J33" s="6" t="n">
        <v>2</v>
      </c>
      <c r="K33" s="6" t="n"/>
      <c r="P33">
        <f>MAX(P34,P35,P36)</f>
        <v/>
      </c>
      <c r="S33">
        <f>S34+S35+S36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(T33+U33+V33)/3</f>
        <v/>
      </c>
      <c r="X33" s="6" t="n">
        <v>600</v>
      </c>
      <c r="Y33">
        <f>IFERROR(W33-X33,"")</f>
        <v/>
      </c>
      <c r="Z33">
        <f>IFERROR(ABS(Y33)/MAX(X33,1),"")</f>
        <v/>
      </c>
      <c r="AA33">
        <f>IFERROR((X33-(((E33/100000+F33/100+S33/200)*200*I33*H33)+((E33*F33/25000)*I33*H33))/3)/(((J33/5)*200*I33*H33)+((J33*S33/2.5)*I33*H33)+((E33*F33*J33*S33*I33*H33)/12500000))/3*1000,"")</f>
        <v/>
      </c>
    </row>
    <row r="34">
      <c r="B34" s="7" t="inlineStr">
        <is>
          <t xml:space="preserve">  ↳ ReaperPistols</t>
        </is>
      </c>
      <c r="C34" s="7" t="inlineStr">
        <is>
          <t>Armament@PRIMARY</t>
        </is>
      </c>
      <c r="L34" s="6" t="n">
        <v>4000</v>
      </c>
      <c r="M34" s="6" t="n">
        <v>22</v>
      </c>
      <c r="N34" s="6" t="n">
        <v>1</v>
      </c>
      <c r="O34" s="6" t="n"/>
      <c r="P34" s="6" t="n">
        <v>4375</v>
      </c>
      <c r="Q34" s="6" t="n">
        <v>0.75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^Warhead_Sniper_Light</t>
        </is>
      </c>
    </row>
    <row r="35">
      <c r="B35" s="7" t="inlineStr">
        <is>
          <t xml:space="preserve">  ↳ ReaperPistols</t>
        </is>
      </c>
      <c r="C35" s="7" t="inlineStr">
        <is>
          <t>Armament@SECONDARY</t>
        </is>
      </c>
      <c r="L35" s="6" t="n">
        <v>4000</v>
      </c>
      <c r="M35" s="6" t="n">
        <v>22</v>
      </c>
      <c r="N35" s="6" t="n">
        <v>1</v>
      </c>
      <c r="O35" s="6" t="n"/>
      <c r="P35" s="6" t="n">
        <v>4375</v>
      </c>
      <c r="Q35" s="6" t="n">
        <v>0.75</v>
      </c>
      <c r="R35">
        <f>M35+IF(N35&gt;1,N(O35)*(N35-1),0)</f>
        <v/>
      </c>
      <c r="S35">
        <f>IFERROR(L35*MAX(N35,1)/R35*IF(ISBLANK(K33),1,K33),0)</f>
        <v/>
      </c>
      <c r="AB35" s="7" t="inlineStr">
        <is>
          <t>^Warhead_Sniper_Light</t>
        </is>
      </c>
    </row>
    <row r="36">
      <c r="B36" s="7" t="inlineStr">
        <is>
          <t xml:space="preserve">  ↳ ReaperGrenade</t>
        </is>
      </c>
      <c r="C36" s="7" t="inlineStr">
        <is>
          <t>Armament@Grenade</t>
        </is>
      </c>
      <c r="L36" s="6" t="n">
        <v>12000</v>
      </c>
      <c r="M36" s="6" t="n">
        <v>45</v>
      </c>
      <c r="N36" s="6" t="n">
        <v>1</v>
      </c>
      <c r="O36" s="6" t="n"/>
      <c r="P36" s="6" t="n">
        <v>4375</v>
      </c>
      <c r="Q36" s="6" t="n">
        <v>1</v>
      </c>
      <c r="R36">
        <f>M36+IF(N36&gt;1,N(O36)*(N36-1),0)</f>
        <v/>
      </c>
      <c r="S36">
        <f>IFERROR(L36*MAX(N36,1)/R36*IF(ISBLANK(K33),1,K33),0)</f>
        <v/>
      </c>
      <c r="AB36" s="7" t="inlineStr">
        <is>
          <t>^Warhead_Demolition_Light, ^Warhead_Concussion_Medium, ^Warhead_CannonHE_Heavy</t>
        </is>
      </c>
    </row>
    <row r="37">
      <c r="B37" s="7" t="inlineStr">
        <is>
          <t xml:space="preserve">  ↳ ReaperPistols</t>
        </is>
      </c>
      <c r="C37" s="7" t="inlineStr">
        <is>
          <t>Armament@GARRISONED1</t>
        </is>
      </c>
      <c r="L37" s="6" t="n">
        <v>4000</v>
      </c>
      <c r="M37" s="6" t="n">
        <v>22</v>
      </c>
      <c r="N37" s="6" t="n">
        <v>1</v>
      </c>
      <c r="O37" s="6" t="n"/>
      <c r="P37" s="6" t="n">
        <v>4375</v>
      </c>
      <c r="Q37" s="6" t="n">
        <v>0.75</v>
      </c>
      <c r="R37">
        <f>M37+IF(N37&gt;1,N(O37)*(N37-1),0)</f>
        <v/>
      </c>
      <c r="S37">
        <f>IFERROR(L37*MAX(N37,1)/R37*IF(ISBLANK(K33),1,K33),0)</f>
        <v/>
      </c>
      <c r="AB37" s="7" t="inlineStr">
        <is>
          <t>^Warhead_Sniper_Light</t>
        </is>
      </c>
    </row>
    <row r="38">
      <c r="B38" s="7" t="inlineStr">
        <is>
          <t xml:space="preserve">  ↳ ReaperPistols</t>
        </is>
      </c>
      <c r="C38" s="7" t="inlineStr">
        <is>
          <t>Armament@GARRISONED2</t>
        </is>
      </c>
      <c r="L38" s="6" t="n">
        <v>4000</v>
      </c>
      <c r="M38" s="6" t="n">
        <v>22</v>
      </c>
      <c r="N38" s="6" t="n">
        <v>1</v>
      </c>
      <c r="O38" s="6" t="n"/>
      <c r="P38" s="6" t="n">
        <v>4375</v>
      </c>
      <c r="Q38" s="6" t="n">
        <v>0.75</v>
      </c>
      <c r="R38">
        <f>M38+IF(N38&gt;1,N(O38)*(N38-1),0)</f>
        <v/>
      </c>
      <c r="S38">
        <f>IFERROR(L38*MAX(N38,1)/R38*IF(ISBLANK(K33),1,K33),0)</f>
        <v/>
      </c>
      <c r="AB38" s="7" t="inlineStr">
        <is>
          <t>^Warhead_Sniper_Light</t>
        </is>
      </c>
    </row>
    <row r="39">
      <c r="B39" s="7" t="inlineStr">
        <is>
          <t xml:space="preserve">  ↳ ReaperGrenade</t>
        </is>
      </c>
      <c r="C39" s="7" t="inlineStr">
        <is>
          <t>Armament@GARRISONEDGrenade</t>
        </is>
      </c>
      <c r="L39" s="6" t="n">
        <v>12000</v>
      </c>
      <c r="M39" s="6" t="n">
        <v>45</v>
      </c>
      <c r="N39" s="6" t="n">
        <v>1</v>
      </c>
      <c r="O39" s="6" t="n"/>
      <c r="P39" s="6" t="n">
        <v>4375</v>
      </c>
      <c r="Q39" s="6" t="n">
        <v>1</v>
      </c>
      <c r="R39">
        <f>M39+IF(N39&gt;1,N(O39)*(N39-1),0)</f>
        <v/>
      </c>
      <c r="S39">
        <f>IFERROR(L39*MAX(N39,1)/R39*IF(ISBLANK(K33),1,K33),0)</f>
        <v/>
      </c>
      <c r="AB39" s="7" t="inlineStr">
        <is>
          <t>^Warhead_Demolition_Light, ^Warhead_Concussion_Medium, ^Warhead_CannonHE_Heavy</t>
        </is>
      </c>
    </row>
    <row r="40">
      <c r="A40" t="inlineStr">
        <is>
          <t>starcraft</t>
        </is>
      </c>
      <c r="B40" t="inlineStr">
        <is>
          <t>terran_specter</t>
        </is>
      </c>
      <c r="C40" t="inlineStr">
        <is>
          <t>Specter</t>
        </is>
      </c>
      <c r="D40" s="6" t="inlineStr">
        <is>
          <t>SniperInfantry</t>
        </is>
      </c>
      <c r="E40" s="6" t="n">
        <v>50000</v>
      </c>
      <c r="F40" s="6" t="n">
        <v>80</v>
      </c>
      <c r="G40" t="inlineStr">
        <is>
          <t>Flak</t>
        </is>
      </c>
      <c r="H40" s="6" t="n">
        <v>0.75</v>
      </c>
      <c r="I40" s="6" t="n">
        <v>0.75</v>
      </c>
      <c r="J40" s="6" t="n">
        <v>1</v>
      </c>
      <c r="K40" s="6" t="n">
        <v>0.0106</v>
      </c>
      <c r="P40">
        <f>MAX(P41,P42)</f>
        <v/>
      </c>
      <c r="S40">
        <f>S41+S42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(((E40/15000)+(F40/50)+(S40/240)+((P40/6000)*J40))*200/4+(((E40/15000)*(F40/50))+(((P40/6000)*J40)*(S40/240)))*200/2+((E40/15000)*(F40/50)*((P40/6000)*J40)*(S40/240))*200)*(H40/1.0)/3</f>
        <v/>
      </c>
      <c r="X40" s="6" t="n">
        <v>1744</v>
      </c>
      <c r="Y40">
        <f>IFERROR(W40-X40,"")</f>
        <v/>
      </c>
      <c r="Z40">
        <f>IFERROR(ABS(Y40)/MAX(X40,1),"")</f>
        <v/>
      </c>
      <c r="AA40">
        <f>IFERROR(ROUND(((3*X40-(((E40/15000)+(F40/50)+(S40/240))*200/4+((E40/15000)*(F40/50))*200/2)*(H40/1.0))/(200/4+((S40/240))*200/2+((E40/15000)*(F40/50)*(S40/240))*200)*(H40/1.0)*6000)/J40,-1),"")</f>
        <v/>
      </c>
    </row>
    <row r="41">
      <c r="B41" s="7" t="inlineStr">
        <is>
          <t xml:space="preserve">  ↳ SpecterSniperLockdown</t>
        </is>
      </c>
      <c r="C41" s="7" t="inlineStr">
        <is>
          <t>Armament@lockdown</t>
        </is>
      </c>
      <c r="L41" s="6" t="n">
        <v>248000</v>
      </c>
      <c r="M41" s="6" t="n">
        <v>33</v>
      </c>
      <c r="N41" s="6" t="n">
        <v>1</v>
      </c>
      <c r="O41" s="6" t="n"/>
      <c r="P41" s="6" t="n">
        <v>7922</v>
      </c>
      <c r="Q41" s="6" t="n">
        <v>1.25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^Warhead_Tesla_Super, ^Warhead_CannonHE_Heavy</t>
        </is>
      </c>
    </row>
    <row r="42">
      <c r="B42" s="7" t="inlineStr">
        <is>
          <t xml:space="preserve">  ↳ SpecterSniper</t>
        </is>
      </c>
      <c r="C42" s="7" t="inlineStr">
        <is>
          <t>Armament@PRIMARY</t>
        </is>
      </c>
      <c r="L42" s="6" t="n">
        <v>20000</v>
      </c>
      <c r="M42" s="6" t="n">
        <v>33</v>
      </c>
      <c r="N42" s="6" t="n">
        <v>1</v>
      </c>
      <c r="O42" s="6" t="n"/>
      <c r="P42" s="6" t="n">
        <v>7922</v>
      </c>
      <c r="Q42" s="6" t="n">
        <v>1.25</v>
      </c>
      <c r="R42">
        <f>M42+IF(N42&gt;1,N(O42)*(N42-1),0)</f>
        <v/>
      </c>
      <c r="S42">
        <f>IFERROR(L42*MAX(N42,1)/R42*IF(ISBLANK(K40),1,K40),0)</f>
        <v/>
      </c>
      <c r="AB42" s="7" t="inlineStr">
        <is>
          <t>^Warhead_CannonHE_Heavy</t>
        </is>
      </c>
    </row>
    <row r="43">
      <c r="B43" s="7" t="inlineStr">
        <is>
          <t xml:space="preserve">  ↳ SpecterSniper</t>
        </is>
      </c>
      <c r="C43" s="7" t="inlineStr">
        <is>
          <t>Armament@GARRISONED</t>
        </is>
      </c>
      <c r="L43" s="6" t="n">
        <v>20000</v>
      </c>
      <c r="M43" s="6" t="n">
        <v>33</v>
      </c>
      <c r="N43" s="6" t="n">
        <v>1</v>
      </c>
      <c r="O43" s="6" t="n"/>
      <c r="P43" s="6" t="n">
        <v>7922</v>
      </c>
      <c r="Q43" s="6" t="n">
        <v>1.25</v>
      </c>
      <c r="R43">
        <f>M43+IF(N43&gt;1,N(O43)*(N43-1),0)</f>
        <v/>
      </c>
      <c r="S43">
        <f>IFERROR(L43*MAX(N43,1)/R43*IF(ISBLANK(K40),1,K40),0)</f>
        <v/>
      </c>
      <c r="AB43" s="7" t="inlineStr">
        <is>
          <t>^Warhead_CannonHE_Heavy</t>
        </is>
      </c>
    </row>
    <row r="44">
      <c r="A44" s="4" t="inlineStr">
        <is>
          <t>VEHICLES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>
      <c r="A45" t="inlineStr">
        <is>
          <t>starcraft</t>
        </is>
      </c>
      <c r="B45" t="inlineStr">
        <is>
          <t>terran_cyclone</t>
        </is>
      </c>
      <c r="C45" t="inlineStr">
        <is>
          <t>Cyclone</t>
        </is>
      </c>
      <c r="D45" s="6" t="inlineStr">
        <is>
          <t>MissileVehicle</t>
        </is>
      </c>
      <c r="E45" s="6" t="n">
        <v>90000</v>
      </c>
      <c r="F45" s="6" t="n">
        <v>115</v>
      </c>
      <c r="G45" t="inlineStr">
        <is>
          <t>Light</t>
        </is>
      </c>
      <c r="H45" s="6" t="n">
        <v>1</v>
      </c>
      <c r="I45" s="6" t="n">
        <v>1</v>
      </c>
      <c r="J45" s="6" t="n">
        <v>1.25</v>
      </c>
      <c r="K45" s="6" t="n"/>
      <c r="P45">
        <f>MAX(P46,P47)</f>
        <v/>
      </c>
      <c r="S45">
        <f>S46+S47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(((E45/160000)+(F45/100)+(S45/1200)+((P45/8000)*J45))*1200/4+(((E45/160000)*(F45/100))+(((P45/8000)*J45)*(S45/1200)))*1200/2+((E45/160000)*(F45/100)*((P45/8000)*J45)*(S45/1200))*1200)*(H45/1.0)/3</f>
        <v/>
      </c>
      <c r="X45" s="6" t="n">
        <v>2300</v>
      </c>
      <c r="Y45">
        <f>IFERROR(W45-X45,"")</f>
        <v/>
      </c>
      <c r="Z45">
        <f>IFERROR(ABS(Y45)/MAX(X45,1),"")</f>
        <v/>
      </c>
      <c r="AA45">
        <f>IFERROR(ROUND(((3*X45-(((E45/160000)+(F45/100)+(S45/1200))*1200/4+((E45/160000)*(F45/100))*1200/2)*(H45/1.0))/(1200/4+((S45/1200))*1200/2+((E45/160000)*(F45/100)*(S45/1200))*1200)*(H45/1.0)*8000)/J45,-1),"")</f>
        <v/>
      </c>
    </row>
    <row r="46">
      <c r="B46" s="7" t="inlineStr">
        <is>
          <t xml:space="preserve">  ↳ CycloneRockets</t>
        </is>
      </c>
      <c r="C46" s="7" t="inlineStr">
        <is>
          <t>Armament</t>
        </is>
      </c>
      <c r="L46" s="6" t="n">
        <v>4000</v>
      </c>
      <c r="M46" s="6" t="n">
        <v>35</v>
      </c>
      <c r="N46" s="6" t="n">
        <v>6</v>
      </c>
      <c r="O46" s="6" t="n">
        <v>2</v>
      </c>
      <c r="P46" s="6" t="n">
        <v>7320</v>
      </c>
      <c r="Q46" s="6" t="n">
        <v>0.875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^Warhead_MissileHE_Medium, ^Warhead_MissileHE_Light</t>
        </is>
      </c>
    </row>
    <row r="47">
      <c r="B47" s="7" t="inlineStr">
        <is>
          <t xml:space="preserve">  ↳ CycloneRocketsLockOn</t>
        </is>
      </c>
      <c r="C47" s="7" t="inlineStr">
        <is>
          <t>Armament@lockedon</t>
        </is>
      </c>
      <c r="L47" s="6" t="n">
        <v>4000</v>
      </c>
      <c r="M47" s="6" t="n">
        <v>35</v>
      </c>
      <c r="N47" s="6" t="n">
        <v>6</v>
      </c>
      <c r="O47" s="6" t="n">
        <v>2</v>
      </c>
      <c r="P47" s="6" t="n">
        <v>10000</v>
      </c>
      <c r="Q47" s="6" t="n">
        <v>0.875</v>
      </c>
      <c r="R47">
        <f>M47+IF(N47&gt;1,N(O47)*(N47-1),0)</f>
        <v/>
      </c>
      <c r="S47">
        <f>IFERROR(L47*MAX(N47,1)/R47*IF(ISBLANK(K45),1,K45),0)</f>
        <v/>
      </c>
      <c r="AB47" s="7" t="inlineStr">
        <is>
          <t>^Warhead_MissileHE_Medium, ^Warhead_MissileHE_Light</t>
        </is>
      </c>
    </row>
    <row r="48">
      <c r="A48" t="inlineStr">
        <is>
          <t>starcraft</t>
        </is>
      </c>
      <c r="B48" t="inlineStr">
        <is>
          <t>terran_goliath</t>
        </is>
      </c>
      <c r="C48" t="inlineStr">
        <is>
          <t>Goliath</t>
        </is>
      </c>
      <c r="D48" s="6" t="inlineStr">
        <is>
          <t>HighTechTank</t>
        </is>
      </c>
      <c r="E48" s="6" t="n">
        <v>125000</v>
      </c>
      <c r="F48" s="6" t="n">
        <v>90</v>
      </c>
      <c r="G48" t="inlineStr">
        <is>
          <t>Superheavy</t>
        </is>
      </c>
      <c r="H48" s="6" t="n">
        <v>0.75</v>
      </c>
      <c r="I48" s="6" t="n">
        <v>1</v>
      </c>
      <c r="J48" s="6" t="n">
        <v>1</v>
      </c>
      <c r="K48" s="6" t="n">
        <v>0.0033</v>
      </c>
      <c r="P48">
        <f>MAX(P49,P50,P51,P52)</f>
        <v/>
      </c>
      <c r="S48">
        <f>S49+S50+S51+S52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(((E48/700000)+(F48/65)+(S48/2000)+((P48/6500)*J48))*2000/4+(((E48/700000)*(F48/65))+(((P48/6500)*J48)*(S48/2000)))*2000/2+((E48/700000)*(F48/65)*((P48/6500)*J48)*(S48/2000))*2000)*(H48/0.75)/3</f>
        <v/>
      </c>
      <c r="X48" s="6" t="n">
        <v>1600</v>
      </c>
      <c r="Y48">
        <f>IFERROR(W48-X48,"")</f>
        <v/>
      </c>
      <c r="Z48">
        <f>IFERROR(ABS(Y48)/MAX(X48,1),"")</f>
        <v/>
      </c>
      <c r="AA48">
        <f>IFERROR(ROUND(((3*X48-(((E48/700000)+(F48/65)+(S48/2000))*2000/4+((E48/700000)*(F48/65))*2000/2)*(H48/0.75))/(2000/4+((S48/2000))*2000/2+((E48/700000)*(F48/65)*(S48/2000))*2000)*(H48/0.75)*6500)/J48,-1),"")</f>
        <v/>
      </c>
    </row>
    <row r="49">
      <c r="B49" s="7" t="inlineStr">
        <is>
          <t xml:space="preserve">  ↳ GoliathMG</t>
        </is>
      </c>
      <c r="C49" s="7" t="inlineStr">
        <is>
          <t>Armament@G1</t>
        </is>
      </c>
      <c r="L49" s="6" t="n">
        <v>6000</v>
      </c>
      <c r="M49" s="6" t="n">
        <v>16</v>
      </c>
      <c r="N49" s="6" t="n">
        <v>3</v>
      </c>
      <c r="O49" s="6" t="n">
        <v>2</v>
      </c>
      <c r="P49" s="6" t="n">
        <v>6000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^Warhead_Concussion_Light, ^Warhead_CannonHE_Heavy, ^Warhead_Bullet_Medium</t>
        </is>
      </c>
    </row>
    <row r="50">
      <c r="B50" s="7" t="inlineStr">
        <is>
          <t xml:space="preserve">  ↳ GoliathMG</t>
        </is>
      </c>
      <c r="C50" s="7" t="inlineStr">
        <is>
          <t>Armament@G2</t>
        </is>
      </c>
      <c r="L50" s="6" t="n">
        <v>6000</v>
      </c>
      <c r="M50" s="6" t="n">
        <v>16</v>
      </c>
      <c r="N50" s="6" t="n">
        <v>3</v>
      </c>
      <c r="O50" s="6" t="n">
        <v>2</v>
      </c>
      <c r="P50" s="6" t="n">
        <v>6000</v>
      </c>
      <c r="Q50" s="6" t="n">
        <v>1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^Warhead_Concussion_Light, ^Warhead_CannonHE_Heavy, ^Warhead_Bullet_Medium</t>
        </is>
      </c>
    </row>
    <row r="51">
      <c r="B51" s="7" t="inlineStr">
        <is>
          <t xml:space="preserve">  ↳ GoliathRockets_AA</t>
        </is>
      </c>
      <c r="C51" s="7" t="inlineStr">
        <is>
          <t>Armament@A1</t>
        </is>
      </c>
      <c r="L51" s="6" t="n">
        <v>30000</v>
      </c>
      <c r="M51" s="6" t="n">
        <v>33</v>
      </c>
      <c r="N51" s="6" t="n">
        <v>1</v>
      </c>
      <c r="O51" s="6" t="n"/>
      <c r="P51" s="6" t="n">
        <v>6000</v>
      </c>
      <c r="Q51" s="6" t="n">
        <v>1.25</v>
      </c>
      <c r="R51">
        <f>M51+IF(N51&gt;1,N(O51)*(N51-1),0)</f>
        <v/>
      </c>
      <c r="S51">
        <f>IFERROR(L51*MAX(N51,1)/R51*IF(ISBLANK(K48),1,K48),0)</f>
        <v/>
      </c>
      <c r="AB51" s="7" t="inlineStr">
        <is>
          <t>^Warhead_MissileAP_Heavy</t>
        </is>
      </c>
    </row>
    <row r="52">
      <c r="B52" s="7" t="inlineStr">
        <is>
          <t xml:space="preserve">  ↳ GoliathRockets_AA</t>
        </is>
      </c>
      <c r="C52" s="7" t="inlineStr">
        <is>
          <t>Armament@A2</t>
        </is>
      </c>
      <c r="L52" s="6" t="n">
        <v>30000</v>
      </c>
      <c r="M52" s="6" t="n">
        <v>33</v>
      </c>
      <c r="N52" s="6" t="n">
        <v>1</v>
      </c>
      <c r="O52" s="6" t="n"/>
      <c r="P52" s="6" t="n">
        <v>6000</v>
      </c>
      <c r="Q52" s="6" t="n">
        <v>1.25</v>
      </c>
      <c r="R52">
        <f>M52+IF(N52&gt;1,N(O52)*(N52-1),0)</f>
        <v/>
      </c>
      <c r="S52">
        <f>IFERROR(L52*MAX(N52,1)/R52*IF(ISBLANK(K48),1,K48),0)</f>
        <v/>
      </c>
      <c r="AB52" s="7" t="inlineStr">
        <is>
          <t>^Warhead_MissileAP_Heavy</t>
        </is>
      </c>
    </row>
    <row r="53">
      <c r="A53" t="inlineStr">
        <is>
          <t>starcraft</t>
        </is>
      </c>
      <c r="B53" t="inlineStr">
        <is>
          <t>terran_goliathmk2</t>
        </is>
      </c>
      <c r="C53" t="inlineStr">
        <is>
          <t>Goliath Mk2</t>
        </is>
      </c>
      <c r="D53" s="6" t="inlineStr">
        <is>
          <t>HighTechTank</t>
        </is>
      </c>
      <c r="E53" s="6" t="n">
        <v>175000</v>
      </c>
      <c r="F53" s="6" t="n">
        <v>75</v>
      </c>
      <c r="G53" t="inlineStr">
        <is>
          <t>Superheavy</t>
        </is>
      </c>
      <c r="H53" s="6" t="n">
        <v>0.75</v>
      </c>
      <c r="I53" s="6" t="n">
        <v>1</v>
      </c>
      <c r="J53" s="6" t="n">
        <v>1</v>
      </c>
      <c r="K53" s="6" t="n">
        <v>0.0025</v>
      </c>
      <c r="P53">
        <f>MAX(P54,P55,P56,P57)</f>
        <v/>
      </c>
      <c r="S53">
        <f>S54+S55+S56+S57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(((E53/700000)+(F53/65)+(S53/2000)+((P53/6500)*J53))*2000/4+(((E53/700000)*(F53/65))+(((P53/6500)*J53)*(S53/2000)))*2000/2+((E53/700000)*(F53/65)*((P53/6500)*J53)*(S53/2000))*2000)*(H53/0.75)/3</f>
        <v/>
      </c>
      <c r="X53" s="6" t="n">
        <v>2400</v>
      </c>
      <c r="Y53">
        <f>IFERROR(W53-X53,"")</f>
        <v/>
      </c>
      <c r="Z53">
        <f>IFERROR(ABS(Y53)/MAX(X53,1),"")</f>
        <v/>
      </c>
      <c r="AA53">
        <f>IFERROR(ROUND(((3*X53-(((E53/700000)+(F53/65)+(S53/2000))*2000/4+((E53/700000)*(F53/65))*2000/2)*(H53/0.75))/(2000/4+((S53/2000))*2000/2+((E53/700000)*(F53/65)*(S53/2000))*2000)*(H53/0.75)*6500)/J53,-1),"")</f>
        <v/>
      </c>
    </row>
    <row r="54">
      <c r="B54" s="7" t="inlineStr">
        <is>
          <t xml:space="preserve">  ↳ GoliathMk2MG</t>
        </is>
      </c>
      <c r="C54" s="7" t="inlineStr">
        <is>
          <t>Armament@G1</t>
        </is>
      </c>
      <c r="L54" s="6" t="n">
        <v>8000</v>
      </c>
      <c r="M54" s="6" t="n">
        <v>34</v>
      </c>
      <c r="N54" s="6" t="n">
        <v>4</v>
      </c>
      <c r="O54" s="6" t="n">
        <v>2</v>
      </c>
      <c r="P54" s="6" t="n">
        <v>6479</v>
      </c>
      <c r="Q54" s="6" t="n">
        <v>1.125</v>
      </c>
      <c r="R54">
        <f>M54+IF(N54&gt;1,N(O54)*(N54-1),0)</f>
        <v/>
      </c>
      <c r="S54">
        <f>IFERROR(L54*MAX(N54,1)/R54*IF(ISBLANK(K53),1,K53),0)</f>
        <v/>
      </c>
      <c r="AB54" s="7" t="inlineStr">
        <is>
          <t>^Warhead_CannonHE_Heavy, ^Warhead_Bullet_Medium</t>
        </is>
      </c>
    </row>
    <row r="55">
      <c r="B55" s="7" t="inlineStr">
        <is>
          <t xml:space="preserve">  ↳ GoliathMk2MG</t>
        </is>
      </c>
      <c r="C55" s="7" t="inlineStr">
        <is>
          <t>Armament@G2</t>
        </is>
      </c>
      <c r="L55" s="6" t="n">
        <v>8000</v>
      </c>
      <c r="M55" s="6" t="n">
        <v>34</v>
      </c>
      <c r="N55" s="6" t="n">
        <v>4</v>
      </c>
      <c r="O55" s="6" t="n">
        <v>2</v>
      </c>
      <c r="P55" s="6" t="n">
        <v>6479</v>
      </c>
      <c r="Q55" s="6" t="n">
        <v>1.125</v>
      </c>
      <c r="R55">
        <f>M55+IF(N55&gt;1,N(O55)*(N55-1),0)</f>
        <v/>
      </c>
      <c r="S55">
        <f>IFERROR(L55*MAX(N55,1)/R55*IF(ISBLANK(K53),1,K53),0)</f>
        <v/>
      </c>
      <c r="AB55" s="7" t="inlineStr">
        <is>
          <t>^Warhead_CannonHE_Heavy, ^Warhead_Bullet_Medium</t>
        </is>
      </c>
    </row>
    <row r="56">
      <c r="B56" s="7" t="inlineStr">
        <is>
          <t xml:space="preserve">  ↳ GoliathMk2Rockets</t>
        </is>
      </c>
      <c r="C56" s="7" t="inlineStr">
        <is>
          <t>Armament@A1</t>
        </is>
      </c>
      <c r="L56" s="6" t="n">
        <v>32000</v>
      </c>
      <c r="M56" s="6" t="n">
        <v>40</v>
      </c>
      <c r="N56" s="6" t="n">
        <v>1</v>
      </c>
      <c r="O56" s="6" t="n"/>
      <c r="P56" s="6" t="n">
        <v>6479</v>
      </c>
      <c r="Q56" s="6" t="n">
        <v>1.25</v>
      </c>
      <c r="R56">
        <f>M56+IF(N56&gt;1,N(O56)*(N56-1),0)</f>
        <v/>
      </c>
      <c r="S56">
        <f>IFERROR(L56*MAX(N56,1)/R56*IF(ISBLANK(K53),1,K53),0)</f>
        <v/>
      </c>
      <c r="AB56" s="7" t="inlineStr">
        <is>
          <t>^Warhead_MissileAP_Heavy</t>
        </is>
      </c>
    </row>
    <row r="57">
      <c r="B57" s="7" t="inlineStr">
        <is>
          <t xml:space="preserve">  ↳ GoliathMk2Rockets</t>
        </is>
      </c>
      <c r="C57" s="7" t="inlineStr">
        <is>
          <t>Armament@A2</t>
        </is>
      </c>
      <c r="L57" s="6" t="n">
        <v>32000</v>
      </c>
      <c r="M57" s="6" t="n">
        <v>40</v>
      </c>
      <c r="N57" s="6" t="n">
        <v>1</v>
      </c>
      <c r="O57" s="6" t="n"/>
      <c r="P57" s="6" t="n">
        <v>6479</v>
      </c>
      <c r="Q57" s="6" t="n">
        <v>1.25</v>
      </c>
      <c r="R57">
        <f>M57+IF(N57&gt;1,N(O57)*(N57-1),0)</f>
        <v/>
      </c>
      <c r="S57">
        <f>IFERROR(L57*MAX(N57,1)/R57*IF(ISBLANK(K53),1,K53),0)</f>
        <v/>
      </c>
      <c r="AB57" s="7" t="inlineStr">
        <is>
          <t>^Warhead_MissileAP_Heavy</t>
        </is>
      </c>
    </row>
    <row r="58">
      <c r="A58" t="inlineStr">
        <is>
          <t>starcraft</t>
        </is>
      </c>
      <c r="B58" t="inlineStr">
        <is>
          <t>terran_matador</t>
        </is>
      </c>
      <c r="C58" t="inlineStr">
        <is>
          <t>Matador</t>
        </is>
      </c>
      <c r="D58" s="6" t="inlineStr">
        <is>
          <t>MainBattleTank</t>
        </is>
      </c>
      <c r="E58" s="6" t="n">
        <v>100000</v>
      </c>
      <c r="F58" s="6" t="n">
        <v>100</v>
      </c>
      <c r="G58" t="inlineStr">
        <is>
          <t>Medium</t>
        </is>
      </c>
      <c r="H58" s="6" t="n">
        <v>1</v>
      </c>
      <c r="I58" s="6" t="n">
        <v>1</v>
      </c>
      <c r="J58" s="6" t="n">
        <v>1</v>
      </c>
      <c r="K58" s="6" t="n"/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(((E58/240000)+(F58/95)+(S58/600)+((P58/5500)*J58))*800/4+(((E58/240000)*(F58/95))+(((P58/5500)*J58)*(S58/600)))*800/2+((E58/240000)*(F58/95)*((P58/5500)*J58)*(S58/600))*800)*(H58/1.0)/3</f>
        <v/>
      </c>
      <c r="X58" s="6" t="n">
        <v>1700</v>
      </c>
      <c r="Y58">
        <f>IFERROR(W58-X58,"")</f>
        <v/>
      </c>
      <c r="Z58">
        <f>IFERROR(ABS(Y58)/MAX(X58,1),"")</f>
        <v/>
      </c>
      <c r="AA58">
        <f>IFERROR(ROUND(((3*X58-(((E58/240000)+(F58/95)+(S58/600))*800/4+((E58/240000)*(F58/95))*800/2)*(H58/1.0))/(800/4+((S58/600))*800/2+((E58/240000)*(F58/95)*(S58/600))*800)*(H58/1.0)*5500)/J58,-1),"")</f>
        <v/>
      </c>
    </row>
    <row r="59">
      <c r="B59" s="7" t="inlineStr">
        <is>
          <t xml:space="preserve">  ↳ MatadorFlamer</t>
        </is>
      </c>
      <c r="C59" s="7" t="inlineStr">
        <is>
          <t>Armament</t>
        </is>
      </c>
      <c r="L59" s="6" t="n">
        <v>6000</v>
      </c>
      <c r="M59" s="6" t="n">
        <v>18</v>
      </c>
      <c r="N59" s="6" t="n">
        <v>13</v>
      </c>
      <c r="O59" s="6" t="n">
        <v>2</v>
      </c>
      <c r="P59" s="6" t="n">
        <v>5938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^Warhead_Flame_Light, ^Warhead_Flame_Medium, ^Warhead_Flame_Heavy</t>
        </is>
      </c>
    </row>
    <row r="60">
      <c r="B60" s="7" t="inlineStr">
        <is>
          <t xml:space="preserve">  ↳ MatadorLaser</t>
        </is>
      </c>
      <c r="C60" s="7" t="inlineStr">
        <is>
          <t>Armament@DEPLOYED</t>
        </is>
      </c>
      <c r="L60" s="6" t="n">
        <v>32000</v>
      </c>
      <c r="M60" s="6" t="n">
        <v>39</v>
      </c>
      <c r="N60" s="6" t="n">
        <v>1</v>
      </c>
      <c r="O60" s="6" t="n"/>
      <c r="P60" s="6" t="n">
        <v>6590</v>
      </c>
      <c r="Q60" s="6" t="n">
        <v>1.25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^Warhead_Laser_Heavy</t>
        </is>
      </c>
    </row>
    <row r="61">
      <c r="A61" t="inlineStr">
        <is>
          <t>starcraft</t>
        </is>
      </c>
      <c r="B61" t="inlineStr">
        <is>
          <t>terran_mobilecommandcenter</t>
        </is>
      </c>
      <c r="C61" t="inlineStr">
        <is>
          <t>Terran Mobile Command Center</t>
        </is>
      </c>
      <c r="D61" s="6" t="inlineStr">
        <is>
          <t>SupportVehicle</t>
        </is>
      </c>
      <c r="E61" s="6" t="n">
        <v>300000</v>
      </c>
      <c r="F61" s="6" t="n">
        <v>75</v>
      </c>
      <c r="G61" t="inlineStr">
        <is>
          <t>Medium</t>
        </is>
      </c>
      <c r="H61" s="6" t="n">
        <v>1</v>
      </c>
      <c r="I61" s="6" t="n">
        <v>1</v>
      </c>
      <c r="J61" s="6" t="n">
        <v>1</v>
      </c>
      <c r="K61" s="6" t="n"/>
      <c r="X61" s="6" t="n">
        <v>5000</v>
      </c>
    </row>
    <row r="62">
      <c r="A62" t="inlineStr">
        <is>
          <t>starcraft</t>
        </is>
      </c>
      <c r="B62" t="inlineStr">
        <is>
          <t>terran_scv</t>
        </is>
      </c>
      <c r="C62" t="inlineStr">
        <is>
          <t>SCV</t>
        </is>
      </c>
      <c r="D62" s="6" t="inlineStr">
        <is>
          <t>Harvester</t>
        </is>
      </c>
      <c r="E62" s="6" t="n">
        <v>45000</v>
      </c>
      <c r="F62" s="6" t="n">
        <v>100</v>
      </c>
      <c r="G62" t="inlineStr">
        <is>
          <t>Light</t>
        </is>
      </c>
      <c r="H62" s="6" t="n">
        <v>1</v>
      </c>
      <c r="I62" s="6" t="n">
        <v>1</v>
      </c>
      <c r="J62" s="6" t="n">
        <v>1</v>
      </c>
      <c r="K62" s="6" t="n"/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SCVAttack</t>
        </is>
      </c>
      <c r="C63" s="7" t="inlineStr">
        <is>
          <t>Armament</t>
        </is>
      </c>
      <c r="L63" s="6" t="n">
        <v>10000</v>
      </c>
      <c r="M63" s="6" t="n">
        <v>25</v>
      </c>
      <c r="N63" s="6" t="n">
        <v>1</v>
      </c>
      <c r="O63" s="6" t="n"/>
      <c r="P63" s="6" t="n">
        <v>1500</v>
      </c>
      <c r="Q63" s="6" t="n">
        <v>1</v>
      </c>
      <c r="R63">
        <f>M63+IF(N63&gt;1,N(O63)*(N63-1),0)</f>
        <v/>
      </c>
      <c r="S63">
        <f>IFERROR(L63*MAX(N63,1)/R63*IF(ISBLANK(K62),1,K62),0)</f>
        <v/>
      </c>
      <c r="AB63" s="7" t="inlineStr">
        <is>
          <t>^Warhead_Melee_Medium</t>
        </is>
      </c>
    </row>
    <row r="64">
      <c r="B64" s="7" t="inlineStr">
        <is>
          <t xml:space="preserve">  ↳ SCVRepair</t>
        </is>
      </c>
      <c r="C64" s="7" t="inlineStr">
        <is>
          <t>Armament@repair</t>
        </is>
      </c>
      <c r="L64" s="6" t="n">
        <v>-3000</v>
      </c>
      <c r="M64" s="6" t="n">
        <v>5</v>
      </c>
      <c r="N64" s="6" t="n">
        <v>10</v>
      </c>
      <c r="O64" s="6" t="n">
        <v>1</v>
      </c>
      <c r="P64" s="6" t="n">
        <v>2000</v>
      </c>
      <c r="Q64" s="6" t="n">
        <v>1</v>
      </c>
      <c r="R64">
        <f>M64+IF(N64&gt;1,N(O64)*(N64-1),0)</f>
        <v/>
      </c>
      <c r="S64">
        <f>IFERROR(L64*MAX(N64,1)/R64*IF(ISBLANK(K62),1,K62),0)</f>
        <v/>
      </c>
      <c r="AB64" s="7" t="inlineStr">
        <is>
          <t>^RepairWeapon</t>
        </is>
      </c>
    </row>
    <row r="65">
      <c r="A65" t="inlineStr">
        <is>
          <t>starcraft</t>
        </is>
      </c>
      <c r="B65" t="inlineStr">
        <is>
          <t>terran_siegetank</t>
        </is>
      </c>
      <c r="C65" t="inlineStr">
        <is>
          <t>Siege Tank</t>
        </is>
      </c>
      <c r="D65" s="6" t="inlineStr">
        <is>
          <t>ArtilleryTank</t>
        </is>
      </c>
      <c r="E65" s="6" t="n">
        <v>150000</v>
      </c>
      <c r="F65" s="6" t="n">
        <v>75</v>
      </c>
      <c r="G65" t="inlineStr">
        <is>
          <t>Heavy</t>
        </is>
      </c>
      <c r="H65" s="6" t="n">
        <v>1</v>
      </c>
      <c r="I65" s="6" t="n">
        <v>1</v>
      </c>
      <c r="J65" s="6" t="n">
        <v>1</v>
      </c>
      <c r="K65" s="6" t="n"/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(((E65/140000)+(F65/85)+(S65/525)+((P65/12000)*J65))*700/4+(((E65/140000)*(F65/85))+(((P65/12000)*J65)*(S65/525)))*700/2+((E65/140000)*(F65/85)*((P65/12000)*J65)*(S65/525))*700)*(H65/1.0)/3</f>
        <v/>
      </c>
      <c r="X65" s="6" t="n">
        <v>2800</v>
      </c>
      <c r="Y65">
        <f>IFERROR(W65-X65,"")</f>
        <v/>
      </c>
      <c r="Z65">
        <f>IFERROR(ABS(Y65)/MAX(X65,1),"")</f>
        <v/>
      </c>
      <c r="AA65">
        <f>IFERROR(ROUND(((3*X65-(((E65/140000)+(F65/85)+(S65/525))*700/4+((E65/140000)*(F65/85))*700/2)*(H65/1.0))/(700/4+((S65/525))*700/2+((E65/140000)*(F65/85)*(S65/525))*700)*(H65/1.0)*12000)/J65,-1),"")</f>
        <v/>
      </c>
    </row>
    <row r="66">
      <c r="B66" s="7" t="inlineStr">
        <is>
          <t xml:space="preserve">  ↳ SiegeTankCannon</t>
        </is>
      </c>
      <c r="C66" s="7" t="inlineStr">
        <is>
          <t>Armament</t>
        </is>
      </c>
      <c r="L66" s="6" t="n">
        <v>30000</v>
      </c>
      <c r="M66" s="6" t="n">
        <v>37</v>
      </c>
      <c r="N66" s="6" t="n">
        <v>1</v>
      </c>
      <c r="O66" s="6" t="n"/>
      <c r="P66" s="6" t="n">
        <v>6114</v>
      </c>
      <c r="Q66" s="6" t="n">
        <v>1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^Warhead_CannonHE_Heavy, ^Warhead_CannonHE_Medium, ^Warhead_CannonAP_Light</t>
        </is>
      </c>
    </row>
    <row r="67">
      <c r="B67" s="7" t="inlineStr">
        <is>
          <t xml:space="preserve">  ↳ SiegeTankSiegeCannon</t>
        </is>
      </c>
      <c r="C67" s="7" t="inlineStr">
        <is>
          <t>Armament@DEPLOYED</t>
        </is>
      </c>
      <c r="L67" s="6" t="n">
        <v>140000</v>
      </c>
      <c r="M67" s="6" t="n">
        <v>148</v>
      </c>
      <c r="N67" s="6" t="n">
        <v>1</v>
      </c>
      <c r="O67" s="6" t="n"/>
      <c r="P67" s="6" t="n">
        <v>11775</v>
      </c>
      <c r="Q67" s="6" t="n">
        <v>1</v>
      </c>
      <c r="R67">
        <f>M67+IF(N67&gt;1,N(O67)*(N67-1),0)</f>
        <v/>
      </c>
      <c r="S67">
        <f>IFERROR(L67*MAX(N67,1)/R67*IF(ISBLANK(K65),1,K65),0)</f>
        <v/>
      </c>
      <c r="AB67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8">
      <c r="A68" t="inlineStr">
        <is>
          <t>starcraft</t>
        </is>
      </c>
      <c r="B68" t="inlineStr">
        <is>
          <t>terran_vulture</t>
        </is>
      </c>
      <c r="C68" t="inlineStr">
        <is>
          <t>Vulture</t>
        </is>
      </c>
      <c r="D68" s="6" t="inlineStr">
        <is>
          <t>LightTank</t>
        </is>
      </c>
      <c r="E68" s="6" t="n">
        <v>75000</v>
      </c>
      <c r="F68" s="6" t="n">
        <v>125</v>
      </c>
      <c r="G68" t="inlineStr">
        <is>
          <t>Medium</t>
        </is>
      </c>
      <c r="H68" s="6" t="n">
        <v>1</v>
      </c>
      <c r="I68" s="6" t="n">
        <v>0.5</v>
      </c>
      <c r="J68" s="6" t="n">
        <v>1</v>
      </c>
      <c r="K68" s="6" t="n"/>
      <c r="P68">
        <f>MAX(P69)</f>
        <v/>
      </c>
      <c r="S68">
        <f>S69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(((E68/100000)+(F68/125)+(S68/200)+((P68/5000)*J68))*400/4+(((E68/100000)*(F68/125))+(((P68/5000)*J68)*(S68/200)))*400/2+((E68/100000)*(F68/125)*((P68/5000)*J68)*(S68/200))*400)*(H68/1.0)/3</f>
        <v/>
      </c>
      <c r="X68" s="6" t="n">
        <v>900</v>
      </c>
      <c r="Y68">
        <f>IFERROR(W68-X68,"")</f>
        <v/>
      </c>
      <c r="Z68">
        <f>IFERROR(ABS(Y68)/MAX(X68,1),"")</f>
        <v/>
      </c>
      <c r="AA68">
        <f>IFERROR(ROUND(((3*X68-(((E68/100000)+(F68/125)+(S68/200))*400/4+((E68/100000)*(F68/125))*400/2)*(H68/1.0))/(400/4+((S68/200))*400/2+((E68/100000)*(F68/125)*(S68/200))*400)*(H68/1.0)*5000)/J68,-1),"")</f>
        <v/>
      </c>
    </row>
    <row r="69">
      <c r="B69" s="7" t="inlineStr">
        <is>
          <t xml:space="preserve">  ↳ VultureGrenade</t>
        </is>
      </c>
      <c r="C69" s="7" t="inlineStr">
        <is>
          <t>Armament</t>
        </is>
      </c>
      <c r="L69" s="6" t="n">
        <v>20000</v>
      </c>
      <c r="M69" s="6" t="n">
        <v>25</v>
      </c>
      <c r="N69" s="6" t="n">
        <v>1</v>
      </c>
      <c r="O69" s="6" t="n"/>
      <c r="P69" s="6" t="n">
        <v>4800</v>
      </c>
      <c r="Q69" s="6" t="n">
        <v>1</v>
      </c>
      <c r="R69">
        <f>M69+IF(N69&gt;1,N(O69)*(N69-1),0)</f>
        <v/>
      </c>
      <c r="S69">
        <f>IFERROR(L69*MAX(N69,1)/R69*IF(ISBLANK(K68),1,K68),0)</f>
        <v/>
      </c>
      <c r="AB69" s="7" t="inlineStr">
        <is>
          <t>^Warhead_CannonHE_Medium</t>
        </is>
      </c>
    </row>
    <row r="70">
      <c r="A70" t="inlineStr">
        <is>
          <t>starcraft</t>
        </is>
      </c>
      <c r="B70" t="inlineStr">
        <is>
          <t>terran_warhound</t>
        </is>
      </c>
      <c r="C70" t="inlineStr">
        <is>
          <t>Warhound</t>
        </is>
      </c>
      <c r="D70" s="6" t="inlineStr">
        <is>
          <t>Dreadnought</t>
        </is>
      </c>
      <c r="E70" s="6" t="n">
        <v>300000</v>
      </c>
      <c r="F70" s="6" t="n">
        <v>45</v>
      </c>
      <c r="G70" t="inlineStr">
        <is>
          <t>Superheavy</t>
        </is>
      </c>
      <c r="H70" s="6" t="n">
        <v>0.75</v>
      </c>
      <c r="I70" s="6" t="n">
        <v>1</v>
      </c>
      <c r="J70" s="6" t="n">
        <v>1</v>
      </c>
      <c r="K70" s="6" t="n"/>
      <c r="P70">
        <f>MAX(P71,P72)</f>
        <v/>
      </c>
      <c r="S70">
        <f>S71+S72</f>
        <v/>
      </c>
      <c r="T70">
        <f>(E70/100000+F70/100+(P70/1000)*J70/5+S70/200)*200*I70*H70</f>
        <v/>
      </c>
      <c r="U70">
        <f>((E70*F70/25000)+((P70/1000)*J70*S70/2.5))*I70*H70</f>
        <v/>
      </c>
      <c r="V70">
        <f>(E70*F70*(P70/1000)*J70*S70*I70*H70)/12500000</f>
        <v/>
      </c>
      <c r="W70">
        <f>(((E70/1150000)+(F70/50)+(S70/3750)+((P70/7000)*J70))*3000/4+(((E70/1150000)*(F70/50))+(((P70/7000)*J70)*(S70/3750)))*3000/2+((E70/1150000)*(F70/50)*((P70/7000)*J70)*(S70/3750))*3000)*(H70/0.75)/3</f>
        <v/>
      </c>
      <c r="X70" s="6" t="n">
        <v>4500</v>
      </c>
      <c r="Y70">
        <f>IFERROR(W70-X70,"")</f>
        <v/>
      </c>
      <c r="Z70">
        <f>IFERROR(ABS(Y70)/MAX(X70,1),"")</f>
        <v/>
      </c>
      <c r="AA70">
        <f>IFERROR(ROUND(((3*X70-(((E70/1150000)+(F70/50)+(S70/3750))*3000/4+((E70/1150000)*(F70/50))*3000/2)*(H70/0.75))/(3000/4+((S70/3750))*3000/2+((E70/1150000)*(F70/50)*(S70/3750))*3000)*(H70/0.75)*7000)/J70,-1),"")</f>
        <v/>
      </c>
    </row>
    <row r="71">
      <c r="B71" s="7" t="inlineStr">
        <is>
          <t xml:space="preserve">  ↳ SCTyr</t>
        </is>
      </c>
      <c r="C71" s="7" t="inlineStr">
        <is>
          <t>Armament@Cannon</t>
        </is>
      </c>
      <c r="L71" s="6" t="n">
        <v>16000</v>
      </c>
      <c r="M71" s="6" t="n">
        <v>44</v>
      </c>
      <c r="N71" s="6" t="n">
        <v>2</v>
      </c>
      <c r="O71" s="6" t="n">
        <v>0</v>
      </c>
      <c r="P71" s="6" t="n">
        <v>7156</v>
      </c>
      <c r="Q71" s="6" t="n">
        <v>1.25</v>
      </c>
      <c r="R71">
        <f>M71+IF(N71&gt;1,N(O71)*(N71-1),0)</f>
        <v/>
      </c>
      <c r="S71">
        <f>IFERROR(L71*MAX(N71,1)/R71*IF(ISBLANK(K70),1,K70),0)</f>
        <v/>
      </c>
      <c r="AB71" s="7" t="inlineStr">
        <is>
          <t>^Warhead_CannonHE_Heavy</t>
        </is>
      </c>
    </row>
    <row r="72">
      <c r="B72" s="7" t="inlineStr">
        <is>
          <t xml:space="preserve">  ↳ SCTyrAA</t>
        </is>
      </c>
      <c r="C72" s="7" t="inlineStr">
        <is>
          <t>Armament@Rockets</t>
        </is>
      </c>
      <c r="L72" s="6" t="n">
        <v>16000</v>
      </c>
      <c r="M72" s="6" t="n">
        <v>84</v>
      </c>
      <c r="N72" s="6" t="n">
        <v>4</v>
      </c>
      <c r="O72" s="6" t="n">
        <v>2</v>
      </c>
      <c r="P72" s="6" t="n">
        <v>7156</v>
      </c>
      <c r="Q72" s="6" t="n">
        <v>1</v>
      </c>
      <c r="R72">
        <f>M72+IF(N72&gt;1,N(O72)*(N72-1),0)</f>
        <v/>
      </c>
      <c r="S72">
        <f>IFERROR(L72*MAX(N72,1)/R72*IF(ISBLANK(K70),1,K70),0)</f>
        <v/>
      </c>
      <c r="AB72" s="7" t="inlineStr">
        <is>
          <t>^Warhead_MissileAP_Medium</t>
        </is>
      </c>
    </row>
    <row r="73">
      <c r="A73" s="4" t="inlineStr">
        <is>
          <t>AIRCRAFT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t="inlineStr">
        <is>
          <t>starcraft</t>
        </is>
      </c>
      <c r="B74" t="inlineStr">
        <is>
          <t>terran_battlecruiser</t>
        </is>
      </c>
      <c r="C74" t="inlineStr">
        <is>
          <t>Battlecruiser</t>
        </is>
      </c>
      <c r="D74" s="6" t="inlineStr">
        <is>
          <t>Spaceship</t>
        </is>
      </c>
      <c r="E74" s="6" t="n">
        <v>500000</v>
      </c>
      <c r="F74" s="6" t="n">
        <v>30</v>
      </c>
      <c r="G74" t="inlineStr">
        <is>
          <t>Spaceship</t>
        </is>
      </c>
      <c r="H74" s="6" t="n">
        <v>0.75</v>
      </c>
      <c r="I74" s="6" t="n">
        <v>1</v>
      </c>
      <c r="J74" s="6" t="n">
        <v>1</v>
      </c>
      <c r="K74" s="6" t="n"/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4000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BCLaser</t>
        </is>
      </c>
      <c r="C75" s="7" t="inlineStr">
        <is>
          <t>Armament</t>
        </is>
      </c>
      <c r="L75" s="6" t="n">
        <v>36000</v>
      </c>
      <c r="M75" s="6" t="n">
        <v>38</v>
      </c>
      <c r="N75" s="6" t="n">
        <v>1</v>
      </c>
      <c r="O75" s="6" t="n"/>
      <c r="P75" s="6" t="n">
        <v>6800</v>
      </c>
      <c r="Q75" s="6" t="n">
        <v>1.25</v>
      </c>
      <c r="R75">
        <f>M75+IF(N75&gt;1,N(O75)*(N75-1),0)</f>
        <v/>
      </c>
      <c r="S75">
        <f>IFERROR(L75*MAX(N75,1)/R75*IF(ISBLANK(K74),1,K74),0)</f>
        <v/>
      </c>
      <c r="AB75" s="7" t="inlineStr">
        <is>
          <t>^Warhead_CannonHE_Heavy</t>
        </is>
      </c>
    </row>
    <row r="76">
      <c r="B76" s="7" t="inlineStr">
        <is>
          <t xml:space="preserve">  ↳ BCYamatoCannon</t>
        </is>
      </c>
      <c r="C76" s="7" t="inlineStr">
        <is>
          <t>Armament@Yamato</t>
        </is>
      </c>
      <c r="L76" s="6" t="n">
        <v>144000</v>
      </c>
      <c r="M76" s="6" t="n">
        <v>38</v>
      </c>
      <c r="N76" s="6" t="n">
        <v>1</v>
      </c>
      <c r="O76" s="6" t="n"/>
      <c r="P76" s="6" t="n">
        <v>6800</v>
      </c>
      <c r="Q76" s="6" t="n">
        <v>1.25</v>
      </c>
      <c r="R76">
        <f>M76+IF(N76&gt;1,N(O76)*(N76-1),0)</f>
        <v/>
      </c>
      <c r="S76">
        <f>IFERROR(L76*MAX(N76,1)/R76*IF(ISBLANK(K74),1,K74),0)</f>
        <v/>
      </c>
      <c r="AB76" s="7" t="inlineStr">
        <is>
          <t>^Warhead_CannonHE_Heavy</t>
        </is>
      </c>
    </row>
    <row r="77">
      <c r="A77" t="inlineStr">
        <is>
          <t>starcraft</t>
        </is>
      </c>
      <c r="B77" t="inlineStr">
        <is>
          <t>terran_dropship</t>
        </is>
      </c>
      <c r="C77" t="inlineStr">
        <is>
          <t>Dropship</t>
        </is>
      </c>
      <c r="D77" s="6" t="inlineStr">
        <is>
          <t>UnarmedTransportHelicopter</t>
        </is>
      </c>
      <c r="E77" s="6" t="n">
        <v>125000</v>
      </c>
      <c r="F77" s="6" t="n">
        <v>125</v>
      </c>
      <c r="G77" t="inlineStr">
        <is>
          <t>Helicopter</t>
        </is>
      </c>
      <c r="H77" s="6" t="n">
        <v>1</v>
      </c>
      <c r="I77" s="6" t="n">
        <v>1</v>
      </c>
      <c r="J77" s="6" t="n">
        <v>1</v>
      </c>
      <c r="K77" s="6" t="n"/>
      <c r="X77" s="6" t="n">
        <v>3600</v>
      </c>
    </row>
    <row r="78">
      <c r="A78" t="inlineStr">
        <is>
          <t>starcraft</t>
        </is>
      </c>
      <c r="B78" t="inlineStr">
        <is>
          <t>terran_medivac</t>
        </is>
      </c>
      <c r="C78" t="inlineStr">
        <is>
          <t>Medivac</t>
        </is>
      </c>
      <c r="D78" s="6" t="inlineStr">
        <is>
          <t>UnarmedTransportHelicopter</t>
        </is>
      </c>
      <c r="E78" s="6" t="n">
        <v>125000</v>
      </c>
      <c r="F78" s="6" t="n">
        <v>125</v>
      </c>
      <c r="G78" t="inlineStr">
        <is>
          <t>Helicopter</t>
        </is>
      </c>
      <c r="H78" s="6" t="n">
        <v>1</v>
      </c>
      <c r="I78" s="6" t="n">
        <v>1</v>
      </c>
      <c r="J78" s="6" t="n">
        <v>1</v>
      </c>
      <c r="K78" s="6" t="n"/>
      <c r="P78">
        <f>MAX(P79)</f>
        <v/>
      </c>
      <c r="S78">
        <f>S79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(T78+U78+V78)/3</f>
        <v/>
      </c>
      <c r="X78" s="6" t="n">
        <v>5000</v>
      </c>
      <c r="Y78">
        <f>IFERROR(W78-X78,"")</f>
        <v/>
      </c>
      <c r="Z78">
        <f>IFERROR(ABS(Y78)/MAX(X78,1),"")</f>
        <v/>
      </c>
      <c r="AA78">
        <f>IFERROR((X78-(((E78/100000+F78/100+S78/200)*200*I78*H78)+((E78*F78/25000)*I78*H78))/3)/(((J78/5)*200*I78*H78)+((J78*S78/2.5)*I78*H78)+((E78*F78*J78*S78*I78*H78)/12500000))/3*1000,"")</f>
        <v/>
      </c>
    </row>
    <row r="79">
      <c r="B79" s="7" t="inlineStr">
        <is>
          <t xml:space="preserve">  ↳ MedicHeal</t>
        </is>
      </c>
      <c r="C79" s="7" t="inlineStr">
        <is>
          <t>Armament</t>
        </is>
      </c>
      <c r="L79" s="6" t="n">
        <v>-3000</v>
      </c>
      <c r="M79" s="6" t="n">
        <v>10</v>
      </c>
      <c r="N79" s="6" t="n">
        <v>1</v>
      </c>
      <c r="O79" s="6" t="n"/>
      <c r="P79" s="6" t="n">
        <v>6000</v>
      </c>
      <c r="Q79" s="6" t="n">
        <v>1</v>
      </c>
      <c r="R79">
        <f>M79+IF(N79&gt;1,N(O79)*(N79-1),0)</f>
        <v/>
      </c>
      <c r="S79">
        <f>IFERROR(L79*MAX(N79,1)/R79*IF(ISBLANK(K78),1,K78),0)</f>
        <v/>
      </c>
      <c r="AB79" s="7" t="inlineStr">
        <is>
          <t>^HealingWeapon</t>
        </is>
      </c>
    </row>
    <row r="80">
      <c r="A80" t="inlineStr">
        <is>
          <t>starcraft</t>
        </is>
      </c>
      <c r="B80" t="inlineStr">
        <is>
          <t>terran_phobos</t>
        </is>
      </c>
      <c r="C80" t="inlineStr">
        <is>
          <t>Phobos</t>
        </is>
      </c>
      <c r="D80" s="6" t="inlineStr">
        <is>
          <t>Spaceship</t>
        </is>
      </c>
      <c r="E80" s="6" t="n">
        <v>1000000</v>
      </c>
      <c r="F80" s="6" t="n">
        <v>25</v>
      </c>
      <c r="G80" t="inlineStr">
        <is>
          <t>Spaceship</t>
        </is>
      </c>
      <c r="H80" s="6" t="n">
        <v>0.75</v>
      </c>
      <c r="I80" s="6" t="n">
        <v>1</v>
      </c>
      <c r="J80" s="6" t="n">
        <v>1.25</v>
      </c>
      <c r="K80" s="6" t="n"/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10000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PhobosLaser</t>
        </is>
      </c>
      <c r="C81" s="7" t="inlineStr">
        <is>
          <t>Armament</t>
        </is>
      </c>
      <c r="L81" s="6" t="n">
        <v>48000</v>
      </c>
      <c r="M81" s="6" t="n">
        <v>80</v>
      </c>
      <c r="N81" s="6" t="n">
        <v>4</v>
      </c>
      <c r="O81" s="6" t="n">
        <v>4</v>
      </c>
      <c r="P81" s="6" t="n">
        <v>9000</v>
      </c>
      <c r="Q81" s="6" t="n">
        <v>1.25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^Warhead_CannonHE_Heavy</t>
        </is>
      </c>
    </row>
    <row r="82">
      <c r="B82" s="7" t="inlineStr">
        <is>
          <t xml:space="preserve">  ↳ BCYamatoCannon</t>
        </is>
      </c>
      <c r="C82" s="7" t="inlineStr">
        <is>
          <t>Armament@Yamato</t>
        </is>
      </c>
      <c r="L82" s="6" t="n">
        <v>144000</v>
      </c>
      <c r="M82" s="6" t="n">
        <v>38</v>
      </c>
      <c r="N82" s="6" t="n">
        <v>1</v>
      </c>
      <c r="O82" s="6" t="n"/>
      <c r="P82" s="6" t="n">
        <v>6800</v>
      </c>
      <c r="Q82" s="6" t="n">
        <v>1.25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^Warhead_CannonHE_Heavy</t>
        </is>
      </c>
    </row>
    <row r="83">
      <c r="A83" t="inlineStr">
        <is>
          <t>starcraft</t>
        </is>
      </c>
      <c r="B83" t="inlineStr">
        <is>
          <t>terran_pythean</t>
        </is>
      </c>
      <c r="C83" t="inlineStr">
        <is>
          <t>Pythean</t>
        </is>
      </c>
      <c r="D83" s="6" t="inlineStr">
        <is>
          <t>Spaceship</t>
        </is>
      </c>
      <c r="E83" s="6" t="n">
        <v>400000</v>
      </c>
      <c r="F83" s="6" t="n">
        <v>40</v>
      </c>
      <c r="G83" t="inlineStr">
        <is>
          <t>Spaceship</t>
        </is>
      </c>
      <c r="H83" s="6" t="n">
        <v>0.75</v>
      </c>
      <c r="I83" s="6" t="n">
        <v>1.25</v>
      </c>
      <c r="J83" s="6" t="n">
        <v>1</v>
      </c>
      <c r="K83" s="6" t="n"/>
      <c r="P83">
        <f>MAX(P84)</f>
        <v/>
      </c>
      <c r="S83">
        <f>S84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5500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JimRaynorMachineGun</t>
        </is>
      </c>
      <c r="C84" s="7" t="inlineStr">
        <is>
          <t>Armament</t>
        </is>
      </c>
      <c r="L84" s="6" t="n">
        <v>4000</v>
      </c>
      <c r="M84" s="6" t="n">
        <v>12</v>
      </c>
      <c r="N84" s="6" t="n">
        <v>5</v>
      </c>
      <c r="O84" s="6" t="n">
        <v>2</v>
      </c>
      <c r="P84" s="6" t="n">
        <v>7446</v>
      </c>
      <c r="Q84" s="6" t="n">
        <v>1.25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^Warhead_MissileHE_Heavy, ^Warhead_CannonHE_Heavy</t>
        </is>
      </c>
    </row>
    <row r="85">
      <c r="A85" t="inlineStr">
        <is>
          <t>starcraft</t>
        </is>
      </c>
      <c r="B85" t="inlineStr">
        <is>
          <t>terran_raven</t>
        </is>
      </c>
      <c r="C85" t="inlineStr">
        <is>
          <t>Raven</t>
        </is>
      </c>
      <c r="D85" s="6" t="inlineStr">
        <is>
          <t>Helicopter</t>
        </is>
      </c>
      <c r="E85" s="6" t="n">
        <v>100000</v>
      </c>
      <c r="F85" s="6" t="n">
        <v>100</v>
      </c>
      <c r="G85" t="inlineStr">
        <is>
          <t>Helicopter</t>
        </is>
      </c>
      <c r="H85" s="6" t="n">
        <v>1</v>
      </c>
      <c r="I85" s="6" t="n">
        <v>1</v>
      </c>
      <c r="J85" s="6" t="n">
        <v>1</v>
      </c>
      <c r="K85" s="6" t="n"/>
      <c r="P85">
        <f>MAX(P86)</f>
        <v/>
      </c>
      <c r="S85">
        <f>S86</f>
        <v/>
      </c>
      <c r="T85">
        <f>(E85/100000+F85/100+(P85/1000)*J85/5+S85/200)*200*I85*H85</f>
        <v/>
      </c>
      <c r="U85">
        <f>((E85*F85/25000)+((P85/1000)*J85*S85/2.5))*I85*H85</f>
        <v/>
      </c>
      <c r="V85">
        <f>(E85*F85*(P85/1000)*J85*S85*I85*H85)/12500000</f>
        <v/>
      </c>
      <c r="W85">
        <f>(T85+U85+V85)/3</f>
        <v/>
      </c>
      <c r="X85" s="6" t="n">
        <v>2000</v>
      </c>
      <c r="Y85">
        <f>IFERROR(W85-X85,"")</f>
        <v/>
      </c>
      <c r="Z85">
        <f>IFERROR(ABS(Y85)/MAX(X85,1),"")</f>
        <v/>
      </c>
      <c r="AA85">
        <f>IFERROR((X85-(((E85/100000+F85/100+S85/200)*200*I85*H85)+((E85*F85/25000)*I85*H85))/3)/(((J85/5)*200*I85*H85)+((J85*S85/2.5)*I85*H85)+((E85*F85*J85*S85*I85*H85)/12500000))/3*1000,"")</f>
        <v/>
      </c>
    </row>
    <row r="86">
      <c r="B86" s="7" t="inlineStr">
        <is>
          <t xml:space="preserve">  ↳ RavenRepair</t>
        </is>
      </c>
      <c r="C86" s="7" t="inlineStr">
        <is>
          <t>Armament@repair</t>
        </is>
      </c>
      <c r="L86" s="6" t="n">
        <v>-3000</v>
      </c>
      <c r="M86" s="6" t="n">
        <v>5</v>
      </c>
      <c r="N86" s="6" t="n">
        <v>10</v>
      </c>
      <c r="O86" s="6" t="n">
        <v>1</v>
      </c>
      <c r="P86" s="6" t="n">
        <v>5000</v>
      </c>
      <c r="Q86" s="6" t="n">
        <v>1</v>
      </c>
      <c r="R86">
        <f>M86+IF(N86&gt;1,N(O86)*(N86-1),0)</f>
        <v/>
      </c>
      <c r="S86">
        <f>IFERROR(L86*MAX(N86,1)/R86*IF(ISBLANK(K85),1,K85),0)</f>
        <v/>
      </c>
      <c r="AB86" s="7" t="inlineStr">
        <is>
          <t>^RepairWeapon</t>
        </is>
      </c>
    </row>
    <row r="87">
      <c r="A87" t="inlineStr">
        <is>
          <t>starcraft</t>
        </is>
      </c>
      <c r="B87" t="inlineStr">
        <is>
          <t>terran_sciencevessel</t>
        </is>
      </c>
      <c r="C87" t="inlineStr">
        <is>
          <t>Science Vessel</t>
        </is>
      </c>
      <c r="D87" s="6" t="inlineStr">
        <is>
          <t>Helicopter</t>
        </is>
      </c>
      <c r="E87" s="6" t="n">
        <v>200000</v>
      </c>
      <c r="F87" s="6" t="n">
        <v>66</v>
      </c>
      <c r="G87" t="inlineStr">
        <is>
          <t>Helicopter</t>
        </is>
      </c>
      <c r="H87" s="6" t="n">
        <v>0.6226</v>
      </c>
      <c r="I87" s="6" t="n">
        <v>1</v>
      </c>
      <c r="J87" s="6" t="n">
        <v>1</v>
      </c>
      <c r="K87" s="6" t="n"/>
      <c r="P87">
        <f>MAX(P90)</f>
        <v/>
      </c>
      <c r="S87">
        <f>S90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2200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ScienceVesselDefenseMatrix</t>
        </is>
      </c>
      <c r="C88" s="7" t="inlineStr">
        <is>
          <t>Armament@IronCourtain</t>
        </is>
      </c>
      <c r="L88" s="6" t="n"/>
      <c r="M88" s="6" t="n">
        <v>260</v>
      </c>
      <c r="N88" s="6" t="n">
        <v>1</v>
      </c>
      <c r="O88" s="6" t="n"/>
      <c r="P88" s="6" t="n">
        <v>7500</v>
      </c>
      <c r="Q88" s="6" t="n">
        <v>1</v>
      </c>
      <c r="R88">
        <f>M88+IF(N88&gt;1,N(O88)*(N88-1),0)</f>
        <v/>
      </c>
      <c r="S88">
        <f>IFERROR(L88*MAX(N88,1)/R88*IF(ISBLANK(K87),1,K87),0)</f>
        <v/>
      </c>
      <c r="AB88" s="7" t="inlineStr"/>
    </row>
    <row r="89">
      <c r="B89" s="7" t="inlineStr">
        <is>
          <t xml:space="preserve">  ↳ ScienceVesselIrradiate</t>
        </is>
      </c>
      <c r="C89" s="7" t="inlineStr">
        <is>
          <t>Armament@Irradiate</t>
        </is>
      </c>
      <c r="L89" s="6" t="n"/>
      <c r="M89" s="6" t="n">
        <v>110</v>
      </c>
      <c r="N89" s="6" t="n">
        <v>1</v>
      </c>
      <c r="O89" s="6" t="n"/>
      <c r="P89" s="6" t="n">
        <v>7500</v>
      </c>
      <c r="Q89" s="6" t="n">
        <v>1</v>
      </c>
      <c r="R89">
        <f>M89+IF(N89&gt;1,N(O89)*(N89-1),0)</f>
        <v/>
      </c>
      <c r="S89">
        <f>IFERROR(L89*MAX(N89,1)/R89*IF(ISBLANK(K87),1,K87),0)</f>
        <v/>
      </c>
      <c r="AB89" s="7" t="inlineStr"/>
    </row>
    <row r="90">
      <c r="B90" s="7" t="inlineStr">
        <is>
          <t xml:space="preserve">  ↳ ScienceVessel_EMP</t>
        </is>
      </c>
      <c r="C90" s="7" t="inlineStr">
        <is>
          <t>Armament@EMP</t>
        </is>
      </c>
      <c r="L90" s="6" t="n">
        <v>100000</v>
      </c>
      <c r="M90" s="6" t="n">
        <v>360</v>
      </c>
      <c r="N90" s="6" t="n">
        <v>1</v>
      </c>
      <c r="O90" s="6" t="n"/>
      <c r="P90" s="6" t="n">
        <v>7500</v>
      </c>
      <c r="Q90" s="6" t="n">
        <v>1</v>
      </c>
      <c r="R90">
        <f>M90+IF(N90&gt;1,N(O90)*(N90-1),0)</f>
        <v/>
      </c>
      <c r="S90">
        <f>IFERROR(L90*MAX(N90,1)/R90*IF(ISBLANK(K87),1,K87),0)</f>
        <v/>
      </c>
      <c r="AB90" s="7" t="inlineStr">
        <is>
          <t>^Warhead_Tesla_Super</t>
        </is>
      </c>
    </row>
    <row r="91">
      <c r="A91" t="inlineStr">
        <is>
          <t>starcraft</t>
        </is>
      </c>
      <c r="B91" t="inlineStr">
        <is>
          <t>terran_sundog</t>
        </is>
      </c>
      <c r="C91" t="inlineStr">
        <is>
          <t>Sundog</t>
        </is>
      </c>
      <c r="D91" s="6" t="inlineStr">
        <is>
          <t>Helicopter</t>
        </is>
      </c>
      <c r="E91" s="6" t="n">
        <v>160000</v>
      </c>
      <c r="F91" s="6" t="n">
        <v>120</v>
      </c>
      <c r="G91" t="inlineStr">
        <is>
          <t>Helicopter</t>
        </is>
      </c>
      <c r="H91" s="6" t="n">
        <v>1</v>
      </c>
      <c r="I91" s="6" t="n">
        <v>1</v>
      </c>
      <c r="J91" s="6" t="n">
        <v>1</v>
      </c>
      <c r="K91" s="6" t="n">
        <v>0.005</v>
      </c>
      <c r="P91">
        <f>MAX(P92,P93,P94)</f>
        <v/>
      </c>
      <c r="S91">
        <f>S92+S93+S94</f>
        <v/>
      </c>
      <c r="T91">
        <f>(E91/100000+F91/100+(P91/1000)*J91/5+S91/200)*200*I91*H91</f>
        <v/>
      </c>
      <c r="U91">
        <f>((E91*F91/25000)+((P91/1000)*J91*S91/2.5))*I91*H91</f>
        <v/>
      </c>
      <c r="V91">
        <f>(E91*F91*(P91/1000)*J91*S91*I91*H91)/12500000</f>
        <v/>
      </c>
      <c r="W91">
        <f>(T91+U91+V91)/3</f>
        <v/>
      </c>
      <c r="X91" s="6" t="n">
        <v>2700</v>
      </c>
      <c r="Y91">
        <f>IFERROR(W91-X91,"")</f>
        <v/>
      </c>
      <c r="Z91">
        <f>IFERROR(ABS(Y91)/MAX(X91,1),"")</f>
        <v/>
      </c>
      <c r="AA91">
        <f>IFERROR((X91-(((E91/100000+F91/100+S91/200)*200*I91*H91)+((E91*F91/25000)*I91*H91))/3)/(((J91/5)*200*I91*H91)+((J91*S91/2.5)*I91*H91)+((E91*F91*J91*S91*I91*H91)/12500000))/3*1000,"")</f>
        <v/>
      </c>
    </row>
    <row r="92">
      <c r="B92" s="7" t="inlineStr">
        <is>
          <t xml:space="preserve">  ↳ SunDogLaser</t>
        </is>
      </c>
      <c r="C92" s="7" t="inlineStr">
        <is>
          <t>Armament@PRIMARY</t>
        </is>
      </c>
      <c r="L92" s="6" t="n">
        <v>16000</v>
      </c>
      <c r="M92" s="6" t="n">
        <v>39</v>
      </c>
      <c r="N92" s="6" t="n">
        <v>1</v>
      </c>
      <c r="O92" s="6" t="n"/>
      <c r="P92" s="6" t="n">
        <v>6060</v>
      </c>
      <c r="Q92" s="6" t="n">
        <v>1.25</v>
      </c>
      <c r="R92">
        <f>M92+IF(N92&gt;1,N(O92)*(N92-1),0)</f>
        <v/>
      </c>
      <c r="S92">
        <f>IFERROR(L92*MAX(N92,1)/R92*IF(ISBLANK(K91),1,K91),0)</f>
        <v/>
      </c>
      <c r="AB92" s="7" t="inlineStr">
        <is>
          <t>^Warhead_Laser_Heavy</t>
        </is>
      </c>
    </row>
    <row r="93">
      <c r="B93" s="7" t="inlineStr">
        <is>
          <t xml:space="preserve">  ↳ SunDogRockets</t>
        </is>
      </c>
      <c r="C93" s="7" t="inlineStr">
        <is>
          <t>Armament@SECONDARY1</t>
        </is>
      </c>
      <c r="L93" s="6" t="n">
        <v>10000</v>
      </c>
      <c r="M93" s="6" t="n">
        <v>39</v>
      </c>
      <c r="N93" s="6" t="n">
        <v>1</v>
      </c>
      <c r="O93" s="6" t="n"/>
      <c r="P93" s="6" t="n">
        <v>6060</v>
      </c>
      <c r="Q93" s="6" t="n">
        <v>1.25</v>
      </c>
      <c r="R93">
        <f>M93+IF(N93&gt;1,N(O93)*(N93-1),0)</f>
        <v/>
      </c>
      <c r="S93">
        <f>IFERROR(L93*MAX(N93,1)/R93*IF(ISBLANK(K91),1,K91),0)</f>
        <v/>
      </c>
      <c r="AB93" s="7" t="inlineStr">
        <is>
          <t>^Warhead_MissileAP_Heavy</t>
        </is>
      </c>
    </row>
    <row r="94">
      <c r="B94" s="7" t="inlineStr">
        <is>
          <t xml:space="preserve">  ↳ SunDogRockets</t>
        </is>
      </c>
      <c r="C94" s="7" t="inlineStr">
        <is>
          <t>Armament@SECONDARY2</t>
        </is>
      </c>
      <c r="L94" s="6" t="n">
        <v>10000</v>
      </c>
      <c r="M94" s="6" t="n">
        <v>39</v>
      </c>
      <c r="N94" s="6" t="n">
        <v>1</v>
      </c>
      <c r="O94" s="6" t="n"/>
      <c r="P94" s="6" t="n">
        <v>6060</v>
      </c>
      <c r="Q94" s="6" t="n">
        <v>1.25</v>
      </c>
      <c r="R94">
        <f>M94+IF(N94&gt;1,N(O94)*(N94-1),0)</f>
        <v/>
      </c>
      <c r="S94">
        <f>IFERROR(L94*MAX(N94,1)/R94*IF(ISBLANK(K91),1,K91),0)</f>
        <v/>
      </c>
      <c r="AB94" s="7" t="inlineStr">
        <is>
          <t>^Warhead_MissileAP_Heavy</t>
        </is>
      </c>
    </row>
    <row r="95">
      <c r="A95" t="inlineStr">
        <is>
          <t>starcraft</t>
        </is>
      </c>
      <c r="B95" t="inlineStr">
        <is>
          <t>terran_valkyrie</t>
        </is>
      </c>
      <c r="C95" t="inlineStr">
        <is>
          <t>Valkyrie</t>
        </is>
      </c>
      <c r="D95" s="6" t="inlineStr">
        <is>
          <t>Helicopter</t>
        </is>
      </c>
      <c r="E95" s="6" t="n">
        <v>120000</v>
      </c>
      <c r="F95" s="6" t="n">
        <v>140</v>
      </c>
      <c r="G95" t="inlineStr">
        <is>
          <t>Helicopter</t>
        </is>
      </c>
      <c r="H95" s="6" t="n">
        <v>1</v>
      </c>
      <c r="I95" s="6" t="n">
        <v>0.5</v>
      </c>
      <c r="J95" s="6" t="n">
        <v>1</v>
      </c>
      <c r="K95" s="6" t="n">
        <v>0.005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(T95+U95+V95)/3</f>
        <v/>
      </c>
      <c r="X95" s="6" t="n">
        <v>2000</v>
      </c>
      <c r="Y95">
        <f>IFERROR(W95-X95,"")</f>
        <v/>
      </c>
      <c r="Z95">
        <f>IFERROR(ABS(Y95)/MAX(X95,1),"")</f>
        <v/>
      </c>
      <c r="AA95">
        <f>IFERROR((X95-(((E95/100000+F95/100+S95/200)*200*I95*H95)+((E95*F95/25000)*I95*H95))/3)/(((J95/5)*200*I95*H95)+((J95*S95/2.5)*I95*H95)+((E95*F95*J95*S95*I95*H95)/12500000))/3*1000,"")</f>
        <v/>
      </c>
    </row>
    <row r="96">
      <c r="B96" s="7" t="inlineStr">
        <is>
          <t xml:space="preserve">  ↳ ValkyrieRockets</t>
        </is>
      </c>
      <c r="C96" s="7" t="inlineStr">
        <is>
          <t>Armament@SECONDARY1</t>
        </is>
      </c>
      <c r="L96" s="6" t="n">
        <v>8000</v>
      </c>
      <c r="M96" s="6" t="n">
        <v>67</v>
      </c>
      <c r="N96" s="6" t="n">
        <v>8</v>
      </c>
      <c r="O96" s="6" t="n">
        <v>4</v>
      </c>
      <c r="P96" s="6" t="n">
        <v>7380</v>
      </c>
      <c r="Q96" s="6" t="n">
        <v>1.25</v>
      </c>
      <c r="R96">
        <f>M96+IF(N96&gt;1,N(O96)*(N96-1),0)</f>
        <v/>
      </c>
      <c r="S96">
        <f>IFERROR(L96*MAX(N96,1)/R96*IF(ISBLANK(K95),1,K95),0)</f>
        <v/>
      </c>
      <c r="AB96" s="7" t="inlineStr">
        <is>
          <t>^Warhead_MissileAP_Heavy</t>
        </is>
      </c>
    </row>
    <row r="97">
      <c r="B97" s="7" t="inlineStr">
        <is>
          <t xml:space="preserve">  ↳ ValkyrieRockets</t>
        </is>
      </c>
      <c r="C97" s="7" t="inlineStr">
        <is>
          <t>Armament@SECONDARY2</t>
        </is>
      </c>
      <c r="L97" s="6" t="n">
        <v>8000</v>
      </c>
      <c r="M97" s="6" t="n">
        <v>67</v>
      </c>
      <c r="N97" s="6" t="n">
        <v>8</v>
      </c>
      <c r="O97" s="6" t="n">
        <v>4</v>
      </c>
      <c r="P97" s="6" t="n">
        <v>7380</v>
      </c>
      <c r="Q97" s="6" t="n">
        <v>1.25</v>
      </c>
      <c r="R97">
        <f>M97+IF(N97&gt;1,N(O97)*(N97-1),0)</f>
        <v/>
      </c>
      <c r="S97">
        <f>IFERROR(L97*MAX(N97,1)/R97*IF(ISBLANK(K95),1,K95),0)</f>
        <v/>
      </c>
      <c r="AB97" s="7" t="inlineStr">
        <is>
          <t>^Warhead_MissileAP_Heavy</t>
        </is>
      </c>
    </row>
    <row r="98">
      <c r="A98" t="inlineStr">
        <is>
          <t>starcraft</t>
        </is>
      </c>
      <c r="B98" t="inlineStr">
        <is>
          <t>terran_wraith</t>
        </is>
      </c>
      <c r="C98" t="inlineStr">
        <is>
          <t>Wraith</t>
        </is>
      </c>
      <c r="D98" s="6" t="inlineStr">
        <is>
          <t>Helicopter</t>
        </is>
      </c>
      <c r="E98" s="6" t="n">
        <v>50000</v>
      </c>
      <c r="F98" s="6" t="n">
        <v>120</v>
      </c>
      <c r="G98" t="inlineStr">
        <is>
          <t>Helicopter</t>
        </is>
      </c>
      <c r="H98" s="6" t="n">
        <v>1</v>
      </c>
      <c r="I98" s="6" t="n">
        <v>1</v>
      </c>
      <c r="J98" s="6" t="n">
        <v>1</v>
      </c>
      <c r="K98" s="6" t="n"/>
      <c r="P98">
        <f>MAX(P99,P100,P101)</f>
        <v/>
      </c>
      <c r="S98">
        <f>S99+S100+S101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1400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WraithLaser</t>
        </is>
      </c>
      <c r="C99" s="7" t="inlineStr">
        <is>
          <t>Armament@PRIMARY</t>
        </is>
      </c>
      <c r="L99" s="6" t="n">
        <v>16000</v>
      </c>
      <c r="M99" s="6" t="n">
        <v>32</v>
      </c>
      <c r="N99" s="6" t="n">
        <v>1</v>
      </c>
      <c r="O99" s="6" t="n"/>
      <c r="P99" s="6" t="n">
        <v>5076</v>
      </c>
      <c r="Q99" s="6" t="n">
        <v>1.25</v>
      </c>
      <c r="R99">
        <f>M99+IF(N99&gt;1,N(O99)*(N99-1),0)</f>
        <v/>
      </c>
      <c r="S99">
        <f>IFERROR(L99*MAX(N99,1)/R99*IF(ISBLANK(K98),1,K98),0)</f>
        <v/>
      </c>
      <c r="AB99" s="7" t="inlineStr">
        <is>
          <t>^Warhead_Laser_Heavy</t>
        </is>
      </c>
    </row>
    <row r="100">
      <c r="B100" s="7" t="inlineStr">
        <is>
          <t xml:space="preserve">  ↳ WraithRockets_AA</t>
        </is>
      </c>
      <c r="C100" s="7" t="inlineStr">
        <is>
          <t>Armament@SECONDARY1</t>
        </is>
      </c>
      <c r="L100" s="6" t="n">
        <v>10000</v>
      </c>
      <c r="M100" s="6" t="n">
        <v>24</v>
      </c>
      <c r="N100" s="6" t="n">
        <v>1</v>
      </c>
      <c r="O100" s="6" t="n"/>
      <c r="P100" s="6" t="n">
        <v>5076</v>
      </c>
      <c r="Q100" s="6" t="n">
        <v>1.25</v>
      </c>
      <c r="R100">
        <f>M100+IF(N100&gt;1,N(O100)*(N100-1),0)</f>
        <v/>
      </c>
      <c r="S100">
        <f>IFERROR(L100*MAX(N100,1)/R100*IF(ISBLANK(K98),1,K98),0)</f>
        <v/>
      </c>
      <c r="AB100" s="7" t="inlineStr">
        <is>
          <t>^Warhead_MissileAP_Heavy</t>
        </is>
      </c>
    </row>
    <row r="101">
      <c r="B101" s="7" t="inlineStr">
        <is>
          <t xml:space="preserve">  ↳ WraithRockets_AA</t>
        </is>
      </c>
      <c r="C101" s="7" t="inlineStr">
        <is>
          <t>Armament@SECONDARY2</t>
        </is>
      </c>
      <c r="L101" s="6" t="n">
        <v>10000</v>
      </c>
      <c r="M101" s="6" t="n">
        <v>24</v>
      </c>
      <c r="N101" s="6" t="n">
        <v>1</v>
      </c>
      <c r="O101" s="6" t="n"/>
      <c r="P101" s="6" t="n">
        <v>5076</v>
      </c>
      <c r="Q101" s="6" t="n">
        <v>1.25</v>
      </c>
      <c r="R101">
        <f>M101+IF(N101&gt;1,N(O101)*(N101-1),0)</f>
        <v/>
      </c>
      <c r="S101">
        <f>IFERROR(L101*MAX(N101,1)/R101*IF(ISBLANK(K98),1,K98),0)</f>
        <v/>
      </c>
      <c r="AB101" s="7" t="inlineStr">
        <is>
          <t>^Warhead_MissileAP_Heavy</t>
        </is>
      </c>
    </row>
    <row r="102">
      <c r="A102" t="inlineStr">
        <is>
          <t>starcraft</t>
        </is>
      </c>
      <c r="B102" t="inlineStr">
        <is>
          <t>terran_wyvern</t>
        </is>
      </c>
      <c r="C102" t="inlineStr">
        <is>
          <t>Wyvern</t>
        </is>
      </c>
      <c r="D102" s="6" t="inlineStr">
        <is>
          <t>Helicopter</t>
        </is>
      </c>
      <c r="E102" s="6" t="n">
        <v>180000</v>
      </c>
      <c r="F102" s="6" t="n">
        <v>70</v>
      </c>
      <c r="G102" t="inlineStr">
        <is>
          <t>Helicopter</t>
        </is>
      </c>
      <c r="H102" s="6" t="n">
        <v>0.75</v>
      </c>
      <c r="I102" s="6" t="n">
        <v>1</v>
      </c>
      <c r="J102" s="6" t="n">
        <v>1</v>
      </c>
      <c r="K102" s="6" t="n"/>
      <c r="P102">
        <f>MAX(P103,P104)</f>
        <v/>
      </c>
      <c r="S102">
        <f>S103+S104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3600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WyvernRockets</t>
        </is>
      </c>
      <c r="C103" s="7" t="inlineStr">
        <is>
          <t>Armament@SECONDARY1</t>
        </is>
      </c>
      <c r="L103" s="6" t="n">
        <v>16000</v>
      </c>
      <c r="M103" s="6" t="n">
        <v>90</v>
      </c>
      <c r="N103" s="6" t="n">
        <v>4</v>
      </c>
      <c r="O103" s="6" t="n">
        <v>15</v>
      </c>
      <c r="P103" s="6" t="n">
        <v>8000</v>
      </c>
      <c r="Q103" s="6" t="n">
        <v>1.25</v>
      </c>
      <c r="R103">
        <f>M103+IF(N103&gt;1,N(O103)*(N103-1),0)</f>
        <v/>
      </c>
      <c r="S103">
        <f>IFERROR(L103*MAX(N103,1)/R103*IF(ISBLANK(K102),1,K102),0)</f>
        <v/>
      </c>
      <c r="AB103" s="7" t="inlineStr">
        <is>
          <t>^Warhead_CannonHE_Heavy, ^Warhead_MissileAP_Heavy</t>
        </is>
      </c>
    </row>
    <row r="104">
      <c r="B104" s="7" t="inlineStr">
        <is>
          <t xml:space="preserve">  ↳ WyvernRockets</t>
        </is>
      </c>
      <c r="C104" s="7" t="inlineStr">
        <is>
          <t>Armament@SECONDARY2</t>
        </is>
      </c>
      <c r="L104" s="6" t="n">
        <v>16000</v>
      </c>
      <c r="M104" s="6" t="n">
        <v>90</v>
      </c>
      <c r="N104" s="6" t="n">
        <v>4</v>
      </c>
      <c r="O104" s="6" t="n">
        <v>15</v>
      </c>
      <c r="P104" s="6" t="n">
        <v>8000</v>
      </c>
      <c r="Q104" s="6" t="n">
        <v>1.25</v>
      </c>
      <c r="R104">
        <f>M104+IF(N104&gt;1,N(O104)*(N104-1),0)</f>
        <v/>
      </c>
      <c r="S104">
        <f>IFERROR(L104*MAX(N104,1)/R104*IF(ISBLANK(K102),1,K102),0)</f>
        <v/>
      </c>
      <c r="AB104" s="7" t="inlineStr">
        <is>
          <t>^Warhead_CannonHE_Heavy, ^Warhead_MissileAP_Heavy</t>
        </is>
      </c>
    </row>
    <row r="105">
      <c r="A105" s="4" t="inlineStr">
        <is>
          <t>DEFENSES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t="inlineStr">
        <is>
          <t>starcraft</t>
        </is>
      </c>
      <c r="B106" t="inlineStr">
        <is>
          <t>terran_bunker</t>
        </is>
      </c>
      <c r="C106" t="inlineStr">
        <is>
          <t>Bunker</t>
        </is>
      </c>
      <c r="D106" s="6" t="inlineStr">
        <is>
          <t>Bunker</t>
        </is>
      </c>
      <c r="E106" s="6" t="n">
        <v>240000</v>
      </c>
      <c r="F106" s="6" t="n">
        <v>100</v>
      </c>
      <c r="G106" t="inlineStr">
        <is>
          <t>Steel</t>
        </is>
      </c>
      <c r="H106" s="6" t="n">
        <v>1</v>
      </c>
      <c r="I106" s="6" t="n">
        <v>1</v>
      </c>
      <c r="J106" s="6" t="n">
        <v>1</v>
      </c>
      <c r="K106" s="6" t="n"/>
      <c r="X106" s="6" t="n">
        <v>1200</v>
      </c>
    </row>
    <row r="107">
      <c r="A107" t="inlineStr">
        <is>
          <t>starcraft</t>
        </is>
      </c>
      <c r="B107" t="inlineStr">
        <is>
          <t>terran_missilesilo</t>
        </is>
      </c>
      <c r="C107" t="inlineStr">
        <is>
          <t>Terran Missile Silo</t>
        </is>
      </c>
      <c r="D107" s="6" t="inlineStr">
        <is>
          <t>Defense</t>
        </is>
      </c>
      <c r="E107" s="6" t="n">
        <v>1000000</v>
      </c>
      <c r="F107" s="6" t="n">
        <v>100</v>
      </c>
      <c r="G107" t="inlineStr">
        <is>
          <t>Concrete</t>
        </is>
      </c>
      <c r="H107" s="6" t="n">
        <v>0.6226</v>
      </c>
      <c r="I107" s="6" t="n">
        <v>1</v>
      </c>
      <c r="J107" s="6" t="n">
        <v>1</v>
      </c>
      <c r="K107" s="6" t="n"/>
      <c r="X107" s="6" t="n">
        <v>10000</v>
      </c>
    </row>
    <row r="108">
      <c r="A108" t="inlineStr">
        <is>
          <t>starcraft</t>
        </is>
      </c>
      <c r="B108" t="inlineStr">
        <is>
          <t>terran_missileturret</t>
        </is>
      </c>
      <c r="C108" t="inlineStr">
        <is>
          <t>Missile Turret</t>
        </is>
      </c>
      <c r="D108" s="6" t="inlineStr">
        <is>
          <t>AntiAirDefense</t>
        </is>
      </c>
      <c r="E108" s="6" t="n">
        <v>200000</v>
      </c>
      <c r="F108" s="6" t="n">
        <v>100</v>
      </c>
      <c r="G108" t="inlineStr">
        <is>
          <t>Concrete</t>
        </is>
      </c>
      <c r="H108" s="6" t="n">
        <v>1</v>
      </c>
      <c r="I108" s="6" t="n">
        <v>0.225</v>
      </c>
      <c r="J108" s="6" t="n">
        <v>1</v>
      </c>
      <c r="K108" s="6" t="n"/>
      <c r="P108">
        <f>MAX(P109,P110)</f>
        <v/>
      </c>
      <c r="S108">
        <f>S109+S110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1200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MissileTurret</t>
        </is>
      </c>
      <c r="C109" s="7" t="inlineStr">
        <is>
          <t>Armament@1</t>
        </is>
      </c>
      <c r="L109" s="6" t="n">
        <v>20000</v>
      </c>
      <c r="M109" s="6" t="n">
        <v>30</v>
      </c>
      <c r="N109" s="6" t="n">
        <v>1</v>
      </c>
      <c r="O109" s="6" t="n"/>
      <c r="P109" s="6" t="n">
        <v>11626</v>
      </c>
      <c r="Q109" s="6" t="n">
        <v>1.25</v>
      </c>
      <c r="R109">
        <f>M109+IF(N109&gt;1,N(O109)*(N109-1),0)</f>
        <v/>
      </c>
      <c r="S109">
        <f>IFERROR(L109*MAX(N109,1)/R109*IF(ISBLANK(K108),1,K108),0)</f>
        <v/>
      </c>
      <c r="AB109" s="7" t="inlineStr">
        <is>
          <t>^Warhead_MissileAP_Heavy</t>
        </is>
      </c>
    </row>
    <row r="110">
      <c r="B110" s="7" t="inlineStr">
        <is>
          <t xml:space="preserve">  ↳ MissileTurret</t>
        </is>
      </c>
      <c r="C110" s="7" t="inlineStr">
        <is>
          <t>Armament@2</t>
        </is>
      </c>
      <c r="L110" s="6" t="n">
        <v>20000</v>
      </c>
      <c r="M110" s="6" t="n">
        <v>30</v>
      </c>
      <c r="N110" s="6" t="n">
        <v>1</v>
      </c>
      <c r="O110" s="6" t="n"/>
      <c r="P110" s="6" t="n">
        <v>11626</v>
      </c>
      <c r="Q110" s="6" t="n">
        <v>1.25</v>
      </c>
      <c r="R110">
        <f>M110+IF(N110&gt;1,N(O110)*(N110-1),0)</f>
        <v/>
      </c>
      <c r="S110">
        <f>IFERROR(L110*MAX(N110,1)/R110*IF(ISBLANK(K108),1,K108),0)</f>
        <v/>
      </c>
      <c r="AB110" s="7" t="inlineStr">
        <is>
          <t>^Warhead_MissileAP_Heavy</t>
        </is>
      </c>
    </row>
    <row r="111">
      <c r="A111" t="inlineStr">
        <is>
          <t>starcraft</t>
        </is>
      </c>
      <c r="B111" t="inlineStr">
        <is>
          <t>terran_sentinel</t>
        </is>
      </c>
      <c r="C111" t="inlineStr">
        <is>
          <t>Sentinel</t>
        </is>
      </c>
      <c r="D111" s="6" t="inlineStr">
        <is>
          <t>AdvancedDefense</t>
        </is>
      </c>
      <c r="E111" s="6" t="n">
        <v>160000</v>
      </c>
      <c r="F111" s="6" t="n">
        <v>100</v>
      </c>
      <c r="G111" t="inlineStr">
        <is>
          <t>Steel</t>
        </is>
      </c>
      <c r="H111" s="6" t="n">
        <v>1</v>
      </c>
      <c r="I111" s="6" t="n">
        <v>1</v>
      </c>
      <c r="J111" s="6" t="n">
        <v>1</v>
      </c>
      <c r="K111" s="6" t="n"/>
      <c r="P111">
        <f>MAX(P112)</f>
        <v/>
      </c>
      <c r="S111">
        <f>S112</f>
        <v/>
      </c>
      <c r="T111">
        <f>(E111/100000+F111/100+(P111/1000)*J111/5+S111/200)*200*I111*H111</f>
        <v/>
      </c>
      <c r="U111">
        <f>((E111*F111/25000)+((P111/1000)*J111*S111/2.5))*I111*H111</f>
        <v/>
      </c>
      <c r="V111">
        <f>(E111*F111*(P111/1000)*J111*S111*I111*H111)/12500000</f>
        <v/>
      </c>
      <c r="W111">
        <f>(T111+U111+V111)/3</f>
        <v/>
      </c>
      <c r="X111" s="6" t="n">
        <v>800</v>
      </c>
      <c r="Y111">
        <f>IFERROR(W111-X111,"")</f>
        <v/>
      </c>
      <c r="Z111">
        <f>IFERROR(ABS(Y111)/MAX(X111,1),"")</f>
        <v/>
      </c>
      <c r="AA111">
        <f>IFERROR((X111-(((E111/100000+F111/100+S111/200)*200*I111*H111)+((E111*F111/25000)*I111*H111))/3)/(((J111/5)*200*I111*H111)+((J111*S111/2.5)*I111*H111)+((E111*F111*J111*S111*I111*H111)/12500000))/3*1000,"")</f>
        <v/>
      </c>
    </row>
    <row r="112">
      <c r="B112" s="7" t="inlineStr">
        <is>
          <t xml:space="preserve">  ↳ NaxLaserT</t>
        </is>
      </c>
      <c r="C112" s="7" t="inlineStr">
        <is>
          <t>Armament</t>
        </is>
      </c>
      <c r="L112" s="6" t="n">
        <v>8000</v>
      </c>
      <c r="M112" s="6" t="n">
        <v>20</v>
      </c>
      <c r="N112" s="6" t="n">
        <v>1</v>
      </c>
      <c r="O112" s="6" t="n"/>
      <c r="P112" s="6" t="n">
        <v>8181</v>
      </c>
      <c r="Q112" s="6" t="n">
        <v>1</v>
      </c>
      <c r="R112">
        <f>M112+IF(N112&gt;1,N(O112)*(N112-1),0)</f>
        <v/>
      </c>
      <c r="S112">
        <f>IFERROR(L112*MAX(N112,1)/R112*IF(ISBLANK(K111),1,K111),0)</f>
        <v/>
      </c>
      <c r="AB112" s="7" t="inlineStr">
        <is>
          <t>^SmallArms, ^Chaingun, ^MediumMissile, ^LaserWeapon</t>
        </is>
      </c>
    </row>
    <row r="113">
      <c r="A113" s="4" t="inlineStr">
        <is>
          <t>BUILDINGS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t="inlineStr">
        <is>
          <t>starcraft</t>
        </is>
      </c>
      <c r="B114" t="inlineStr">
        <is>
          <t>terran_academy</t>
        </is>
      </c>
      <c r="C114" t="inlineStr">
        <is>
          <t>Academy</t>
        </is>
      </c>
      <c r="D114" s="6" t="inlineStr">
        <is>
          <t>Building</t>
        </is>
      </c>
      <c r="E114" s="6" t="n">
        <v>150000</v>
      </c>
      <c r="F114" s="6" t="n"/>
      <c r="G114" t="inlineStr">
        <is>
          <t>Wood</t>
        </is>
      </c>
      <c r="H114" s="6" t="n">
        <v>1</v>
      </c>
      <c r="I114" s="6" t="n">
        <v>1</v>
      </c>
      <c r="J114" s="6" t="n">
        <v>1</v>
      </c>
      <c r="K114" s="6" t="n"/>
      <c r="X114" s="6" t="n">
        <v>1500</v>
      </c>
    </row>
    <row r="115">
      <c r="A115" t="inlineStr">
        <is>
          <t>starcraft</t>
        </is>
      </c>
      <c r="B115" t="inlineStr">
        <is>
          <t>terran_armory</t>
        </is>
      </c>
      <c r="C115" t="inlineStr">
        <is>
          <t>Armory</t>
        </is>
      </c>
      <c r="D115" s="6" t="inlineStr">
        <is>
          <t>Building</t>
        </is>
      </c>
      <c r="E115" s="6" t="n">
        <v>250000</v>
      </c>
      <c r="F115" s="6" t="n"/>
      <c r="G115" t="inlineStr">
        <is>
          <t>Wood</t>
        </is>
      </c>
      <c r="H115" s="6" t="n">
        <v>1</v>
      </c>
      <c r="I115" s="6" t="n">
        <v>1</v>
      </c>
      <c r="J115" s="6" t="n">
        <v>1</v>
      </c>
      <c r="K115" s="6" t="n"/>
      <c r="X115" s="6" t="n">
        <v>2500</v>
      </c>
    </row>
    <row r="116">
      <c r="A116" t="inlineStr">
        <is>
          <t>starcraft</t>
        </is>
      </c>
      <c r="B116" t="inlineStr">
        <is>
          <t>terran_barracks</t>
        </is>
      </c>
      <c r="C116" t="inlineStr">
        <is>
          <t>Barracks</t>
        </is>
      </c>
      <c r="D116" s="6" t="inlineStr">
        <is>
          <t>Building</t>
        </is>
      </c>
      <c r="E116" s="6" t="n">
        <v>200000</v>
      </c>
      <c r="F116" s="6" t="n"/>
      <c r="G116" t="inlineStr">
        <is>
          <t>Wood</t>
        </is>
      </c>
      <c r="H116" s="6" t="n">
        <v>1</v>
      </c>
      <c r="I116" s="6" t="n">
        <v>1</v>
      </c>
      <c r="J116" s="6" t="n">
        <v>1</v>
      </c>
      <c r="K116" s="6" t="n"/>
      <c r="X116" s="6" t="n">
        <v>1000</v>
      </c>
    </row>
    <row r="117">
      <c r="A117" t="inlineStr">
        <is>
          <t>starcraft</t>
        </is>
      </c>
      <c r="B117" t="inlineStr">
        <is>
          <t>terran_commandcenter</t>
        </is>
      </c>
      <c r="C117" t="inlineStr">
        <is>
          <t>Command Center</t>
        </is>
      </c>
      <c r="D117" s="6" t="inlineStr">
        <is>
          <t>Building</t>
        </is>
      </c>
      <c r="E117" s="6" t="n">
        <v>1000000</v>
      </c>
      <c r="F117" s="6" t="n"/>
      <c r="G117" t="inlineStr">
        <is>
          <t>Concrete</t>
        </is>
      </c>
      <c r="H117" s="6" t="n">
        <v>1</v>
      </c>
      <c r="I117" s="6" t="n">
        <v>1</v>
      </c>
      <c r="J117" s="6" t="n">
        <v>1</v>
      </c>
      <c r="K117" s="6" t="n"/>
      <c r="X117" s="6" t="n">
        <v>5000</v>
      </c>
    </row>
    <row r="118">
      <c r="A118" t="inlineStr">
        <is>
          <t>starcraft</t>
        </is>
      </c>
      <c r="B118" t="inlineStr">
        <is>
          <t>terran_engineeringbay</t>
        </is>
      </c>
      <c r="C118" t="inlineStr">
        <is>
          <t>Engineering Bay</t>
        </is>
      </c>
      <c r="D118" s="6" t="inlineStr">
        <is>
          <t>Building</t>
        </is>
      </c>
      <c r="E118" s="6" t="n">
        <v>200000</v>
      </c>
      <c r="F118" s="6" t="n"/>
      <c r="G118" t="inlineStr">
        <is>
          <t>Wood</t>
        </is>
      </c>
      <c r="H118" s="6" t="n">
        <v>1</v>
      </c>
      <c r="I118" s="6" t="n">
        <v>1</v>
      </c>
      <c r="J118" s="6" t="n">
        <v>1</v>
      </c>
      <c r="K118" s="6" t="n"/>
      <c r="X118" s="6" t="n">
        <v>2000</v>
      </c>
    </row>
    <row r="119">
      <c r="A119" t="inlineStr">
        <is>
          <t>starcraft</t>
        </is>
      </c>
      <c r="B119" t="inlineStr">
        <is>
          <t>terran_expandedstorage</t>
        </is>
      </c>
      <c r="C119" t="inlineStr">
        <is>
          <t>Expanded Storage</t>
        </is>
      </c>
      <c r="D119" s="6" t="inlineStr">
        <is>
          <t>Building</t>
        </is>
      </c>
      <c r="E119" s="6" t="n"/>
      <c r="F119" s="6" t="n"/>
      <c r="H119" s="6" t="n">
        <v>1</v>
      </c>
      <c r="I119" s="6" t="n">
        <v>1</v>
      </c>
      <c r="J119" s="6" t="n">
        <v>1</v>
      </c>
      <c r="K119" s="6" t="n"/>
      <c r="X119" s="6" t="n">
        <v>800</v>
      </c>
    </row>
    <row r="120">
      <c r="A120" t="inlineStr">
        <is>
          <t>starcraft</t>
        </is>
      </c>
      <c r="B120" t="inlineStr">
        <is>
          <t>terran_refinery</t>
        </is>
      </c>
      <c r="C120" t="inlineStr">
        <is>
          <t>Refinery</t>
        </is>
      </c>
      <c r="D120" s="6" t="inlineStr">
        <is>
          <t>Building</t>
        </is>
      </c>
      <c r="E120" s="6" t="n">
        <v>300000</v>
      </c>
      <c r="F120" s="6" t="n"/>
      <c r="G120" t="inlineStr">
        <is>
          <t>Concrete</t>
        </is>
      </c>
      <c r="H120" s="6" t="n">
        <v>1</v>
      </c>
      <c r="I120" s="6" t="n">
        <v>1</v>
      </c>
      <c r="J120" s="6" t="n">
        <v>1</v>
      </c>
      <c r="K120" s="6" t="n"/>
      <c r="X120" s="6" t="n">
        <v>3000</v>
      </c>
    </row>
    <row r="121">
      <c r="A121" t="inlineStr">
        <is>
          <t>starcraft</t>
        </is>
      </c>
      <c r="B121" t="inlineStr">
        <is>
          <t>terran_sciencefacility</t>
        </is>
      </c>
      <c r="C121" t="inlineStr">
        <is>
          <t>Science Facility</t>
        </is>
      </c>
      <c r="D121" s="6" t="inlineStr">
        <is>
          <t>Building</t>
        </is>
      </c>
      <c r="E121" s="6" t="n">
        <v>500000</v>
      </c>
      <c r="F121" s="6" t="n"/>
      <c r="G121" t="inlineStr">
        <is>
          <t>Concrete</t>
        </is>
      </c>
      <c r="H121" s="6" t="n">
        <v>1</v>
      </c>
      <c r="I121" s="6" t="n">
        <v>1</v>
      </c>
      <c r="J121" s="6" t="n">
        <v>1</v>
      </c>
      <c r="K121" s="6" t="n"/>
      <c r="X121" s="6" t="n">
        <v>5000</v>
      </c>
    </row>
    <row r="122">
      <c r="A122" t="inlineStr">
        <is>
          <t>starcraft</t>
        </is>
      </c>
      <c r="B122" t="inlineStr">
        <is>
          <t>terran_starport</t>
        </is>
      </c>
      <c r="C122" t="inlineStr">
        <is>
          <t>Starport</t>
        </is>
      </c>
      <c r="D122" s="6" t="inlineStr">
        <is>
          <t>Building</t>
        </is>
      </c>
      <c r="E122" s="6" t="n">
        <v>300000</v>
      </c>
      <c r="F122" s="6" t="n"/>
      <c r="G122" t="inlineStr">
        <is>
          <t>Wood</t>
        </is>
      </c>
      <c r="H122" s="6" t="n">
        <v>1</v>
      </c>
      <c r="I122" s="6" t="n">
        <v>1</v>
      </c>
      <c r="J122" s="6" t="n">
        <v>1</v>
      </c>
      <c r="K122" s="6" t="n"/>
      <c r="X122" s="6" t="n">
        <v>1500</v>
      </c>
    </row>
    <row r="123">
      <c r="A123" t="inlineStr">
        <is>
          <t>starcraft</t>
        </is>
      </c>
      <c r="B123" t="inlineStr">
        <is>
          <t>terran_supplydepot</t>
        </is>
      </c>
      <c r="C123" t="inlineStr">
        <is>
          <t>Supply Depot</t>
        </is>
      </c>
      <c r="D123" s="6" t="inlineStr">
        <is>
          <t>Building</t>
        </is>
      </c>
      <c r="E123" s="6" t="n">
        <v>200000</v>
      </c>
      <c r="F123" s="6" t="n"/>
      <c r="G123" t="inlineStr">
        <is>
          <t>Wood</t>
        </is>
      </c>
      <c r="H123" s="6" t="n">
        <v>1</v>
      </c>
      <c r="I123" s="6" t="n">
        <v>1</v>
      </c>
      <c r="J123" s="6" t="n">
        <v>1</v>
      </c>
      <c r="K123" s="6" t="n"/>
      <c r="X123" s="6" t="n">
        <v>800</v>
      </c>
    </row>
    <row r="124">
      <c r="A124" t="inlineStr">
        <is>
          <t>starcraft</t>
        </is>
      </c>
      <c r="B124" t="inlineStr">
        <is>
          <t>terran_vespenegascollector</t>
        </is>
      </c>
      <c r="C124" t="inlineStr">
        <is>
          <t>Vespene Gas Collector</t>
        </is>
      </c>
      <c r="D124" s="6" t="inlineStr">
        <is>
          <t>Building</t>
        </is>
      </c>
      <c r="E124" s="6" t="n"/>
      <c r="F124" s="6" t="n"/>
      <c r="H124" s="6" t="n">
        <v>1</v>
      </c>
      <c r="I124" s="6" t="n">
        <v>1</v>
      </c>
      <c r="J124" s="6" t="n">
        <v>1</v>
      </c>
      <c r="K124" s="6" t="n"/>
      <c r="X124" s="6" t="n">
        <v>2500</v>
      </c>
    </row>
    <row r="125">
      <c r="A125" t="inlineStr">
        <is>
          <t>starcraft</t>
        </is>
      </c>
      <c r="B125" t="inlineStr">
        <is>
          <t>terran_weaponsfactory</t>
        </is>
      </c>
      <c r="C125" t="inlineStr">
        <is>
          <t>Weapons Factory</t>
        </is>
      </c>
      <c r="D125" s="6" t="inlineStr">
        <is>
          <t>Building</t>
        </is>
      </c>
      <c r="E125" s="6" t="n">
        <v>400000</v>
      </c>
      <c r="F125" s="6" t="n"/>
      <c r="G125" t="inlineStr">
        <is>
          <t>Concrete</t>
        </is>
      </c>
      <c r="H125" s="6" t="n">
        <v>1</v>
      </c>
      <c r="I125" s="6" t="n">
        <v>1</v>
      </c>
      <c r="J125" s="6" t="n">
        <v>1</v>
      </c>
      <c r="K125" s="6" t="n"/>
      <c r="X125" s="6" t="n">
        <v>2000</v>
      </c>
    </row>
    <row r="126">
      <c r="A126" s="4" t="inlineStr">
        <is>
          <t>UPGRADES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t="inlineStr">
        <is>
          <t>starcraft</t>
        </is>
      </c>
      <c r="B127" t="inlineStr">
        <is>
          <t>terran_upgrade_advancedsiegemode</t>
        </is>
      </c>
      <c r="C127" t="inlineStr">
        <is>
          <t>Advanced Siege Mode</t>
        </is>
      </c>
      <c r="D127" s="6" t="inlineStr">
        <is>
          <t>ResearchedUpgrade</t>
        </is>
      </c>
      <c r="E127" s="6" t="n"/>
      <c r="F127" s="6" t="n"/>
      <c r="H127" s="6" t="n">
        <v>0.6226</v>
      </c>
      <c r="I127" s="6" t="n">
        <v>1</v>
      </c>
      <c r="J127" s="6" t="n">
        <v>1</v>
      </c>
      <c r="K127" s="6" t="n"/>
      <c r="X127" s="6" t="n">
        <v>2500</v>
      </c>
    </row>
    <row r="128">
      <c r="A128" t="inlineStr">
        <is>
          <t>starcraft</t>
        </is>
      </c>
      <c r="B128" t="inlineStr">
        <is>
          <t>terran_upgrade_cloakupgrade</t>
        </is>
      </c>
      <c r="C128" t="inlineStr">
        <is>
          <t>Cloak Upgrade</t>
        </is>
      </c>
      <c r="D128" s="6" t="inlineStr">
        <is>
          <t>ResearchedUpgrade</t>
        </is>
      </c>
      <c r="E128" s="6" t="n"/>
      <c r="F128" s="6" t="n"/>
      <c r="H128" s="6" t="n">
        <v>0.6226</v>
      </c>
      <c r="I128" s="6" t="n">
        <v>1</v>
      </c>
      <c r="J128" s="6" t="n">
        <v>1</v>
      </c>
      <c r="K128" s="6" t="n"/>
      <c r="X128" s="6" t="n">
        <v>2500</v>
      </c>
    </row>
    <row r="129">
      <c r="A129" t="inlineStr">
        <is>
          <t>starcraft</t>
        </is>
      </c>
      <c r="B129" t="inlineStr">
        <is>
          <t>terran_upgrade_infantryarmorlevel1</t>
        </is>
      </c>
      <c r="C129" t="inlineStr">
        <is>
          <t>Infantry Armor Level 1</t>
        </is>
      </c>
      <c r="D129" s="6" t="inlineStr">
        <is>
          <t>ResearchedUpgrade</t>
        </is>
      </c>
      <c r="E129" s="6" t="n"/>
      <c r="F129" s="6" t="n"/>
      <c r="H129" s="6" t="n">
        <v>1</v>
      </c>
      <c r="I129" s="6" t="n">
        <v>1</v>
      </c>
      <c r="J129" s="6" t="n">
        <v>1</v>
      </c>
      <c r="K129" s="6" t="n"/>
      <c r="X129" s="6" t="n">
        <v>2500</v>
      </c>
    </row>
    <row r="130">
      <c r="A130" t="inlineStr">
        <is>
          <t>starcraft</t>
        </is>
      </c>
      <c r="B130" t="inlineStr">
        <is>
          <t>terran_upgrade_infantryarmorlevel2</t>
        </is>
      </c>
      <c r="C130" t="inlineStr">
        <is>
          <t>Infantry Armor Level 2</t>
        </is>
      </c>
      <c r="D130" s="6" t="inlineStr">
        <is>
          <t>ResearchedUpgrade</t>
        </is>
      </c>
      <c r="E130" s="6" t="n"/>
      <c r="F130" s="6" t="n"/>
      <c r="H130" s="6" t="n">
        <v>0.6226</v>
      </c>
      <c r="I130" s="6" t="n">
        <v>1</v>
      </c>
      <c r="J130" s="6" t="n">
        <v>1</v>
      </c>
      <c r="K130" s="6" t="n"/>
      <c r="X130" s="6" t="n">
        <v>5000</v>
      </c>
    </row>
    <row r="131">
      <c r="A131" t="inlineStr">
        <is>
          <t>starcraft</t>
        </is>
      </c>
      <c r="B131" t="inlineStr">
        <is>
          <t>terran_upgrade_infantryweaponslevel1</t>
        </is>
      </c>
      <c r="C131" t="inlineStr">
        <is>
          <t>Infantry Weapons Level 1</t>
        </is>
      </c>
      <c r="D131" s="6" t="inlineStr">
        <is>
          <t>ResearchedUpgrade</t>
        </is>
      </c>
      <c r="E131" s="6" t="n"/>
      <c r="F131" s="6" t="n"/>
      <c r="H131" s="6" t="n">
        <v>1</v>
      </c>
      <c r="I131" s="6" t="n">
        <v>1</v>
      </c>
      <c r="J131" s="6" t="n">
        <v>1</v>
      </c>
      <c r="K131" s="6" t="n"/>
      <c r="X131" s="6" t="n">
        <v>2500</v>
      </c>
    </row>
    <row r="132">
      <c r="A132" t="inlineStr">
        <is>
          <t>starcraft</t>
        </is>
      </c>
      <c r="B132" t="inlineStr">
        <is>
          <t>terran_upgrade_infantryweaponslevel2</t>
        </is>
      </c>
      <c r="C132" t="inlineStr">
        <is>
          <t>Infantry Weapons Level 2</t>
        </is>
      </c>
      <c r="D132" s="6" t="inlineStr">
        <is>
          <t>ResearchedUpgrade</t>
        </is>
      </c>
      <c r="E132" s="6" t="n"/>
      <c r="F132" s="6" t="n"/>
      <c r="H132" s="6" t="n">
        <v>0.6226</v>
      </c>
      <c r="I132" s="6" t="n">
        <v>1</v>
      </c>
      <c r="J132" s="6" t="n">
        <v>1</v>
      </c>
      <c r="K132" s="6" t="n"/>
      <c r="X132" s="6" t="n">
        <v>5000</v>
      </c>
    </row>
    <row r="133">
      <c r="A133" t="inlineStr">
        <is>
          <t>starcraft</t>
        </is>
      </c>
      <c r="B133" t="inlineStr">
        <is>
          <t>terran_upgrade_shipplatinglevel1</t>
        </is>
      </c>
      <c r="C133" t="inlineStr">
        <is>
          <t>Ship Plating Level 1</t>
        </is>
      </c>
      <c r="D133" s="6" t="inlineStr">
        <is>
          <t>ResearchedUpgrade</t>
        </is>
      </c>
      <c r="E133" s="6" t="n"/>
      <c r="F133" s="6" t="n"/>
      <c r="H133" s="6" t="n">
        <v>0.8919</v>
      </c>
      <c r="I133" s="6" t="n">
        <v>1</v>
      </c>
      <c r="J133" s="6" t="n">
        <v>1</v>
      </c>
      <c r="K133" s="6" t="n"/>
      <c r="X133" s="6" t="n">
        <v>2500</v>
      </c>
    </row>
    <row r="134">
      <c r="A134" t="inlineStr">
        <is>
          <t>starcraft</t>
        </is>
      </c>
      <c r="B134" t="inlineStr">
        <is>
          <t>terran_upgrade_shipplatinglevel2</t>
        </is>
      </c>
      <c r="C134" t="inlineStr">
        <is>
          <t>Ship Plating Level 2</t>
        </is>
      </c>
      <c r="D134" s="6" t="inlineStr">
        <is>
          <t>ResearchedUpgrade</t>
        </is>
      </c>
      <c r="E134" s="6" t="n"/>
      <c r="F134" s="6" t="n"/>
      <c r="H134" s="6" t="n">
        <v>0.6226</v>
      </c>
      <c r="I134" s="6" t="n">
        <v>1</v>
      </c>
      <c r="J134" s="6" t="n">
        <v>1</v>
      </c>
      <c r="K134" s="6" t="n"/>
      <c r="X134" s="6" t="n">
        <v>5000</v>
      </c>
    </row>
    <row r="135">
      <c r="A135" t="inlineStr">
        <is>
          <t>starcraft</t>
        </is>
      </c>
      <c r="B135" t="inlineStr">
        <is>
          <t>terran_upgrade_shipweaponslevel1</t>
        </is>
      </c>
      <c r="C135" t="inlineStr">
        <is>
          <t>Ship Weapons Level 1</t>
        </is>
      </c>
      <c r="D135" s="6" t="inlineStr">
        <is>
          <t>ResearchedUpgrade</t>
        </is>
      </c>
      <c r="E135" s="6" t="n"/>
      <c r="F135" s="6" t="n"/>
      <c r="H135" s="6" t="n">
        <v>0.8919</v>
      </c>
      <c r="I135" s="6" t="n">
        <v>1</v>
      </c>
      <c r="J135" s="6" t="n">
        <v>1</v>
      </c>
      <c r="K135" s="6" t="n"/>
      <c r="X135" s="6" t="n">
        <v>2500</v>
      </c>
    </row>
    <row r="136">
      <c r="A136" t="inlineStr">
        <is>
          <t>starcraft</t>
        </is>
      </c>
      <c r="B136" t="inlineStr">
        <is>
          <t>terran_upgrade_shipweaponslevel2</t>
        </is>
      </c>
      <c r="C136" t="inlineStr">
        <is>
          <t>Ship Weapons Level 2</t>
        </is>
      </c>
      <c r="D136" s="6" t="inlineStr">
        <is>
          <t>ResearchedUpgrade</t>
        </is>
      </c>
      <c r="E136" s="6" t="n"/>
      <c r="F136" s="6" t="n"/>
      <c r="H136" s="6" t="n">
        <v>0.6226</v>
      </c>
      <c r="I136" s="6" t="n">
        <v>1</v>
      </c>
      <c r="J136" s="6" t="n">
        <v>1</v>
      </c>
      <c r="K136" s="6" t="n"/>
      <c r="X136" s="6" t="n">
        <v>5000</v>
      </c>
    </row>
    <row r="137">
      <c r="A137" t="inlineStr">
        <is>
          <t>starcraft</t>
        </is>
      </c>
      <c r="B137" t="inlineStr">
        <is>
          <t>terran_upgrade_stimpack</t>
        </is>
      </c>
      <c r="C137" t="inlineStr">
        <is>
          <t>Stim Pack</t>
        </is>
      </c>
      <c r="D137" s="6" t="inlineStr">
        <is>
          <t>ResearchedUpgrade</t>
        </is>
      </c>
      <c r="E137" s="6" t="n"/>
      <c r="F137" s="6" t="n"/>
      <c r="H137" s="6" t="n">
        <v>1</v>
      </c>
      <c r="I137" s="6" t="n">
        <v>1</v>
      </c>
      <c r="J137" s="6" t="n">
        <v>1</v>
      </c>
      <c r="K137" s="6" t="n"/>
      <c r="X137" s="6" t="n">
        <v>2500</v>
      </c>
    </row>
    <row r="138">
      <c r="A138" t="inlineStr">
        <is>
          <t>starcraft</t>
        </is>
      </c>
      <c r="B138" t="inlineStr">
        <is>
          <t>terran_upgrade_u238shells</t>
        </is>
      </c>
      <c r="C138" t="inlineStr">
        <is>
          <t>U-238 Shells</t>
        </is>
      </c>
      <c r="D138" s="6" t="inlineStr">
        <is>
          <t>ResearchedUpgrade</t>
        </is>
      </c>
      <c r="E138" s="6" t="n"/>
      <c r="F138" s="6" t="n"/>
      <c r="H138" s="6" t="n">
        <v>1</v>
      </c>
      <c r="I138" s="6" t="n">
        <v>1</v>
      </c>
      <c r="J138" s="6" t="n">
        <v>1</v>
      </c>
      <c r="K138" s="6" t="n"/>
      <c r="X138" s="6" t="n">
        <v>2500</v>
      </c>
    </row>
    <row r="139">
      <c r="A139" t="inlineStr">
        <is>
          <t>starcraft</t>
        </is>
      </c>
      <c r="B139" t="inlineStr">
        <is>
          <t>terran_upgrade_upgradesupplydepotlevel1</t>
        </is>
      </c>
      <c r="C139" t="inlineStr">
        <is>
          <t>Upgrade Supply Depot Level 1</t>
        </is>
      </c>
      <c r="D139" s="6" t="inlineStr">
        <is>
          <t>ResearchedUpgrade</t>
        </is>
      </c>
      <c r="E139" s="6" t="n"/>
      <c r="F139" s="6" t="n"/>
      <c r="H139" s="6" t="n">
        <v>1</v>
      </c>
      <c r="I139" s="6" t="n">
        <v>1</v>
      </c>
      <c r="J139" s="6" t="n">
        <v>1</v>
      </c>
      <c r="K139" s="6" t="n"/>
      <c r="X139" s="6" t="n">
        <v>2500</v>
      </c>
    </row>
    <row r="140">
      <c r="A140" t="inlineStr">
        <is>
          <t>starcraft</t>
        </is>
      </c>
      <c r="B140" t="inlineStr">
        <is>
          <t>terran_upgrade_upgradesupplydepotlevel2</t>
        </is>
      </c>
      <c r="C140" t="inlineStr">
        <is>
          <t>Upgrade Supply Depot Level 2</t>
        </is>
      </c>
      <c r="D140" s="6" t="inlineStr">
        <is>
          <t>ResearchedUpgrade</t>
        </is>
      </c>
      <c r="E140" s="6" t="n"/>
      <c r="F140" s="6" t="n"/>
      <c r="H140" s="6" t="n">
        <v>0.8919</v>
      </c>
      <c r="I140" s="6" t="n">
        <v>1</v>
      </c>
      <c r="J140" s="6" t="n">
        <v>1</v>
      </c>
      <c r="K140" s="6" t="n"/>
      <c r="X140" s="6" t="n">
        <v>5000</v>
      </c>
    </row>
    <row r="141">
      <c r="A141" t="inlineStr">
        <is>
          <t>starcraft</t>
        </is>
      </c>
      <c r="B141" t="inlineStr">
        <is>
          <t>terran_upgrade_vehicleplatinglevel1</t>
        </is>
      </c>
      <c r="C141" t="inlineStr">
        <is>
          <t>Vehicle Plating Level 1</t>
        </is>
      </c>
      <c r="D141" s="6" t="inlineStr">
        <is>
          <t>ResearchedUpgrade</t>
        </is>
      </c>
      <c r="E141" s="6" t="n"/>
      <c r="F141" s="6" t="n"/>
      <c r="H141" s="6" t="n">
        <v>0.8919</v>
      </c>
      <c r="I141" s="6" t="n">
        <v>1</v>
      </c>
      <c r="J141" s="6" t="n">
        <v>1</v>
      </c>
      <c r="K141" s="6" t="n"/>
      <c r="X141" s="6" t="n">
        <v>2500</v>
      </c>
    </row>
    <row r="142">
      <c r="A142" t="inlineStr">
        <is>
          <t>starcraft</t>
        </is>
      </c>
      <c r="B142" t="inlineStr">
        <is>
          <t>terran_upgrade_vehicleplatinglevel2</t>
        </is>
      </c>
      <c r="C142" t="inlineStr">
        <is>
          <t>Vehicle Plating Level 2</t>
        </is>
      </c>
      <c r="D142" s="6" t="inlineStr">
        <is>
          <t>ResearchedUpgrade</t>
        </is>
      </c>
      <c r="E142" s="6" t="n"/>
      <c r="F142" s="6" t="n"/>
      <c r="H142" s="6" t="n">
        <v>0.6226</v>
      </c>
      <c r="I142" s="6" t="n">
        <v>1</v>
      </c>
      <c r="J142" s="6" t="n">
        <v>1</v>
      </c>
      <c r="K142" s="6" t="n"/>
      <c r="X142" s="6" t="n">
        <v>5000</v>
      </c>
    </row>
    <row r="143">
      <c r="A143" t="inlineStr">
        <is>
          <t>starcraft</t>
        </is>
      </c>
      <c r="B143" t="inlineStr">
        <is>
          <t>terran_upgrade_vehicleweaponslevel1</t>
        </is>
      </c>
      <c r="C143" t="inlineStr">
        <is>
          <t>Vehicle Weapons Level 1</t>
        </is>
      </c>
      <c r="D143" s="6" t="inlineStr">
        <is>
          <t>ResearchedUpgrade</t>
        </is>
      </c>
      <c r="E143" s="6" t="n"/>
      <c r="F143" s="6" t="n"/>
      <c r="H143" s="6" t="n">
        <v>0.8919</v>
      </c>
      <c r="I143" s="6" t="n">
        <v>1</v>
      </c>
      <c r="J143" s="6" t="n">
        <v>1</v>
      </c>
      <c r="K143" s="6" t="n"/>
      <c r="X143" s="6" t="n">
        <v>2500</v>
      </c>
    </row>
    <row r="144">
      <c r="A144" t="inlineStr">
        <is>
          <t>starcraft</t>
        </is>
      </c>
      <c r="B144" t="inlineStr">
        <is>
          <t>terran_upgrade_vehicleweaponslevel2</t>
        </is>
      </c>
      <c r="C144" t="inlineStr">
        <is>
          <t>Vehicle Weapons Level 2</t>
        </is>
      </c>
      <c r="D144" s="6" t="inlineStr">
        <is>
          <t>ResearchedUpgrade</t>
        </is>
      </c>
      <c r="E144" s="6" t="n"/>
      <c r="F144" s="6" t="n"/>
      <c r="H144" s="6" t="n">
        <v>0.6226</v>
      </c>
      <c r="I144" s="6" t="n">
        <v>1</v>
      </c>
      <c r="J144" s="6" t="n">
        <v>1</v>
      </c>
      <c r="K144" s="6" t="n"/>
      <c r="X144" s="6" t="n">
        <v>5000</v>
      </c>
    </row>
    <row r="145">
      <c r="A145" t="inlineStr">
        <is>
          <t>starcraft</t>
        </is>
      </c>
      <c r="B145" t="inlineStr">
        <is>
          <t>terran_upgrade_yamatocannonandtacticaljumpupgrade</t>
        </is>
      </c>
      <c r="C145" t="inlineStr">
        <is>
          <t>Yamato Cannon and Tactical Jump Upgrade</t>
        </is>
      </c>
      <c r="D145" s="6" t="inlineStr">
        <is>
          <t>ResearchedUpgrade</t>
        </is>
      </c>
      <c r="E145" s="6" t="n"/>
      <c r="F145" s="6" t="n"/>
      <c r="H145" s="6" t="n">
        <v>0.6226</v>
      </c>
      <c r="I145" s="6" t="n">
        <v>1</v>
      </c>
      <c r="J145" s="6" t="n">
        <v>1</v>
      </c>
      <c r="K145" s="6" t="n"/>
      <c r="X145" s="6" t="n">
        <v>2500</v>
      </c>
    </row>
    <row r="146">
      <c r="A146" s="4" t="inlineStr">
        <is>
          <t>PROMOTIONS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t="inlineStr">
        <is>
          <t>starcraft</t>
        </is>
      </c>
      <c r="B147" t="inlineStr">
        <is>
          <t>terran_promotion_cyclone</t>
        </is>
      </c>
      <c r="C147" t="inlineStr">
        <is>
          <t>Unlock Cyclone</t>
        </is>
      </c>
      <c r="D147" s="6" t="inlineStr">
        <is>
          <t>PromotionUpgrade</t>
        </is>
      </c>
      <c r="E147" s="6" t="n"/>
      <c r="F147" s="6" t="n"/>
      <c r="H147" s="6" t="n">
        <v>1</v>
      </c>
      <c r="I147" s="6" t="n">
        <v>1</v>
      </c>
      <c r="J147" s="6" t="n">
        <v>1</v>
      </c>
      <c r="K147" s="6" t="n"/>
      <c r="X147" s="6" t="n"/>
    </row>
    <row r="148">
      <c r="A148" t="inlineStr">
        <is>
          <t>starcraft</t>
        </is>
      </c>
      <c r="B148" t="inlineStr">
        <is>
          <t>terran_promotion_goliathmk2</t>
        </is>
      </c>
      <c r="C148" t="inlineStr">
        <is>
          <t>Unlock Goliath Mk2</t>
        </is>
      </c>
      <c r="D148" s="6" t="inlineStr">
        <is>
          <t>PromotionUpgrade</t>
        </is>
      </c>
      <c r="E148" s="6" t="n"/>
      <c r="F148" s="6" t="n"/>
      <c r="H148" s="6" t="n">
        <v>1</v>
      </c>
      <c r="I148" s="6" t="n">
        <v>1</v>
      </c>
      <c r="J148" s="6" t="n">
        <v>1</v>
      </c>
      <c r="K148" s="6" t="n"/>
      <c r="X148" s="6" t="n"/>
    </row>
    <row r="149">
      <c r="A149" t="inlineStr">
        <is>
          <t>starcraft</t>
        </is>
      </c>
      <c r="B149" t="inlineStr">
        <is>
          <t>terran_promotion_harakan</t>
        </is>
      </c>
      <c r="C149" t="inlineStr">
        <is>
          <t>Unlock Harakan</t>
        </is>
      </c>
      <c r="D149" s="6" t="inlineStr">
        <is>
          <t>PromotionUpgrade</t>
        </is>
      </c>
      <c r="E149" s="6" t="n"/>
      <c r="F149" s="6" t="n"/>
      <c r="H149" s="6" t="n">
        <v>1</v>
      </c>
      <c r="I149" s="6" t="n">
        <v>1</v>
      </c>
      <c r="J149" s="6" t="n">
        <v>1</v>
      </c>
      <c r="K149" s="6" t="n"/>
      <c r="X149" s="6" t="n"/>
    </row>
    <row r="150">
      <c r="A150" t="inlineStr">
        <is>
          <t>starcraft</t>
        </is>
      </c>
      <c r="B150" t="inlineStr">
        <is>
          <t>terran_promotion_madcap</t>
        </is>
      </c>
      <c r="C150" t="inlineStr">
        <is>
          <t>Unlock Madcap</t>
        </is>
      </c>
      <c r="D150" s="6" t="inlineStr">
        <is>
          <t>PromotionUpgrade</t>
        </is>
      </c>
      <c r="E150" s="6" t="n"/>
      <c r="F150" s="6" t="n"/>
      <c r="H150" s="6" t="n">
        <v>1</v>
      </c>
      <c r="I150" s="6" t="n">
        <v>1</v>
      </c>
      <c r="J150" s="6" t="n">
        <v>1</v>
      </c>
      <c r="K150" s="6" t="n"/>
      <c r="X150" s="6" t="n"/>
    </row>
    <row r="151">
      <c r="A151" t="inlineStr">
        <is>
          <t>starcraft</t>
        </is>
      </c>
      <c r="B151" t="inlineStr">
        <is>
          <t>terran_promotion_matador</t>
        </is>
      </c>
      <c r="C151" t="inlineStr">
        <is>
          <t>Unlock Matador</t>
        </is>
      </c>
      <c r="D151" s="6" t="inlineStr">
        <is>
          <t>PromotionUpgrade</t>
        </is>
      </c>
      <c r="E151" s="6" t="n"/>
      <c r="F151" s="6" t="n"/>
      <c r="H151" s="6" t="n">
        <v>1</v>
      </c>
      <c r="I151" s="6" t="n">
        <v>1</v>
      </c>
      <c r="J151" s="6" t="n">
        <v>1</v>
      </c>
      <c r="K151" s="6" t="n"/>
      <c r="X151" s="6" t="n"/>
    </row>
    <row r="152">
      <c r="A152" t="inlineStr">
        <is>
          <t>starcraft</t>
        </is>
      </c>
      <c r="B152" t="inlineStr">
        <is>
          <t>terran_promotion_phobos</t>
        </is>
      </c>
      <c r="C152" t="inlineStr">
        <is>
          <t>Unlock Phobos</t>
        </is>
      </c>
      <c r="D152" s="6" t="inlineStr">
        <is>
          <t>PromotionUpgrade</t>
        </is>
      </c>
      <c r="E152" s="6" t="n"/>
      <c r="F152" s="6" t="n"/>
      <c r="H152" s="6" t="n">
        <v>1</v>
      </c>
      <c r="I152" s="6" t="n">
        <v>1</v>
      </c>
      <c r="J152" s="6" t="n">
        <v>1</v>
      </c>
      <c r="K152" s="6" t="n"/>
      <c r="X152" s="6" t="n"/>
    </row>
    <row r="153">
      <c r="A153" t="inlineStr">
        <is>
          <t>starcraft</t>
        </is>
      </c>
      <c r="B153" t="inlineStr">
        <is>
          <t>terran_promotion_pythean</t>
        </is>
      </c>
      <c r="C153" t="inlineStr">
        <is>
          <t>Unlock Pythean</t>
        </is>
      </c>
      <c r="D153" s="6" t="inlineStr">
        <is>
          <t>PromotionUpgrade</t>
        </is>
      </c>
      <c r="E153" s="6" t="n"/>
      <c r="F153" s="6" t="n"/>
      <c r="H153" s="6" t="n">
        <v>1</v>
      </c>
      <c r="I153" s="6" t="n">
        <v>1</v>
      </c>
      <c r="J153" s="6" t="n">
        <v>1</v>
      </c>
      <c r="K153" s="6" t="n"/>
      <c r="X153" s="6" t="n"/>
    </row>
    <row r="154">
      <c r="A154" t="inlineStr">
        <is>
          <t>starcraft</t>
        </is>
      </c>
      <c r="B154" t="inlineStr">
        <is>
          <t>terran_promotion_raven</t>
        </is>
      </c>
      <c r="C154" t="inlineStr">
        <is>
          <t>Unlock Raven</t>
        </is>
      </c>
      <c r="D154" s="6" t="inlineStr">
        <is>
          <t>PromotionUpgrade</t>
        </is>
      </c>
      <c r="E154" s="6" t="n"/>
      <c r="F154" s="6" t="n"/>
      <c r="H154" s="6" t="n">
        <v>1</v>
      </c>
      <c r="I154" s="6" t="n">
        <v>1</v>
      </c>
      <c r="J154" s="6" t="n">
        <v>1</v>
      </c>
      <c r="K154" s="6" t="n"/>
      <c r="X154" s="6" t="n"/>
    </row>
    <row r="155">
      <c r="A155" t="inlineStr">
        <is>
          <t>starcraft</t>
        </is>
      </c>
      <c r="B155" t="inlineStr">
        <is>
          <t>terran_promotion_spectreandmedivac</t>
        </is>
      </c>
      <c r="C155" t="inlineStr">
        <is>
          <t>Unlock Spectre and Medivac</t>
        </is>
      </c>
      <c r="D155" s="6" t="inlineStr">
        <is>
          <t>PromotionUpgrade</t>
        </is>
      </c>
      <c r="E155" s="6" t="n"/>
      <c r="F155" s="6" t="n"/>
      <c r="H155" s="6" t="n">
        <v>1</v>
      </c>
      <c r="I155" s="6" t="n">
        <v>1</v>
      </c>
      <c r="J155" s="6" t="n">
        <v>1</v>
      </c>
      <c r="K155" s="6" t="n"/>
      <c r="X155" s="6" t="n"/>
    </row>
    <row r="156">
      <c r="A156" t="inlineStr">
        <is>
          <t>starcraft</t>
        </is>
      </c>
      <c r="B156" t="inlineStr">
        <is>
          <t>terran_promotion_sundog</t>
        </is>
      </c>
      <c r="C156" t="inlineStr">
        <is>
          <t>Unlock Sundog</t>
        </is>
      </c>
      <c r="D156" s="6" t="inlineStr">
        <is>
          <t>PromotionUpgrade</t>
        </is>
      </c>
      <c r="E156" s="6" t="n"/>
      <c r="F156" s="6" t="n"/>
      <c r="H156" s="6" t="n">
        <v>1</v>
      </c>
      <c r="I156" s="6" t="n">
        <v>1</v>
      </c>
      <c r="J156" s="6" t="n">
        <v>1</v>
      </c>
      <c r="K156" s="6" t="n"/>
      <c r="X156" s="6" t="n"/>
    </row>
    <row r="157">
      <c r="A157" t="inlineStr">
        <is>
          <t>starcraft</t>
        </is>
      </c>
      <c r="B157" t="inlineStr">
        <is>
          <t>terran_promotion_warhound</t>
        </is>
      </c>
      <c r="C157" t="inlineStr">
        <is>
          <t>Unlock Warhound</t>
        </is>
      </c>
      <c r="D157" s="6" t="inlineStr">
        <is>
          <t>PromotionUpgrade</t>
        </is>
      </c>
      <c r="E157" s="6" t="n"/>
      <c r="F157" s="6" t="n"/>
      <c r="H157" s="6" t="n">
        <v>1</v>
      </c>
      <c r="I157" s="6" t="n">
        <v>1</v>
      </c>
      <c r="J157" s="6" t="n">
        <v>1</v>
      </c>
      <c r="K157" s="6" t="n"/>
      <c r="X157" s="6" t="n"/>
    </row>
    <row r="158">
      <c r="A158" t="inlineStr">
        <is>
          <t>starcraft</t>
        </is>
      </c>
      <c r="B158" t="inlineStr">
        <is>
          <t>terran_promotion_wyvern</t>
        </is>
      </c>
      <c r="C158" t="inlineStr">
        <is>
          <t>Unlock Wyvern</t>
        </is>
      </c>
      <c r="D158" s="6" t="inlineStr">
        <is>
          <t>PromotionUpgrade</t>
        </is>
      </c>
      <c r="E158" s="6" t="n"/>
      <c r="F158" s="6" t="n"/>
      <c r="H158" s="6" t="n">
        <v>1</v>
      </c>
      <c r="I158" s="6" t="n">
        <v>1</v>
      </c>
      <c r="J158" s="6" t="n">
        <v>1</v>
      </c>
      <c r="K158" s="6" t="n"/>
      <c r="X158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5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warcraft2</t>
        </is>
      </c>
      <c r="B3" t="inlineStr">
        <is>
          <t>wc2_orcs_deathknight</t>
        </is>
      </c>
      <c r="C3" t="inlineStr">
        <is>
          <t>Death Knight</t>
        </is>
      </c>
      <c r="D3" s="6" t="inlineStr">
        <is>
          <t>SniperInfantry</t>
        </is>
      </c>
      <c r="E3" s="6" t="n">
        <v>50000</v>
      </c>
      <c r="F3" s="6" t="n">
        <v>65</v>
      </c>
      <c r="G3" t="inlineStr">
        <is>
          <t>Flak</t>
        </is>
      </c>
      <c r="H3" s="6" t="n">
        <v>0.6</v>
      </c>
      <c r="I3" s="6" t="n">
        <v>1</v>
      </c>
      <c r="J3" s="6" t="n">
        <v>1</v>
      </c>
      <c r="K3" s="6" t="n"/>
      <c r="P3">
        <f>MAX(P4,P6,P7,P8,P9,P10,P11)</f>
        <v/>
      </c>
      <c r="S3">
        <f>S4+S6+S7+S8+S9+S10+S11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wc2deathknightFire</t>
        </is>
      </c>
      <c r="C4" s="7" t="inlineStr">
        <is>
          <t>Armament</t>
        </is>
      </c>
      <c r="L4" s="6" t="n">
        <v>16000</v>
      </c>
      <c r="M4" s="6" t="n">
        <v>40</v>
      </c>
      <c r="N4" s="6" t="n">
        <v>1</v>
      </c>
      <c r="O4" s="6" t="n"/>
      <c r="P4" s="6" t="n">
        <v>8000</v>
      </c>
      <c r="Q4" s="6" t="n">
        <v>1.25</v>
      </c>
      <c r="R4">
        <f>M4+IF(N4&gt;1,N(O4)*(N4-1),0)</f>
        <v/>
      </c>
      <c r="S4">
        <f>IFERROR(L4*MAX(N4,1)/R4*IF(ISBLANK(K3),1,K3),0)</f>
        <v/>
      </c>
      <c r="AB4" s="7" t="inlineStr">
        <is>
          <t>^Warhead_Flame_Heavy, ^Warhead_Tesla_Super</t>
        </is>
      </c>
    </row>
    <row r="5">
      <c r="B5" s="7" t="inlineStr">
        <is>
          <t xml:space="preserve">  ↳ wc2deathknightFire</t>
        </is>
      </c>
      <c r="C5" s="7" t="inlineStr">
        <is>
          <t>Armament@GARRISONED</t>
        </is>
      </c>
      <c r="L5" s="6" t="n">
        <v>16000</v>
      </c>
      <c r="M5" s="6" t="n">
        <v>40</v>
      </c>
      <c r="N5" s="6" t="n">
        <v>1</v>
      </c>
      <c r="O5" s="6" t="n"/>
      <c r="P5" s="6" t="n">
        <v>8000</v>
      </c>
      <c r="Q5" s="6" t="n">
        <v>1.25</v>
      </c>
      <c r="R5">
        <f>M5+IF(N5&gt;1,N(O5)*(N5-1),0)</f>
        <v/>
      </c>
      <c r="S5">
        <f>IFERROR(L5*MAX(N5,1)/R5*IF(ISBLANK(K3),1,K3),0)</f>
        <v/>
      </c>
      <c r="AB5" s="7" t="inlineStr">
        <is>
          <t>^Warhead_Flame_Heavy, ^Warhead_Tesla_Super</t>
        </is>
      </c>
    </row>
    <row r="6">
      <c r="B6" s="7" t="inlineStr">
        <is>
          <t xml:space="preserve">  ↳ wc2deathknightDeathCoil</t>
        </is>
      </c>
      <c r="C6" s="7" t="inlineStr">
        <is>
          <t>Armament@DEATHCOIL</t>
        </is>
      </c>
      <c r="L6" s="6" t="n">
        <v>16000</v>
      </c>
      <c r="M6" s="6" t="n">
        <v>80</v>
      </c>
      <c r="N6" s="6" t="n">
        <v>1</v>
      </c>
      <c r="O6" s="6" t="n"/>
      <c r="P6" s="6" t="n">
        <v>8000</v>
      </c>
      <c r="Q6" s="6" t="n">
        <v>1.25</v>
      </c>
      <c r="R6">
        <f>M6+IF(N6&gt;1,N(O6)*(N6-1),0)</f>
        <v/>
      </c>
      <c r="S6">
        <f>IFERROR(L6*MAX(N6,1)/R6*IF(ISBLANK(K3),1,K3),0)</f>
        <v/>
      </c>
      <c r="AB6" s="7" t="inlineStr">
        <is>
          <t>^Warhead_Flame_Heavy, ^Warhead_Tesla_Super</t>
        </is>
      </c>
    </row>
    <row r="7">
      <c r="B7" s="7" t="inlineStr">
        <is>
          <t xml:space="preserve">  ↳ wc2deathknightDeathCoilScatter_Left</t>
        </is>
      </c>
      <c r="C7" s="7" t="inlineStr">
        <is>
          <t>Armament@DEATHCOILSCATTER1</t>
        </is>
      </c>
      <c r="L7" s="6" t="n">
        <v>16000</v>
      </c>
      <c r="M7" s="6" t="n">
        <v>80</v>
      </c>
      <c r="N7" s="6" t="n">
        <v>1</v>
      </c>
      <c r="O7" s="6" t="n"/>
      <c r="P7" s="6" t="n">
        <v>8000</v>
      </c>
      <c r="Q7" s="6" t="n">
        <v>1.25</v>
      </c>
      <c r="R7">
        <f>M7+IF(N7&gt;1,N(O7)*(N7-1),0)</f>
        <v/>
      </c>
      <c r="S7">
        <f>IFERROR(L7*MAX(N7,1)/R7*IF(ISBLANK(K3),1,K3),0)</f>
        <v/>
      </c>
      <c r="AB7" s="7" t="inlineStr">
        <is>
          <t>^Warhead_Flame_Heavy, ^Warhead_Tesla_Super</t>
        </is>
      </c>
    </row>
    <row r="8">
      <c r="B8" s="7" t="inlineStr">
        <is>
          <t xml:space="preserve">  ↳ wc2deathknightDeathCoilScatter_Right</t>
        </is>
      </c>
      <c r="C8" s="7" t="inlineStr">
        <is>
          <t>Armament@DEATHCOILSCATTER2</t>
        </is>
      </c>
      <c r="L8" s="6" t="n">
        <v>16000</v>
      </c>
      <c r="M8" s="6" t="n">
        <v>80</v>
      </c>
      <c r="N8" s="6" t="n">
        <v>1</v>
      </c>
      <c r="O8" s="6" t="n"/>
      <c r="P8" s="6" t="n">
        <v>8000</v>
      </c>
      <c r="Q8" s="6" t="n">
        <v>1.25</v>
      </c>
      <c r="R8">
        <f>M8+IF(N8&gt;1,N(O8)*(N8-1),0)</f>
        <v/>
      </c>
      <c r="S8">
        <f>IFERROR(L8*MAX(N8,1)/R8*IF(ISBLANK(K3),1,K3),0)</f>
        <v/>
      </c>
      <c r="AB8" s="7" t="inlineStr">
        <is>
          <t>^Warhead_Flame_Heavy, ^Warhead_Tesla_Super</t>
        </is>
      </c>
    </row>
    <row r="9">
      <c r="B9" s="7" t="inlineStr">
        <is>
          <t xml:space="preserve">  ↳ wc2deathknightHaste</t>
        </is>
      </c>
      <c r="C9" s="7" t="inlineStr">
        <is>
          <t>Armament@HASTE</t>
        </is>
      </c>
      <c r="L9" s="6" t="n">
        <v>1</v>
      </c>
      <c r="M9" s="6" t="n">
        <v>60</v>
      </c>
      <c r="N9" s="6" t="n">
        <v>1</v>
      </c>
      <c r="O9" s="6" t="n"/>
      <c r="P9" s="6" t="n">
        <v>5120</v>
      </c>
      <c r="Q9" s="6" t="n">
        <v>1</v>
      </c>
      <c r="R9">
        <f>M9+IF(N9&gt;1,N(O9)*(N9-1),0)</f>
        <v/>
      </c>
      <c r="S9">
        <f>IFERROR(L9*MAX(N9,1)/R9*IF(ISBLANK(K3),1,K3),0)</f>
        <v/>
      </c>
      <c r="AB9" s="7" t="inlineStr"/>
    </row>
    <row r="10">
      <c r="B10" s="7" t="inlineStr">
        <is>
          <t xml:space="preserve">  ↳ wc2deathknightDeathAndDecay</t>
        </is>
      </c>
      <c r="C10" s="7" t="inlineStr">
        <is>
          <t>Armament@DEATHANDDECAY</t>
        </is>
      </c>
      <c r="L10" s="6" t="n">
        <v>1</v>
      </c>
      <c r="M10" s="6" t="n">
        <v>50</v>
      </c>
      <c r="N10" s="6" t="n">
        <v>1</v>
      </c>
      <c r="O10" s="6" t="n"/>
      <c r="P10" s="6" t="n">
        <v>8000</v>
      </c>
      <c r="Q10" s="6" t="n">
        <v>1</v>
      </c>
      <c r="R10">
        <f>M10+IF(N10&gt;1,N(O10)*(N10-1),0)</f>
        <v/>
      </c>
      <c r="S10">
        <f>IFERROR(L10*MAX(N10,1)/R10*IF(ISBLANK(K3),1,K3),0)</f>
        <v/>
      </c>
      <c r="AB10" s="7" t="inlineStr">
        <is>
          <t>wc2mageBlizzard</t>
        </is>
      </c>
    </row>
    <row r="11">
      <c r="B11" s="7" t="inlineStr">
        <is>
          <t xml:space="preserve">  ↳ wc2deathknightRaiseDead</t>
        </is>
      </c>
      <c r="C11" s="7" t="inlineStr">
        <is>
          <t>Armament@RAISEDEAD</t>
        </is>
      </c>
      <c r="L11" s="6" t="n">
        <v>0</v>
      </c>
      <c r="M11" s="6" t="n">
        <v>60</v>
      </c>
      <c r="N11" s="6" t="n">
        <v>1</v>
      </c>
      <c r="O11" s="6" t="n"/>
      <c r="P11" s="6" t="n">
        <v>5120</v>
      </c>
      <c r="Q11" s="6" t="n">
        <v>1</v>
      </c>
      <c r="R11">
        <f>M11+IF(N11&gt;1,N(O11)*(N11-1),0)</f>
        <v/>
      </c>
      <c r="S11">
        <f>IFERROR(L11*MAX(N11,1)/R11*IF(ISBLANK(K3),1,K3),0)</f>
        <v/>
      </c>
      <c r="AB11" s="7" t="inlineStr"/>
    </row>
    <row r="12">
      <c r="A12" t="inlineStr">
        <is>
          <t>warcraft2</t>
        </is>
      </c>
      <c r="B12" t="inlineStr">
        <is>
          <t>wc2_orcs_grunt</t>
        </is>
      </c>
      <c r="C12" t="inlineStr">
        <is>
          <t>Grunt</t>
        </is>
      </c>
      <c r="D12" s="6" t="inlineStr">
        <is>
          <t>MeleeInfantry</t>
        </is>
      </c>
      <c r="E12" s="6" t="n">
        <v>65000</v>
      </c>
      <c r="F12" s="6" t="n">
        <v>65</v>
      </c>
      <c r="G12" t="inlineStr">
        <is>
          <t>Plate</t>
        </is>
      </c>
      <c r="H12" s="6" t="n">
        <v>1</v>
      </c>
      <c r="I12" s="6" t="n">
        <v>0.75</v>
      </c>
      <c r="J12" s="6" t="n">
        <v>1</v>
      </c>
      <c r="K12" s="6" t="n">
        <v>0.013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600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wc2gruntslice</t>
        </is>
      </c>
      <c r="C13" s="7" t="inlineStr">
        <is>
          <t>Armament</t>
        </is>
      </c>
      <c r="L13" s="6" t="n">
        <v>16000</v>
      </c>
      <c r="M13" s="6" t="n">
        <v>18</v>
      </c>
      <c r="N13" s="6" t="n">
        <v>1</v>
      </c>
      <c r="O13" s="6" t="n"/>
      <c r="P13" s="6" t="n">
        <v>1555</v>
      </c>
      <c r="Q13" s="6" t="n">
        <v>1</v>
      </c>
      <c r="R13">
        <f>M13+IF(N13&gt;1,N(O13)*(N13-1),0)</f>
        <v/>
      </c>
      <c r="S13">
        <f>IFERROR(L13*MAX(N13,1)/R13*IF(ISBLANK(K12),1,K12),0)</f>
        <v/>
      </c>
      <c r="AB13" s="7" t="inlineStr">
        <is>
          <t>^Warhead_Melee_Medium</t>
        </is>
      </c>
    </row>
    <row r="14">
      <c r="A14" t="inlineStr">
        <is>
          <t>warcraft2</t>
        </is>
      </c>
      <c r="B14" t="inlineStr">
        <is>
          <t>wc2_orcs_kodobeast</t>
        </is>
      </c>
      <c r="C14" t="inlineStr">
        <is>
          <t>Kodo Beast</t>
        </is>
      </c>
      <c r="D14" s="6" t="inlineStr">
        <is>
          <t>AntiTankAntiAirInfantry</t>
        </is>
      </c>
      <c r="E14" s="6" t="n">
        <v>125000</v>
      </c>
      <c r="F14" s="6" t="n">
        <v>60</v>
      </c>
      <c r="G14" t="inlineStr">
        <is>
          <t>Flak</t>
        </is>
      </c>
      <c r="H14" s="6" t="n">
        <v>1</v>
      </c>
      <c r="I14" s="6" t="n">
        <v>0.5</v>
      </c>
      <c r="J14" s="6" t="n">
        <v>1.25</v>
      </c>
      <c r="K14" s="6" t="n"/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(T14+U14+V14)/3</f>
        <v/>
      </c>
      <c r="X14" s="6" t="n">
        <v>1000</v>
      </c>
      <c r="Y14">
        <f>IFERROR(W14-X14,"")</f>
        <v/>
      </c>
      <c r="Z14">
        <f>IFERROR(ABS(Y14)/MAX(X14,1),"")</f>
        <v/>
      </c>
      <c r="AA14">
        <f>IFERROR((X14-(((E14/100000+F14/100+S14/200)*200*I14*H14)+((E14*F14/25000)*I14*H14))/3)/(((J14/5)*200*I14*H14)+((J14*S14/2.5)*I14*H14)+((E14*F14*J14*S14*I14*H14)/12500000))/3*1000,"")</f>
        <v/>
      </c>
    </row>
    <row r="15">
      <c r="B15" s="7" t="inlineStr">
        <is>
          <t xml:space="preserve">  ↳ wc2axeFire</t>
        </is>
      </c>
      <c r="C15" s="7" t="inlineStr">
        <is>
          <t>Armament</t>
        </is>
      </c>
      <c r="L15" s="6" t="n">
        <v>24000</v>
      </c>
      <c r="M15" s="6" t="n">
        <v>38</v>
      </c>
      <c r="N15" s="6" t="n">
        <v>1</v>
      </c>
      <c r="O15" s="6" t="n"/>
      <c r="P15" s="6" t="n">
        <v>6445</v>
      </c>
      <c r="Q15" s="6" t="n">
        <v>1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^Warhead_CannonHE_Medium</t>
        </is>
      </c>
    </row>
    <row r="16">
      <c r="B16" s="7" t="inlineStr">
        <is>
          <t xml:space="preserve">  ↳ wc2axeFire</t>
        </is>
      </c>
      <c r="C16" s="7" t="inlineStr">
        <is>
          <t>Armament@GARRISONED</t>
        </is>
      </c>
      <c r="L16" s="6" t="n">
        <v>24000</v>
      </c>
      <c r="M16" s="6" t="n">
        <v>38</v>
      </c>
      <c r="N16" s="6" t="n">
        <v>1</v>
      </c>
      <c r="O16" s="6" t="n"/>
      <c r="P16" s="6" t="n">
        <v>6445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^Warhead_CannonHE_Medium</t>
        </is>
      </c>
    </row>
    <row r="17">
      <c r="A17" t="inlineStr">
        <is>
          <t>warcraft2</t>
        </is>
      </c>
      <c r="B17" t="inlineStr">
        <is>
          <t>wc2_orcs_ogre</t>
        </is>
      </c>
      <c r="C17" t="inlineStr">
        <is>
          <t>Ogre</t>
        </is>
      </c>
      <c r="D17" s="6" t="inlineStr">
        <is>
          <t>LineBreaker</t>
        </is>
      </c>
      <c r="E17" s="6" t="n">
        <v>200000</v>
      </c>
      <c r="F17" s="6" t="n">
        <v>85</v>
      </c>
      <c r="G17" t="inlineStr">
        <is>
          <t>Superheavy</t>
        </is>
      </c>
      <c r="H17" s="6" t="n">
        <v>0.75</v>
      </c>
      <c r="I17" s="6" t="n">
        <v>1</v>
      </c>
      <c r="J17" s="6" t="n">
        <v>1</v>
      </c>
      <c r="K17" s="6" t="n"/>
      <c r="P17">
        <f>MAX(P18,P19,P20,P21)</f>
        <v/>
      </c>
      <c r="S17">
        <f>S18+S19+S20+S21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(((E17/240000)+(F17/95)+(S17/600)+((P17/5500)*J17))*800/4+(((E17/240000)*(F17/95))+(((P17/5500)*J17)*(S17/600)))*800/2+((E17/240000)*(F17/95)*((P17/5500)*J17)*(S17/600))*800)*(H17/1.0)/3</f>
        <v/>
      </c>
      <c r="X17" s="6" t="n">
        <v>1800</v>
      </c>
      <c r="Y17">
        <f>IFERROR(W17-X17,"")</f>
        <v/>
      </c>
      <c r="Z17">
        <f>IFERROR(ABS(Y17)/MAX(X17,1),"")</f>
        <v/>
      </c>
      <c r="AA17">
        <f>IFERROR(ROUND(((3*X17-(((E17/240000)+(F17/95)+(S17/600))*800/4+((E17/240000)*(F17/95))*800/2)*(H17/1.0))/(800/4+((S17/600))*800/2+((E17/240000)*(F17/95)*(S17/600))*800)*(H17/1.0)*5500)/J17,-1),"")</f>
        <v/>
      </c>
    </row>
    <row r="18">
      <c r="B18" s="7" t="inlineStr">
        <is>
          <t xml:space="preserve">  ↳ wc2ogrepunch</t>
        </is>
      </c>
      <c r="C18" s="7" t="inlineStr">
        <is>
          <t>Armament</t>
        </is>
      </c>
      <c r="L18" s="6" t="n">
        <v>30000</v>
      </c>
      <c r="M18" s="6" t="n">
        <v>20</v>
      </c>
      <c r="N18" s="6" t="n">
        <v>1</v>
      </c>
      <c r="O18" s="6" t="n"/>
      <c r="P18" s="6" t="n">
        <v>1660</v>
      </c>
      <c r="Q18" s="6" t="n">
        <v>1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^Warhead_Melee_Medium</t>
        </is>
      </c>
    </row>
    <row r="19">
      <c r="B19" s="7" t="inlineStr">
        <is>
          <t xml:space="preserve">  ↳ wc2ogremageEyeOfKilrogg</t>
        </is>
      </c>
      <c r="C19" s="7" t="inlineStr">
        <is>
          <t>Armament@EYEOFKILROGG</t>
        </is>
      </c>
      <c r="L19" s="6" t="n">
        <v>0</v>
      </c>
      <c r="M19" s="6" t="n">
        <v>60</v>
      </c>
      <c r="N19" s="6" t="n">
        <v>1</v>
      </c>
      <c r="O19" s="6" t="n"/>
      <c r="P19" s="6" t="n">
        <v>5120</v>
      </c>
      <c r="Q19" s="6" t="n">
        <v>1</v>
      </c>
      <c r="R19">
        <f>M19+IF(N19&gt;1,N(O19)*(N19-1),0)</f>
        <v/>
      </c>
      <c r="S19">
        <f>IFERROR(L19*MAX(N19,1)/R19*IF(ISBLANK(K17),1,K17),0)</f>
        <v/>
      </c>
      <c r="AB19" s="7" t="inlineStr"/>
    </row>
    <row r="20">
      <c r="B20" s="7" t="inlineStr">
        <is>
          <t xml:space="preserve">  ↳ wc2ogremageBloodlust</t>
        </is>
      </c>
      <c r="C20" s="7" t="inlineStr">
        <is>
          <t>Armament@BLOODLUST</t>
        </is>
      </c>
      <c r="L20" s="6" t="n">
        <v>1</v>
      </c>
      <c r="M20" s="6" t="n">
        <v>60</v>
      </c>
      <c r="N20" s="6" t="n">
        <v>1</v>
      </c>
      <c r="O20" s="6" t="n"/>
      <c r="P20" s="6" t="n">
        <v>5120</v>
      </c>
      <c r="Q20" s="6" t="n">
        <v>1</v>
      </c>
      <c r="R20">
        <f>M20+IF(N20&gt;1,N(O20)*(N20-1),0)</f>
        <v/>
      </c>
      <c r="S20">
        <f>IFERROR(L20*MAX(N20,1)/R20*IF(ISBLANK(K17),1,K17),0)</f>
        <v/>
      </c>
      <c r="AB20" s="7" t="inlineStr"/>
    </row>
    <row r="21">
      <c r="B21" s="7" t="inlineStr">
        <is>
          <t xml:space="preserve">  ↳ wc2ogremageRunes</t>
        </is>
      </c>
      <c r="C21" s="7" t="inlineStr">
        <is>
          <t>Armament@RUNES</t>
        </is>
      </c>
      <c r="L21" s="6" t="n">
        <v>0</v>
      </c>
      <c r="M21" s="6" t="n">
        <v>60</v>
      </c>
      <c r="N21" s="6" t="n">
        <v>1</v>
      </c>
      <c r="O21" s="6" t="n"/>
      <c r="P21" s="6" t="n">
        <v>5120</v>
      </c>
      <c r="Q21" s="6" t="n">
        <v>1</v>
      </c>
      <c r="R21">
        <f>M21+IF(N21&gt;1,N(O21)*(N21-1),0)</f>
        <v/>
      </c>
      <c r="S21">
        <f>IFERROR(L21*MAX(N21,1)/R21*IF(ISBLANK(K17),1,K17),0)</f>
        <v/>
      </c>
      <c r="AB21" s="7" t="inlineStr"/>
    </row>
    <row r="22">
      <c r="A22" t="inlineStr">
        <is>
          <t>warcraft2</t>
        </is>
      </c>
      <c r="B22" t="inlineStr">
        <is>
          <t>wc2_orcs_trollaxethrower</t>
        </is>
      </c>
      <c r="C22" t="inlineStr">
        <is>
          <t>Troll Axethrower</t>
        </is>
      </c>
      <c r="D22" s="6" t="inlineStr">
        <is>
          <t>AntiTankAntiAirInfantry</t>
        </is>
      </c>
      <c r="E22" s="6" t="n">
        <v>30000</v>
      </c>
      <c r="F22" s="6" t="n">
        <v>60</v>
      </c>
      <c r="G22" t="inlineStr">
        <is>
          <t>Flak</t>
        </is>
      </c>
      <c r="H22" s="6" t="n">
        <v>1</v>
      </c>
      <c r="I22" s="6" t="n">
        <v>0.5</v>
      </c>
      <c r="J22" s="6" t="n">
        <v>1</v>
      </c>
      <c r="K22" s="6" t="n"/>
      <c r="P22">
        <f>MAX(P23)</f>
        <v/>
      </c>
      <c r="S22">
        <f>S23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500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wc2axeFire</t>
        </is>
      </c>
      <c r="C23" s="7" t="inlineStr">
        <is>
          <t>Armament</t>
        </is>
      </c>
      <c r="L23" s="6" t="n">
        <v>24000</v>
      </c>
      <c r="M23" s="6" t="n">
        <v>38</v>
      </c>
      <c r="N23" s="6" t="n">
        <v>1</v>
      </c>
      <c r="O23" s="6" t="n"/>
      <c r="P23" s="6" t="n">
        <v>6445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^Warhead_CannonHE_Medium</t>
        </is>
      </c>
    </row>
    <row r="24">
      <c r="B24" s="7" t="inlineStr">
        <is>
          <t xml:space="preserve">  ↳ wc2axeFire</t>
        </is>
      </c>
      <c r="C24" s="7" t="inlineStr">
        <is>
          <t>Armament@GARRISONED</t>
        </is>
      </c>
      <c r="L24" s="6" t="n">
        <v>24000</v>
      </c>
      <c r="M24" s="6" t="n">
        <v>38</v>
      </c>
      <c r="N24" s="6" t="n">
        <v>1</v>
      </c>
      <c r="O24" s="6" t="n"/>
      <c r="P24" s="6" t="n">
        <v>6445</v>
      </c>
      <c r="Q24" s="6" t="n">
        <v>1</v>
      </c>
      <c r="R24">
        <f>M24+IF(N24&gt;1,N(O24)*(N24-1),0)</f>
        <v/>
      </c>
      <c r="S24">
        <f>IFERROR(L24*MAX(N24,1)/R24*IF(ISBLANK(K22),1,K22),0)</f>
        <v/>
      </c>
      <c r="AB24" s="7" t="inlineStr">
        <is>
          <t>^Warhead_CannonHE_Medium</t>
        </is>
      </c>
    </row>
    <row r="25">
      <c r="A25" t="inlineStr">
        <is>
          <t>warcraft2</t>
        </is>
      </c>
      <c r="B25" t="inlineStr">
        <is>
          <t>wc2_orcs_trollberserker</t>
        </is>
      </c>
      <c r="C25" t="inlineStr">
        <is>
          <t>Troll Berserker</t>
        </is>
      </c>
      <c r="D25" s="6" t="inlineStr">
        <is>
          <t>AntiTankAntiAirInfantry</t>
        </is>
      </c>
      <c r="E25" s="6" t="n">
        <v>30000</v>
      </c>
      <c r="F25" s="6" t="n">
        <v>60</v>
      </c>
      <c r="G25" t="inlineStr">
        <is>
          <t>Flak</t>
        </is>
      </c>
      <c r="H25" s="6" t="n">
        <v>1</v>
      </c>
      <c r="I25" s="6" t="n">
        <v>1</v>
      </c>
      <c r="J25" s="6" t="n">
        <v>1</v>
      </c>
      <c r="K25" s="6" t="n"/>
      <c r="P25">
        <f>MAX(P26)</f>
        <v/>
      </c>
      <c r="S25">
        <f>S26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(T25+U25+V25)/3</f>
        <v/>
      </c>
      <c r="X25" s="6" t="n">
        <v>500</v>
      </c>
      <c r="Y25">
        <f>IFERROR(W25-X25,"")</f>
        <v/>
      </c>
      <c r="Z25">
        <f>IFERROR(ABS(Y25)/MAX(X25,1),"")</f>
        <v/>
      </c>
      <c r="AA25">
        <f>IFERROR((X25-(((E25/100000+F25/100+S25/200)*200*I25*H25)+((E25*F25/25000)*I25*H25))/3)/(((J25/5)*200*I25*H25)+((J25*S25/2.5)*I25*H25)+((E25*F25*J25*S25*I25*H25)/12500000))/3*1000,"")</f>
        <v/>
      </c>
    </row>
    <row r="26">
      <c r="B26" s="7" t="inlineStr">
        <is>
          <t xml:space="preserve">  ↳ wc2axeFire</t>
        </is>
      </c>
      <c r="C26" s="7" t="inlineStr">
        <is>
          <t>Armament</t>
        </is>
      </c>
      <c r="L26" s="6" t="n">
        <v>24000</v>
      </c>
      <c r="M26" s="6" t="n">
        <v>38</v>
      </c>
      <c r="N26" s="6" t="n">
        <v>1</v>
      </c>
      <c r="O26" s="6" t="n"/>
      <c r="P26" s="6" t="n">
        <v>6445</v>
      </c>
      <c r="Q26" s="6" t="n">
        <v>1</v>
      </c>
      <c r="R26">
        <f>M26+IF(N26&gt;1,N(O26)*(N26-1),0)</f>
        <v/>
      </c>
      <c r="S26">
        <f>IFERROR(L26*MAX(N26,1)/R26*IF(ISBLANK(K25),1,K25),0)</f>
        <v/>
      </c>
      <c r="AB26" s="7" t="inlineStr">
        <is>
          <t>^Warhead_CannonHE_Medium</t>
        </is>
      </c>
    </row>
    <row r="27">
      <c r="B27" s="7" t="inlineStr">
        <is>
          <t xml:space="preserve">  ↳ wc2axeFire</t>
        </is>
      </c>
      <c r="C27" s="7" t="inlineStr">
        <is>
          <t>Armament@GARRISONED</t>
        </is>
      </c>
      <c r="L27" s="6" t="n">
        <v>24000</v>
      </c>
      <c r="M27" s="6" t="n">
        <v>38</v>
      </c>
      <c r="N27" s="6" t="n">
        <v>1</v>
      </c>
      <c r="O27" s="6" t="n"/>
      <c r="P27" s="6" t="n">
        <v>6445</v>
      </c>
      <c r="Q27" s="6" t="n">
        <v>1</v>
      </c>
      <c r="R27">
        <f>M27+IF(N27&gt;1,N(O27)*(N27-1),0)</f>
        <v/>
      </c>
      <c r="S27">
        <f>IFERROR(L27*MAX(N27,1)/R27*IF(ISBLANK(K25),1,K25),0)</f>
        <v/>
      </c>
      <c r="AB27" s="7" t="inlineStr">
        <is>
          <t>^Warhead_CannonHE_Medium</t>
        </is>
      </c>
    </row>
    <row r="28">
      <c r="A28" t="inlineStr">
        <is>
          <t>warcraft2</t>
        </is>
      </c>
      <c r="B28" t="inlineStr">
        <is>
          <t>wc2_orcs_trollheadhunter</t>
        </is>
      </c>
      <c r="C28" t="inlineStr">
        <is>
          <t>Troll Headhunter</t>
        </is>
      </c>
      <c r="D28" s="6" t="inlineStr">
        <is>
          <t>AntiTankAntiAirInfantry</t>
        </is>
      </c>
      <c r="E28" s="6" t="n">
        <v>40000</v>
      </c>
      <c r="F28" s="6" t="n">
        <v>75</v>
      </c>
      <c r="G28" t="inlineStr">
        <is>
          <t>Flak</t>
        </is>
      </c>
      <c r="H28" s="6" t="n">
        <v>1</v>
      </c>
      <c r="I28" s="6" t="n">
        <v>1</v>
      </c>
      <c r="J28" s="6" t="n">
        <v>1</v>
      </c>
      <c r="K28" s="6" t="n"/>
      <c r="P28">
        <f>MAX(P29)</f>
        <v/>
      </c>
      <c r="S28">
        <f>S29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wc2axeFirespear</t>
        </is>
      </c>
      <c r="C29" s="7" t="inlineStr">
        <is>
          <t>Armament</t>
        </is>
      </c>
      <c r="L29" s="6" t="n">
        <v>33000</v>
      </c>
      <c r="M29" s="6" t="n">
        <v>40</v>
      </c>
      <c r="N29" s="6" t="n">
        <v>1</v>
      </c>
      <c r="O29" s="6" t="n"/>
      <c r="P29" s="6" t="n">
        <v>7711</v>
      </c>
      <c r="Q29" s="6" t="n">
        <v>1</v>
      </c>
      <c r="R29">
        <f>M29+IF(N29&gt;1,N(O29)*(N29-1),0)</f>
        <v/>
      </c>
      <c r="S29">
        <f>IFERROR(L29*MAX(N29,1)/R29*IF(ISBLANK(K28),1,K28),0)</f>
        <v/>
      </c>
      <c r="AB29" s="7" t="inlineStr">
        <is>
          <t>^Warhead_CannonHE_Medium</t>
        </is>
      </c>
    </row>
    <row r="30">
      <c r="B30" s="7" t="inlineStr">
        <is>
          <t xml:space="preserve">  ↳ wc2axeFirespear</t>
        </is>
      </c>
      <c r="C30" s="7" t="inlineStr">
        <is>
          <t>Armament@GARRISONED</t>
        </is>
      </c>
      <c r="L30" s="6" t="n">
        <v>33000</v>
      </c>
      <c r="M30" s="6" t="n">
        <v>40</v>
      </c>
      <c r="N30" s="6" t="n">
        <v>1</v>
      </c>
      <c r="O30" s="6" t="n"/>
      <c r="P30" s="6" t="n">
        <v>7711</v>
      </c>
      <c r="Q30" s="6" t="n">
        <v>1</v>
      </c>
      <c r="R30">
        <f>M30+IF(N30&gt;1,N(O30)*(N30-1),0)</f>
        <v/>
      </c>
      <c r="S30">
        <f>IFERROR(L30*MAX(N30,1)/R30*IF(ISBLANK(K28),1,K28),0)</f>
        <v/>
      </c>
      <c r="AB30" s="7" t="inlineStr">
        <is>
          <t>^Warhead_CannonHE_Medium</t>
        </is>
      </c>
    </row>
    <row r="31">
      <c r="A31" t="inlineStr">
        <is>
          <t>warcraft2</t>
        </is>
      </c>
      <c r="B31" t="inlineStr">
        <is>
          <t>wc2_orcs_warcraft3grunt</t>
        </is>
      </c>
      <c r="C31" t="inlineStr">
        <is>
          <t>Warcraft 3 Grunt</t>
        </is>
      </c>
      <c r="D31" s="6" t="inlineStr">
        <is>
          <t>MeleeInfantry</t>
        </is>
      </c>
      <c r="E31" s="6" t="n">
        <v>120000</v>
      </c>
      <c r="F31" s="6" t="n">
        <v>70</v>
      </c>
      <c r="G31" t="inlineStr">
        <is>
          <t>Plate</t>
        </is>
      </c>
      <c r="H31" s="6" t="n">
        <v>1</v>
      </c>
      <c r="I31" s="6" t="n">
        <v>1</v>
      </c>
      <c r="J31" s="6" t="n">
        <v>1</v>
      </c>
      <c r="K31" s="6" t="n">
        <v>0.013</v>
      </c>
      <c r="P31">
        <f>MAX(P32)</f>
        <v/>
      </c>
      <c r="S31">
        <f>S32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1100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wc2gruntslice2</t>
        </is>
      </c>
      <c r="C32" s="7" t="inlineStr">
        <is>
          <t>Armament</t>
        </is>
      </c>
      <c r="L32" s="6" t="n">
        <v>24000</v>
      </c>
      <c r="M32" s="6" t="n">
        <v>18</v>
      </c>
      <c r="N32" s="6" t="n">
        <v>1</v>
      </c>
      <c r="O32" s="6" t="n"/>
      <c r="P32" s="6" t="n">
        <v>1600</v>
      </c>
      <c r="Q32" s="6" t="n">
        <v>1</v>
      </c>
      <c r="R32">
        <f>M32+IF(N32&gt;1,N(O32)*(N32-1),0)</f>
        <v/>
      </c>
      <c r="S32">
        <f>IFERROR(L32*MAX(N32,1)/R32*IF(ISBLANK(K31),1,K31),0)</f>
        <v/>
      </c>
      <c r="AB32" s="7" t="inlineStr">
        <is>
          <t>^Warhead_Melee_Medium</t>
        </is>
      </c>
    </row>
    <row r="33">
      <c r="A33" s="4" t="inlineStr">
        <is>
          <t>VEHICLES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t="inlineStr">
        <is>
          <t>warcraft2</t>
        </is>
      </c>
      <c r="B34" t="inlineStr">
        <is>
          <t>wc2_orcs_catapult</t>
        </is>
      </c>
      <c r="C34" t="inlineStr">
        <is>
          <t>Catapult</t>
        </is>
      </c>
      <c r="D34" s="6" t="inlineStr">
        <is>
          <t>Artillery</t>
        </is>
      </c>
      <c r="E34" s="6" t="n">
        <v>40000</v>
      </c>
      <c r="F34" s="6" t="n">
        <v>40</v>
      </c>
      <c r="G34" t="inlineStr">
        <is>
          <t>Light</t>
        </is>
      </c>
      <c r="H34" s="6" t="n">
        <v>1</v>
      </c>
      <c r="I34" s="6" t="n">
        <v>0.5</v>
      </c>
      <c r="J34" s="6" t="n">
        <v>1</v>
      </c>
      <c r="K34" s="6" t="n"/>
      <c r="P34">
        <f>MAX(P35)</f>
        <v/>
      </c>
      <c r="S34">
        <f>S35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(((E34/60000)+(F34/75)+(S34/500)+((P34/15000)*J34))*500/4+(((E34/60000)*(F34/75))+(((P34/15000)*J34)*(S34/500)))*500/2+((E34/60000)*(F34/75)*((P34/15000)*J34)*(S34/500))*500)*(H34/1.0)/3</f>
        <v/>
      </c>
      <c r="X34" s="6" t="n">
        <v>800</v>
      </c>
      <c r="Y34">
        <f>IFERROR(W34-X34,"")</f>
        <v/>
      </c>
      <c r="Z34">
        <f>IFERROR(ABS(Y34)/MAX(X34,1),"")</f>
        <v/>
      </c>
      <c r="AA34">
        <f>IFERROR(ROUND(((3*X34-(((E34/60000)+(F34/75)+(S34/500))*500/4+((E34/60000)*(F34/75))*500/2)*(H34/1.0))/(500/4+((S34/500))*500/2+((E34/60000)*(F34/75)*(S34/500))*500)*(H34/1.0)*15000)/J34,-1),"")</f>
        <v/>
      </c>
    </row>
    <row r="35">
      <c r="B35" s="7" t="inlineStr">
        <is>
          <t xml:space="preserve">  ↳ wc2catapultFire</t>
        </is>
      </c>
      <c r="C35" s="7" t="inlineStr">
        <is>
          <t>Armament</t>
        </is>
      </c>
      <c r="L35" s="6" t="n">
        <v>120000</v>
      </c>
      <c r="M35" s="6" t="n">
        <v>240</v>
      </c>
      <c r="N35" s="6" t="n">
        <v>1</v>
      </c>
      <c r="O35" s="6" t="n"/>
      <c r="P35" s="6" t="n">
        <v>13400</v>
      </c>
      <c r="Q35" s="6" t="n">
        <v>1</v>
      </c>
      <c r="R35">
        <f>M35+IF(N35&gt;1,N(O35)*(N35-1),0)</f>
        <v/>
      </c>
      <c r="S35">
        <f>IFERROR(L35*MAX(N35,1)/R35*IF(ISBLANK(K34),1,K34),0)</f>
        <v/>
      </c>
      <c r="AB35" s="7" t="inlineStr">
        <is>
          <t>^Grenade, ^MediumFlameWeapon, ^ShrapnelWeapon, ^HeavyBomb</t>
        </is>
      </c>
    </row>
    <row r="36">
      <c r="A36" t="inlineStr">
        <is>
          <t>warcraft2</t>
        </is>
      </c>
      <c r="B36" t="inlineStr">
        <is>
          <t>wc2_orcs_goblinsappers</t>
        </is>
      </c>
      <c r="C36" t="inlineStr">
        <is>
          <t>Goblin Sappers</t>
        </is>
      </c>
      <c r="D36" s="6" t="inlineStr">
        <is>
          <t>LineBreaker</t>
        </is>
      </c>
      <c r="E36" s="6" t="n">
        <v>40000</v>
      </c>
      <c r="F36" s="6" t="n">
        <v>80</v>
      </c>
      <c r="G36" t="inlineStr">
        <is>
          <t>Superheavy</t>
        </is>
      </c>
      <c r="H36" s="6" t="n">
        <v>1</v>
      </c>
      <c r="I36" s="6" t="n">
        <v>1</v>
      </c>
      <c r="J36" s="6" t="n">
        <v>1</v>
      </c>
      <c r="K36" s="6" t="n"/>
      <c r="P36">
        <f>MAX(P38)</f>
        <v/>
      </c>
      <c r="S36">
        <f>S38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(((E36/750000)+(F36/80)+(S36/1600)+((P36/2500)*J36))*1600/4+(((E36/750000)*(F36/80))+(((P36/2500)*J36)*(S36/1600)))*1600/2+((E36/750000)*(F36/80)*((P36/2500)*J36)*(S36/1600))*1600)*(H36/1.0)/3</f>
        <v/>
      </c>
      <c r="X36" s="6" t="n">
        <v>800</v>
      </c>
      <c r="Y36">
        <f>IFERROR(W36-X36,"")</f>
        <v/>
      </c>
      <c r="Z36">
        <f>IFERROR(ABS(Y36)/MAX(X36,1),"")</f>
        <v/>
      </c>
      <c r="AA36">
        <f>IFERROR(ROUND(((3*X36-(((E36/750000)+(F36/80)+(S36/1600))*1600/4+((E36/750000)*(F36/80))*1600/2)*(H36/1.0))/(1600/4+((S36/1600))*1600/2+((E36/750000)*(F36/80)*(S36/1600))*1600)*(H36/1.0)*2500)/J36,-1),"")</f>
        <v/>
      </c>
    </row>
    <row r="37">
      <c r="B37" s="7" t="inlineStr">
        <is>
          <t xml:space="preserve">  ↳ wc2demolitionsquadTargeting</t>
        </is>
      </c>
      <c r="C37" s="7" t="inlineStr">
        <is>
          <t>Armament</t>
        </is>
      </c>
      <c r="L37" s="6" t="n"/>
      <c r="M37" s="6" t="n"/>
      <c r="N37" s="6" t="n">
        <v>1</v>
      </c>
      <c r="O37" s="6" t="n"/>
      <c r="P37" s="6" t="n">
        <v>1536</v>
      </c>
      <c r="Q37" s="6" t="n">
        <v>1</v>
      </c>
      <c r="R37">
        <f>M37+IF(N37&gt;1,N(O37)*(N37-1),0)</f>
        <v/>
      </c>
      <c r="S37">
        <f>IFERROR(L37*MAX(N37,1)/R37*IF(ISBLANK(K36),1,K36),0)</f>
        <v/>
      </c>
      <c r="AB37" s="7" t="inlineStr"/>
    </row>
    <row r="38">
      <c r="B38" s="7" t="inlineStr">
        <is>
          <t xml:space="preserve">  ↳ wc2demolitionsquadMelee</t>
        </is>
      </c>
      <c r="C38" s="7" t="inlineStr">
        <is>
          <t>Armament@Melee</t>
        </is>
      </c>
      <c r="L38" s="6" t="n">
        <v>12000</v>
      </c>
      <c r="M38" s="6" t="n">
        <v>15</v>
      </c>
      <c r="N38" s="6" t="n">
        <v>1</v>
      </c>
      <c r="O38" s="6" t="n"/>
      <c r="P38" s="6" t="n">
        <v>1333</v>
      </c>
      <c r="Q38" s="6" t="n">
        <v>1</v>
      </c>
      <c r="R38">
        <f>M38+IF(N38&gt;1,N(O38)*(N38-1),0)</f>
        <v/>
      </c>
      <c r="S38">
        <f>IFERROR(L38*MAX(N38,1)/R38*IF(ISBLANK(K36),1,K36),0)</f>
        <v/>
      </c>
      <c r="AB38" s="7" t="inlineStr">
        <is>
          <t>^Warhead_Melee_Medium</t>
        </is>
      </c>
    </row>
    <row r="39">
      <c r="A39" t="inlineStr">
        <is>
          <t>warcraft2</t>
        </is>
      </c>
      <c r="B39" t="inlineStr">
        <is>
          <t>wc2_orcs_mobileconstructionvehicleorc</t>
        </is>
      </c>
      <c r="C39" t="inlineStr">
        <is>
          <t>Mobile Construction Vehicle (Orc)</t>
        </is>
      </c>
      <c r="D39" s="6" t="inlineStr">
        <is>
          <t>SupportVehicle</t>
        </is>
      </c>
      <c r="E39" s="6" t="n">
        <v>300000</v>
      </c>
      <c r="F39" s="6" t="n">
        <v>75</v>
      </c>
      <c r="G39" t="inlineStr">
        <is>
          <t>Plate</t>
        </is>
      </c>
      <c r="H39" s="6" t="n">
        <v>1</v>
      </c>
      <c r="I39" s="6" t="n">
        <v>1</v>
      </c>
      <c r="J39" s="6" t="n">
        <v>1</v>
      </c>
      <c r="K39" s="6" t="n"/>
      <c r="X39" s="6" t="n">
        <v>5000</v>
      </c>
    </row>
    <row r="40">
      <c r="A40" t="inlineStr">
        <is>
          <t>warcraft2</t>
        </is>
      </c>
      <c r="B40" t="inlineStr">
        <is>
          <t>wc2_orcs_ogremage</t>
        </is>
      </c>
      <c r="C40" t="inlineStr">
        <is>
          <t>Ogre-Mage</t>
        </is>
      </c>
      <c r="D40" s="6" t="inlineStr">
        <is>
          <t>LineBreaker</t>
        </is>
      </c>
      <c r="E40" s="6" t="n">
        <v>200000</v>
      </c>
      <c r="F40" s="6" t="n">
        <v>85</v>
      </c>
      <c r="G40" t="inlineStr">
        <is>
          <t>Superheavy</t>
        </is>
      </c>
      <c r="H40" s="6" t="n">
        <v>0.9429</v>
      </c>
      <c r="I40" s="6" t="n">
        <v>1</v>
      </c>
      <c r="J40" s="6" t="n">
        <v>1</v>
      </c>
      <c r="K40" s="6" t="n"/>
      <c r="P40">
        <f>MAX(P41,P42,P43,P44)</f>
        <v/>
      </c>
      <c r="S40">
        <f>S41+S42+S43+S44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(((E40/750000)+(F40/80)+(S40/1600)+((P40/2500)*J40))*1600/4+(((E40/750000)*(F40/80))+(((P40/2500)*J40)*(S40/1600)))*1600/2+((E40/750000)*(F40/80)*((P40/2500)*J40)*(S40/1600))*1600)*(H40/1.0)/3</f>
        <v/>
      </c>
      <c r="X40" s="6" t="n">
        <v>1800</v>
      </c>
      <c r="Y40">
        <f>IFERROR(W40-X40,"")</f>
        <v/>
      </c>
      <c r="Z40">
        <f>IFERROR(ABS(Y40)/MAX(X40,1),"")</f>
        <v/>
      </c>
      <c r="AA40">
        <f>IFERROR(ROUND(((3*X40-(((E40/750000)+(F40/80)+(S40/1600))*1600/4+((E40/750000)*(F40/80))*1600/2)*(H40/1.0))/(1600/4+((S40/1600))*1600/2+((E40/750000)*(F40/80)*(S40/1600))*1600)*(H40/1.0)*2500)/J40,-1),"")</f>
        <v/>
      </c>
    </row>
    <row r="41">
      <c r="B41" s="7" t="inlineStr">
        <is>
          <t xml:space="preserve">  ↳ wc2ogrepunch</t>
        </is>
      </c>
      <c r="C41" s="7" t="inlineStr">
        <is>
          <t>Armament</t>
        </is>
      </c>
      <c r="L41" s="6" t="n">
        <v>30000</v>
      </c>
      <c r="M41" s="6" t="n">
        <v>20</v>
      </c>
      <c r="N41" s="6" t="n">
        <v>1</v>
      </c>
      <c r="O41" s="6" t="n"/>
      <c r="P41" s="6" t="n">
        <v>1660</v>
      </c>
      <c r="Q41" s="6" t="n">
        <v>1</v>
      </c>
      <c r="R41">
        <f>M41+IF(N41&gt;1,N(O41)*(N41-1),0)</f>
        <v/>
      </c>
      <c r="S41">
        <f>IFERROR(L41*MAX(N41,1)/R41*IF(ISBLANK(K40),1,K40),0)</f>
        <v/>
      </c>
      <c r="AB41" s="7" t="inlineStr">
        <is>
          <t>^Warhead_Melee_Medium</t>
        </is>
      </c>
    </row>
    <row r="42">
      <c r="B42" s="7" t="inlineStr">
        <is>
          <t xml:space="preserve">  ↳ wc2ogremageEyeOfKilrogg</t>
        </is>
      </c>
      <c r="C42" s="7" t="inlineStr">
        <is>
          <t>Armament@EYEOFKILROGG</t>
        </is>
      </c>
      <c r="L42" s="6" t="n">
        <v>0</v>
      </c>
      <c r="M42" s="6" t="n">
        <v>60</v>
      </c>
      <c r="N42" s="6" t="n">
        <v>1</v>
      </c>
      <c r="O42" s="6" t="n"/>
      <c r="P42" s="6" t="n">
        <v>5120</v>
      </c>
      <c r="Q42" s="6" t="n">
        <v>1</v>
      </c>
      <c r="R42">
        <f>M42+IF(N42&gt;1,N(O42)*(N42-1),0)</f>
        <v/>
      </c>
      <c r="S42">
        <f>IFERROR(L42*MAX(N42,1)/R42*IF(ISBLANK(K40),1,K40),0)</f>
        <v/>
      </c>
      <c r="AB42" s="7" t="inlineStr"/>
    </row>
    <row r="43">
      <c r="B43" s="7" t="inlineStr">
        <is>
          <t xml:space="preserve">  ↳ wc2ogremageBloodlust</t>
        </is>
      </c>
      <c r="C43" s="7" t="inlineStr">
        <is>
          <t>Armament@BLOODLUST</t>
        </is>
      </c>
      <c r="L43" s="6" t="n">
        <v>1</v>
      </c>
      <c r="M43" s="6" t="n">
        <v>60</v>
      </c>
      <c r="N43" s="6" t="n">
        <v>1</v>
      </c>
      <c r="O43" s="6" t="n"/>
      <c r="P43" s="6" t="n">
        <v>5120</v>
      </c>
      <c r="Q43" s="6" t="n">
        <v>1</v>
      </c>
      <c r="R43">
        <f>M43+IF(N43&gt;1,N(O43)*(N43-1),0)</f>
        <v/>
      </c>
      <c r="S43">
        <f>IFERROR(L43*MAX(N43,1)/R43*IF(ISBLANK(K40),1,K40),0)</f>
        <v/>
      </c>
      <c r="AB43" s="7" t="inlineStr"/>
    </row>
    <row r="44">
      <c r="B44" s="7" t="inlineStr">
        <is>
          <t xml:space="preserve">  ↳ wc2ogremageRunes</t>
        </is>
      </c>
      <c r="C44" s="7" t="inlineStr">
        <is>
          <t>Armament@RUNES</t>
        </is>
      </c>
      <c r="L44" s="6" t="n">
        <v>0</v>
      </c>
      <c r="M44" s="6" t="n">
        <v>60</v>
      </c>
      <c r="N44" s="6" t="n">
        <v>1</v>
      </c>
      <c r="O44" s="6" t="n"/>
      <c r="P44" s="6" t="n">
        <v>5120</v>
      </c>
      <c r="Q44" s="6" t="n">
        <v>1</v>
      </c>
      <c r="R44">
        <f>M44+IF(N44&gt;1,N(O44)*(N44-1),0)</f>
        <v/>
      </c>
      <c r="S44">
        <f>IFERROR(L44*MAX(N44,1)/R44*IF(ISBLANK(K40),1,K40),0)</f>
        <v/>
      </c>
      <c r="AB44" s="7" t="inlineStr"/>
    </row>
    <row r="45">
      <c r="A45" t="inlineStr">
        <is>
          <t>warcraft2</t>
        </is>
      </c>
      <c r="B45" t="inlineStr">
        <is>
          <t>wc2_orcs_peon</t>
        </is>
      </c>
      <c r="C45" t="inlineStr">
        <is>
          <t>Peon</t>
        </is>
      </c>
      <c r="D45" s="6" t="inlineStr">
        <is>
          <t>Harvester</t>
        </is>
      </c>
      <c r="E45" s="6" t="n">
        <v>40000</v>
      </c>
      <c r="F45" s="6" t="n">
        <v>80</v>
      </c>
      <c r="G45" t="inlineStr">
        <is>
          <t>Light</t>
        </is>
      </c>
      <c r="H45" s="6" t="n">
        <v>1</v>
      </c>
      <c r="I45" s="6" t="n">
        <v>1</v>
      </c>
      <c r="J45" s="6" t="n">
        <v>1</v>
      </c>
      <c r="K45" s="6" t="n"/>
      <c r="P45">
        <f>MAX(P46)</f>
        <v/>
      </c>
      <c r="S45">
        <f>S46</f>
        <v/>
      </c>
      <c r="T45">
        <f>(E45/100000+F45/100+(P45/1000)*J45/5+S45/200)*200*I45*H45</f>
        <v/>
      </c>
      <c r="U45">
        <f>((E45*F45/25000)+((P45/1000)*J45*S45/2.5))*I45*H45</f>
        <v/>
      </c>
      <c r="V45">
        <f>(E45*F45*(P45/1000)*J45*S45*I45*H45)/12500000</f>
        <v/>
      </c>
      <c r="W45">
        <f>(T45+U45+V45)/3</f>
        <v/>
      </c>
      <c r="X45" s="6" t="n">
        <v>500</v>
      </c>
      <c r="Y45">
        <f>IFERROR(W45-X45,"")</f>
        <v/>
      </c>
      <c r="Z45">
        <f>IFERROR(ABS(Y45)/MAX(X45,1),"")</f>
        <v/>
      </c>
      <c r="AA45">
        <f>IFERROR((X45-(((E45/100000+F45/100+S45/200)*200*I45*H45)+((E45*F45/25000)*I45*H45))/3)/(((J45/5)*200*I45*H45)+((J45*S45/2.5)*I45*H45)+((E45*F45*J45*S45*I45*H45)/12500000))/3*1000,"")</f>
        <v/>
      </c>
    </row>
    <row r="46">
      <c r="B46" s="7" t="inlineStr">
        <is>
          <t xml:space="preserve">  ↳ wc2peasantsmack</t>
        </is>
      </c>
      <c r="C46" s="7" t="inlineStr">
        <is>
          <t>Armament</t>
        </is>
      </c>
      <c r="L46" s="6" t="n">
        <v>12000</v>
      </c>
      <c r="M46" s="6" t="n">
        <v>15</v>
      </c>
      <c r="N46" s="6" t="n">
        <v>1</v>
      </c>
      <c r="O46" s="6" t="n"/>
      <c r="P46" s="6" t="n">
        <v>1333</v>
      </c>
      <c r="Q46" s="6" t="n">
        <v>1</v>
      </c>
      <c r="R46">
        <f>M46+IF(N46&gt;1,N(O46)*(N46-1),0)</f>
        <v/>
      </c>
      <c r="S46">
        <f>IFERROR(L46*MAX(N46,1)/R46*IF(ISBLANK(K45),1,K45),0)</f>
        <v/>
      </c>
      <c r="AB46" s="7" t="inlineStr">
        <is>
          <t>^Warhead_Melee_Medium</t>
        </is>
      </c>
    </row>
    <row r="47">
      <c r="A47" t="inlineStr">
        <is>
          <t>warcraft2</t>
        </is>
      </c>
      <c r="B47" t="inlineStr">
        <is>
          <t>wc2_orcs_siegeengine</t>
        </is>
      </c>
      <c r="C47" t="inlineStr">
        <is>
          <t>Siege Engine</t>
        </is>
      </c>
      <c r="D47" s="6" t="inlineStr">
        <is>
          <t>Artillery</t>
        </is>
      </c>
      <c r="E47" s="6" t="n">
        <v>70000</v>
      </c>
      <c r="F47" s="6" t="n">
        <v>70</v>
      </c>
      <c r="G47" t="inlineStr">
        <is>
          <t>Light</t>
        </is>
      </c>
      <c r="H47" s="6" t="n">
        <v>1</v>
      </c>
      <c r="I47" s="6" t="n">
        <v>1</v>
      </c>
      <c r="J47" s="6" t="n">
        <v>1</v>
      </c>
      <c r="K47" s="6" t="n"/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(((E47/60000)+(F47/75)+(S47/500)+((P47/15000)*J47))*500/4+(((E47/60000)*(F47/75))+(((P47/15000)*J47)*(S47/500)))*500/2+((E47/60000)*(F47/75)*((P47/15000)*J47)*(S47/500))*500)*(H47/1.0)/3</f>
        <v/>
      </c>
      <c r="X47" s="6" t="n">
        <v>1800</v>
      </c>
      <c r="Y47">
        <f>IFERROR(W47-X47,"")</f>
        <v/>
      </c>
      <c r="Z47">
        <f>IFERROR(ABS(Y47)/MAX(X47,1),"")</f>
        <v/>
      </c>
      <c r="AA47">
        <f>IFERROR(ROUND(((3*X47-(((E47/60000)+(F47/75)+(S47/500))*500/4+((E47/60000)*(F47/75))*500/2)*(H47/1.0))/(500/4+((S47/500))*500/2+((E47/60000)*(F47/75)*(S47/500))*500)*(H47/1.0)*15000)/J47,-1),"")</f>
        <v/>
      </c>
    </row>
    <row r="48">
      <c r="B48" s="7" t="inlineStr">
        <is>
          <t xml:space="preserve">  ↳ SiegeEngineCannon</t>
        </is>
      </c>
      <c r="C48" s="7" t="inlineStr">
        <is>
          <t>Armament</t>
        </is>
      </c>
      <c r="L48" s="6" t="n">
        <v>140000</v>
      </c>
      <c r="M48" s="6" t="n">
        <v>100</v>
      </c>
      <c r="N48" s="6" t="n">
        <v>1</v>
      </c>
      <c r="O48" s="6" t="n"/>
      <c r="P48" s="6" t="n">
        <v>11200</v>
      </c>
      <c r="Q48" s="6" t="n">
        <v>1</v>
      </c>
      <c r="R48">
        <f>M48+IF(N48&gt;1,N(O48)*(N48-1),0)</f>
        <v/>
      </c>
      <c r="S48">
        <f>IFERROR(L48*MAX(N48,1)/R48*IF(ISBLANK(K47),1,K47),0)</f>
        <v/>
      </c>
      <c r="AB48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49">
      <c r="A49" s="4" t="inlineStr">
        <is>
          <t>AIRCRAFT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t="inlineStr">
        <is>
          <t>warcraft2</t>
        </is>
      </c>
      <c r="B50" t="inlineStr">
        <is>
          <t>wc2_orcs_dragon</t>
        </is>
      </c>
      <c r="C50" t="inlineStr">
        <is>
          <t>Dragon</t>
        </is>
      </c>
      <c r="D50" s="6" t="inlineStr">
        <is>
          <t>Spaceship</t>
        </is>
      </c>
      <c r="E50" s="6" t="n">
        <v>150000</v>
      </c>
      <c r="F50" s="6" t="n">
        <v>125</v>
      </c>
      <c r="G50" t="inlineStr">
        <is>
          <t>Spaceship</t>
        </is>
      </c>
      <c r="H50" s="6" t="n">
        <v>0.75</v>
      </c>
      <c r="I50" s="6" t="n">
        <v>1</v>
      </c>
      <c r="J50" s="6" t="n">
        <v>1.25</v>
      </c>
      <c r="K50" s="6" t="n"/>
      <c r="P50">
        <f>MAX(P51,P52)</f>
        <v/>
      </c>
      <c r="S50">
        <f>S51+S52</f>
        <v/>
      </c>
      <c r="T50">
        <f>(E50/100000+F50/100+(P50/1000)*J50/5+S50/200)*200*I50*H50</f>
        <v/>
      </c>
      <c r="U50">
        <f>((E50*F50/25000)+((P50/1000)*J50*S50/2.5))*I50*H50</f>
        <v/>
      </c>
      <c r="V50">
        <f>(E50*F50*(P50/1000)*J50*S50*I50*H50)/12500000</f>
        <v/>
      </c>
      <c r="W50">
        <f>(T50+U50+V50)/3</f>
        <v/>
      </c>
      <c r="X50" s="6" t="n">
        <v>2000</v>
      </c>
      <c r="Y50">
        <f>IFERROR(W50-X50,"")</f>
        <v/>
      </c>
      <c r="Z50">
        <f>IFERROR(ABS(Y50)/MAX(X50,1),"")</f>
        <v/>
      </c>
      <c r="AA50">
        <f>IFERROR((X50-(((E50/100000+F50/100+S50/200)*200*I50*H50)+((E50*F50/25000)*I50*H50))/3)/(((J50/5)*200*I50*H50)+((J50*S50/2.5)*I50*H50)+((E50*F50*J50*S50*I50*H50)/12500000))/3*1000,"")</f>
        <v/>
      </c>
    </row>
    <row r="51">
      <c r="B51" s="7" t="inlineStr">
        <is>
          <t xml:space="preserve">  ↳ wc2dragonFireVisible</t>
        </is>
      </c>
      <c r="C51" s="7" t="inlineStr">
        <is>
          <t>Armament@VISIBLE</t>
        </is>
      </c>
      <c r="L51" s="6" t="n">
        <v>30000</v>
      </c>
      <c r="M51" s="6" t="n">
        <v>120</v>
      </c>
      <c r="N51" s="6" t="n">
        <v>2</v>
      </c>
      <c r="O51" s="6" t="n">
        <v>0</v>
      </c>
      <c r="P51" s="6" t="n">
        <v>5010</v>
      </c>
      <c r="Q51" s="6" t="n">
        <v>1</v>
      </c>
      <c r="R51">
        <f>M51+IF(N51&gt;1,N(O51)*(N51-1),0)</f>
        <v/>
      </c>
      <c r="S51">
        <f>IFERROR(L51*MAX(N51,1)/R51*IF(ISBLANK(K50),1,K50),0)</f>
        <v/>
      </c>
      <c r="AB51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52">
      <c r="B52" s="7" t="inlineStr">
        <is>
          <t xml:space="preserve">  ↳ wc2dragonFireExplosion</t>
        </is>
      </c>
      <c r="C52" s="7" t="inlineStr">
        <is>
          <t>Armament@EXPLOSIONS</t>
        </is>
      </c>
      <c r="L52" s="6" t="n">
        <v>30000</v>
      </c>
      <c r="M52" s="6" t="n">
        <v>120</v>
      </c>
      <c r="N52" s="6" t="n">
        <v>3</v>
      </c>
      <c r="O52" s="6" t="n">
        <v>0</v>
      </c>
      <c r="P52" s="6" t="n">
        <v>5010</v>
      </c>
      <c r="Q52" s="6" t="n">
        <v>1</v>
      </c>
      <c r="R52">
        <f>M52+IF(N52&gt;1,N(O52)*(N52-1),0)</f>
        <v/>
      </c>
      <c r="S52">
        <f>IFERROR(L52*MAX(N52,1)/R52*IF(ISBLANK(K50),1,K50),0)</f>
        <v/>
      </c>
      <c r="AB52" s="7" t="inlineStr">
        <is>
          <t>wc2dragonFireVisible</t>
        </is>
      </c>
    </row>
    <row r="53">
      <c r="A53" t="inlineStr">
        <is>
          <t>warcraft2</t>
        </is>
      </c>
      <c r="B53" t="inlineStr">
        <is>
          <t>wc2_orcs_goblinzeppelin</t>
        </is>
      </c>
      <c r="C53" t="inlineStr">
        <is>
          <t>Goblin Zeppelin</t>
        </is>
      </c>
      <c r="D53" s="6" t="inlineStr">
        <is>
          <t>Helicopter</t>
        </is>
      </c>
      <c r="E53" s="6" t="n">
        <v>25000</v>
      </c>
      <c r="F53" s="6" t="n">
        <v>165</v>
      </c>
      <c r="G53" t="inlineStr">
        <is>
          <t>Helicopter</t>
        </is>
      </c>
      <c r="H53" s="6" t="n">
        <v>1</v>
      </c>
      <c r="I53" s="6" t="n">
        <v>1</v>
      </c>
      <c r="J53" s="6" t="n">
        <v>1</v>
      </c>
      <c r="K53" s="6" t="n"/>
      <c r="X53" s="6" t="n">
        <v>350</v>
      </c>
    </row>
    <row r="54">
      <c r="A54" s="4" t="inlineStr">
        <is>
          <t>DEFENSES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t="inlineStr">
        <is>
          <t>warcraft2</t>
        </is>
      </c>
      <c r="B55" t="inlineStr">
        <is>
          <t>wc2_orcs_cannontower</t>
        </is>
      </c>
      <c r="C55" t="inlineStr">
        <is>
          <t>Cannon Tower</t>
        </is>
      </c>
      <c r="D55" s="6" t="inlineStr">
        <is>
          <t>BasicDefense</t>
        </is>
      </c>
      <c r="E55" s="6" t="n">
        <v>100000</v>
      </c>
      <c r="F55" s="6" t="n">
        <v>100</v>
      </c>
      <c r="G55" t="inlineStr">
        <is>
          <t>Wood</t>
        </is>
      </c>
      <c r="H55" s="6" t="n">
        <v>1</v>
      </c>
      <c r="I55" s="6" t="n">
        <v>1</v>
      </c>
      <c r="J55" s="6" t="n">
        <v>1</v>
      </c>
      <c r="K55" s="6" t="n"/>
      <c r="P55">
        <f>MAX(P56,P57)</f>
        <v/>
      </c>
      <c r="S55">
        <f>S56+S57</f>
        <v/>
      </c>
      <c r="T55">
        <f>(E55/100000+F55/100+(P55/1000)*J55/5+S55/200)*200*I55*H55</f>
        <v/>
      </c>
      <c r="U55">
        <f>((E55*F55/25000)+((P55/1000)*J55*S55/2.5))*I55*H55</f>
        <v/>
      </c>
      <c r="V55">
        <f>(E55*F55*(P55/1000)*J55*S55*I55*H55)/12500000</f>
        <v/>
      </c>
      <c r="W55">
        <f>(T55+U55+V55)/3</f>
        <v/>
      </c>
      <c r="X55" s="6" t="n">
        <v>1600</v>
      </c>
      <c r="Y55">
        <f>IFERROR(W55-X55,"")</f>
        <v/>
      </c>
      <c r="Z55">
        <f>IFERROR(ABS(Y55)/MAX(X55,1),"")</f>
        <v/>
      </c>
      <c r="AA55">
        <f>IFERROR((X55-(((E55/100000+F55/100+S55/200)*200*I55*H55)+((E55*F55/25000)*I55*H55))/3)/(((J55/5)*200*I55*H55)+((J55*S55/2.5)*I55*H55)+((E55*F55*J55*S55*I55*H55)/12500000))/3*1000,"")</f>
        <v/>
      </c>
    </row>
    <row r="56">
      <c r="B56" s="7" t="inlineStr">
        <is>
          <t xml:space="preserve">  ↳ wc2_tower_arrow</t>
        </is>
      </c>
      <c r="C56" s="7" t="inlineStr">
        <is>
          <t>Armament@guard</t>
        </is>
      </c>
      <c r="L56" s="6" t="n">
        <v>18000</v>
      </c>
      <c r="M56" s="6" t="n">
        <v>34</v>
      </c>
      <c r="N56" s="6" t="n">
        <v>1</v>
      </c>
      <c r="O56" s="6" t="n"/>
      <c r="P56" s="6" t="n">
        <v>8750</v>
      </c>
      <c r="Q56" s="6" t="n">
        <v>1</v>
      </c>
      <c r="R56">
        <f>M56+IF(N56&gt;1,N(O56)*(N56-1),0)</f>
        <v/>
      </c>
      <c r="S56">
        <f>IFERROR(L56*MAX(N56,1)/R56*IF(ISBLANK(K55),1,K55),0)</f>
        <v/>
      </c>
      <c r="AB56" s="7" t="inlineStr">
        <is>
          <t>^RailgunWeapon, ^Chaingun, ^ArrowWeapon</t>
        </is>
      </c>
    </row>
    <row r="57">
      <c r="B57" s="7" t="inlineStr">
        <is>
          <t xml:space="preserve">  ↳ wc2cannontowerFire</t>
        </is>
      </c>
      <c r="C57" s="7" t="inlineStr">
        <is>
          <t>Armament@cannon</t>
        </is>
      </c>
      <c r="L57" s="6" t="n">
        <v>60000</v>
      </c>
      <c r="M57" s="6" t="n">
        <v>90</v>
      </c>
      <c r="N57" s="6" t="n">
        <v>1</v>
      </c>
      <c r="O57" s="6" t="n"/>
      <c r="P57" s="6" t="n">
        <v>10500</v>
      </c>
      <c r="Q57" s="6" t="n">
        <v>1</v>
      </c>
      <c r="R57">
        <f>M57+IF(N57&gt;1,N(O57)*(N57-1),0)</f>
        <v/>
      </c>
      <c r="S57">
        <f>IFERROR(L57*MAX(N57,1)/R57*IF(ISBLANK(K55),1,K55),0)</f>
        <v/>
      </c>
      <c r="AB57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58">
      <c r="A58" t="inlineStr">
        <is>
          <t>warcraft2</t>
        </is>
      </c>
      <c r="B58" t="inlineStr">
        <is>
          <t>wc2_orcs_guardtower</t>
        </is>
      </c>
      <c r="C58" t="inlineStr">
        <is>
          <t>Guard Tower</t>
        </is>
      </c>
      <c r="D58" s="6" t="inlineStr">
        <is>
          <t>BasicDefense</t>
        </is>
      </c>
      <c r="E58" s="6" t="n">
        <v>100000</v>
      </c>
      <c r="F58" s="6" t="n">
        <v>100</v>
      </c>
      <c r="G58" t="inlineStr">
        <is>
          <t>Wood</t>
        </is>
      </c>
      <c r="H58" s="6" t="n">
        <v>1</v>
      </c>
      <c r="I58" s="6" t="n">
        <v>1</v>
      </c>
      <c r="J58" s="6" t="n">
        <v>1</v>
      </c>
      <c r="K58" s="6" t="n"/>
      <c r="P58">
        <f>MAX(P59,P60)</f>
        <v/>
      </c>
      <c r="S58">
        <f>S59+S60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(T58+U58+V58)/3</f>
        <v/>
      </c>
      <c r="X58" s="6" t="n">
        <v>1600</v>
      </c>
      <c r="Y58">
        <f>IFERROR(W58-X58,"")</f>
        <v/>
      </c>
      <c r="Z58">
        <f>IFERROR(ABS(Y58)/MAX(X58,1),"")</f>
        <v/>
      </c>
      <c r="AA58">
        <f>IFERROR((X58-(((E58/100000+F58/100+S58/200)*200*I58*H58)+((E58*F58/25000)*I58*H58))/3)/(((J58/5)*200*I58*H58)+((J58*S58/2.5)*I58*H58)+((E58*F58*J58*S58*I58*H58)/12500000))/3*1000,"")</f>
        <v/>
      </c>
    </row>
    <row r="59">
      <c r="B59" s="7" t="inlineStr">
        <is>
          <t xml:space="preserve">  ↳ wc2_tower_arrow</t>
        </is>
      </c>
      <c r="C59" s="7" t="inlineStr">
        <is>
          <t>Armament@guard</t>
        </is>
      </c>
      <c r="L59" s="6" t="n">
        <v>18000</v>
      </c>
      <c r="M59" s="6" t="n">
        <v>34</v>
      </c>
      <c r="N59" s="6" t="n">
        <v>1</v>
      </c>
      <c r="O59" s="6" t="n"/>
      <c r="P59" s="6" t="n">
        <v>8750</v>
      </c>
      <c r="Q59" s="6" t="n">
        <v>1</v>
      </c>
      <c r="R59">
        <f>M59+IF(N59&gt;1,N(O59)*(N59-1),0)</f>
        <v/>
      </c>
      <c r="S59">
        <f>IFERROR(L59*MAX(N59,1)/R59*IF(ISBLANK(K58),1,K58),0)</f>
        <v/>
      </c>
      <c r="AB59" s="7" t="inlineStr">
        <is>
          <t>^RailgunWeapon, ^Chaingun, ^ArrowWeapon</t>
        </is>
      </c>
    </row>
    <row r="60">
      <c r="B60" s="7" t="inlineStr">
        <is>
          <t xml:space="preserve">  ↳ wc2cannontowerFire</t>
        </is>
      </c>
      <c r="C60" s="7" t="inlineStr">
        <is>
          <t>Armament@cannon</t>
        </is>
      </c>
      <c r="L60" s="6" t="n">
        <v>60000</v>
      </c>
      <c r="M60" s="6" t="n">
        <v>90</v>
      </c>
      <c r="N60" s="6" t="n">
        <v>1</v>
      </c>
      <c r="O60" s="6" t="n"/>
      <c r="P60" s="6" t="n">
        <v>10500</v>
      </c>
      <c r="Q60" s="6" t="n">
        <v>1</v>
      </c>
      <c r="R60">
        <f>M60+IF(N60&gt;1,N(O60)*(N60-1),0)</f>
        <v/>
      </c>
      <c r="S60">
        <f>IFERROR(L60*MAX(N60,1)/R60*IF(ISBLANK(K58),1,K58),0)</f>
        <v/>
      </c>
      <c r="AB60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61">
      <c r="A61" t="inlineStr">
        <is>
          <t>warcraft2</t>
        </is>
      </c>
      <c r="B61" t="inlineStr">
        <is>
          <t>wc2_orcs_orcwatchtower</t>
        </is>
      </c>
      <c r="C61" t="inlineStr">
        <is>
          <t>Orc Watch Tower</t>
        </is>
      </c>
      <c r="D61" s="6" t="inlineStr">
        <is>
          <t>BasicDefense</t>
        </is>
      </c>
      <c r="E61" s="6" t="n">
        <v>100000</v>
      </c>
      <c r="F61" s="6" t="n">
        <v>100</v>
      </c>
      <c r="G61" t="inlineStr">
        <is>
          <t>Wood</t>
        </is>
      </c>
      <c r="H61" s="6" t="n">
        <v>1</v>
      </c>
      <c r="I61" s="6" t="n">
        <v>1</v>
      </c>
      <c r="J61" s="6" t="n">
        <v>1</v>
      </c>
      <c r="K61" s="6" t="n"/>
      <c r="P61">
        <f>MAX(P62,P63)</f>
        <v/>
      </c>
      <c r="S61">
        <f>S62+S63</f>
        <v/>
      </c>
      <c r="T61">
        <f>(E61/100000+F61/100+(P61/1000)*J61/5+S61/200)*200*I61*H61</f>
        <v/>
      </c>
      <c r="U61">
        <f>((E61*F61/25000)+((P61/1000)*J61*S61/2.5))*I61*H61</f>
        <v/>
      </c>
      <c r="V61">
        <f>(E61*F61*(P61/1000)*J61*S61*I61*H61)/12500000</f>
        <v/>
      </c>
      <c r="W61">
        <f>(T61+U61+V61)/3</f>
        <v/>
      </c>
      <c r="X61" s="6" t="n">
        <v>1200</v>
      </c>
      <c r="Y61">
        <f>IFERROR(W61-X61,"")</f>
        <v/>
      </c>
      <c r="Z61">
        <f>IFERROR(ABS(Y61)/MAX(X61,1),"")</f>
        <v/>
      </c>
      <c r="AA61">
        <f>IFERROR((X61-(((E61/100000+F61/100+S61/200)*200*I61*H61)+((E61*F61/25000)*I61*H61))/3)/(((J61/5)*200*I61*H61)+((J61*S61/2.5)*I61*H61)+((E61*F61*J61*S61*I61*H61)/12500000))/3*1000,"")</f>
        <v/>
      </c>
    </row>
    <row r="62">
      <c r="B62" s="7" t="inlineStr">
        <is>
          <t xml:space="preserve">  ↳ wc2_tower_arrow</t>
        </is>
      </c>
      <c r="C62" s="7" t="inlineStr">
        <is>
          <t>Armament@guard</t>
        </is>
      </c>
      <c r="L62" s="6" t="n">
        <v>18000</v>
      </c>
      <c r="M62" s="6" t="n">
        <v>34</v>
      </c>
      <c r="N62" s="6" t="n">
        <v>1</v>
      </c>
      <c r="O62" s="6" t="n"/>
      <c r="P62" s="6" t="n">
        <v>8750</v>
      </c>
      <c r="Q62" s="6" t="n">
        <v>1</v>
      </c>
      <c r="R62">
        <f>M62+IF(N62&gt;1,N(O62)*(N62-1),0)</f>
        <v/>
      </c>
      <c r="S62">
        <f>IFERROR(L62*MAX(N62,1)/R62*IF(ISBLANK(K61),1,K61),0)</f>
        <v/>
      </c>
      <c r="AB62" s="7" t="inlineStr">
        <is>
          <t>^RailgunWeapon, ^Chaingun, ^ArrowWeapon</t>
        </is>
      </c>
    </row>
    <row r="63">
      <c r="B63" s="7" t="inlineStr">
        <is>
          <t xml:space="preserve">  ↳ wc2cannontowerFire</t>
        </is>
      </c>
      <c r="C63" s="7" t="inlineStr">
        <is>
          <t>Armament@cannon</t>
        </is>
      </c>
      <c r="L63" s="6" t="n">
        <v>60000</v>
      </c>
      <c r="M63" s="6" t="n">
        <v>90</v>
      </c>
      <c r="N63" s="6" t="n">
        <v>1</v>
      </c>
      <c r="O63" s="6" t="n"/>
      <c r="P63" s="6" t="n">
        <v>10500</v>
      </c>
      <c r="Q63" s="6" t="n">
        <v>1</v>
      </c>
      <c r="R63">
        <f>M63+IF(N63&gt;1,N(O63)*(N63-1),0)</f>
        <v/>
      </c>
      <c r="S63">
        <f>IFERROR(L63*MAX(N63,1)/R63*IF(ISBLANK(K61),1,K61),0)</f>
        <v/>
      </c>
      <c r="AB63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64">
      <c r="A64" t="inlineStr">
        <is>
          <t>warcraft2</t>
        </is>
      </c>
      <c r="B64" t="inlineStr">
        <is>
          <t>wc2_orcs_wall</t>
        </is>
      </c>
      <c r="C64" t="inlineStr">
        <is>
          <t>Wall</t>
        </is>
      </c>
      <c r="D64" s="6" t="inlineStr">
        <is>
          <t>Defense</t>
        </is>
      </c>
      <c r="E64" s="6" t="n">
        <v>25000</v>
      </c>
      <c r="F64" s="6" t="n">
        <v>100</v>
      </c>
      <c r="G64" t="inlineStr">
        <is>
          <t>Heavy</t>
        </is>
      </c>
      <c r="H64" s="6" t="n">
        <v>1</v>
      </c>
      <c r="I64" s="6" t="n">
        <v>1</v>
      </c>
      <c r="J64" s="6" t="n">
        <v>1</v>
      </c>
      <c r="K64" s="6" t="n"/>
      <c r="X64" s="6" t="n">
        <v>300</v>
      </c>
    </row>
    <row r="65">
      <c r="A65" s="4" t="inlineStr">
        <is>
          <t>BUILDINGS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t="inlineStr">
        <is>
          <t>warcraft2</t>
        </is>
      </c>
      <c r="B66" t="inlineStr">
        <is>
          <t>wc2_orcs_altarofstorms</t>
        </is>
      </c>
      <c r="C66" t="inlineStr">
        <is>
          <t>Altar of Storms</t>
        </is>
      </c>
      <c r="D66" s="6" t="inlineStr">
        <is>
          <t>Building</t>
        </is>
      </c>
      <c r="E66" s="6" t="n">
        <v>250000</v>
      </c>
      <c r="F66" s="6" t="n"/>
      <c r="G66" t="inlineStr">
        <is>
          <t>Wood</t>
        </is>
      </c>
      <c r="H66" s="6" t="n">
        <v>1</v>
      </c>
      <c r="I66" s="6" t="n">
        <v>1</v>
      </c>
      <c r="J66" s="6" t="n">
        <v>1</v>
      </c>
      <c r="K66" s="6" t="n"/>
      <c r="X66" s="6" t="n">
        <v>2500</v>
      </c>
    </row>
    <row r="67">
      <c r="A67" t="inlineStr">
        <is>
          <t>warcraft2</t>
        </is>
      </c>
      <c r="B67" t="inlineStr">
        <is>
          <t>wc2_orcs_barracks</t>
        </is>
      </c>
      <c r="C67" t="inlineStr">
        <is>
          <t>Barracks</t>
        </is>
      </c>
      <c r="D67" s="6" t="inlineStr">
        <is>
          <t>Building</t>
        </is>
      </c>
      <c r="E67" s="6" t="n">
        <v>200000</v>
      </c>
      <c r="F67" s="6" t="n"/>
      <c r="G67" t="inlineStr">
        <is>
          <t>Wood</t>
        </is>
      </c>
      <c r="H67" s="6" t="n">
        <v>1</v>
      </c>
      <c r="I67" s="6" t="n">
        <v>1</v>
      </c>
      <c r="J67" s="6" t="n">
        <v>1</v>
      </c>
      <c r="K67" s="6" t="n"/>
      <c r="X67" s="6" t="n">
        <v>1000</v>
      </c>
    </row>
    <row r="68">
      <c r="A68" t="inlineStr">
        <is>
          <t>warcraft2</t>
        </is>
      </c>
      <c r="B68" t="inlineStr">
        <is>
          <t>wc2_orcs_blacksmith</t>
        </is>
      </c>
      <c r="C68" t="inlineStr">
        <is>
          <t>Blacksmith</t>
        </is>
      </c>
      <c r="D68" s="6" t="inlineStr">
        <is>
          <t>Building</t>
        </is>
      </c>
      <c r="E68" s="6" t="n">
        <v>250000</v>
      </c>
      <c r="F68" s="6" t="n"/>
      <c r="G68" t="inlineStr">
        <is>
          <t>Wood</t>
        </is>
      </c>
      <c r="H68" s="6" t="n">
        <v>1</v>
      </c>
      <c r="I68" s="6" t="n">
        <v>1</v>
      </c>
      <c r="J68" s="6" t="n">
        <v>1</v>
      </c>
      <c r="K68" s="6" t="n"/>
      <c r="X68" s="6" t="n">
        <v>2500</v>
      </c>
    </row>
    <row r="69">
      <c r="A69" t="inlineStr">
        <is>
          <t>warcraft2</t>
        </is>
      </c>
      <c r="B69" t="inlineStr">
        <is>
          <t>wc2_orcs_cannontower_plug</t>
        </is>
      </c>
      <c r="C69" t="inlineStr">
        <is>
          <t>Upgraded Cannon Tower</t>
        </is>
      </c>
      <c r="D69" s="6" t="inlineStr">
        <is>
          <t>Building</t>
        </is>
      </c>
      <c r="E69" s="6" t="n"/>
      <c r="F69" s="6" t="n"/>
      <c r="H69" s="6" t="n">
        <v>0.873</v>
      </c>
      <c r="I69" s="6" t="n">
        <v>1</v>
      </c>
      <c r="J69" s="6" t="n">
        <v>1</v>
      </c>
      <c r="K69" s="6" t="n"/>
      <c r="X69" s="6" t="n">
        <v>600</v>
      </c>
    </row>
    <row r="70">
      <c r="A70" t="inlineStr">
        <is>
          <t>warcraft2</t>
        </is>
      </c>
      <c r="B70" t="inlineStr">
        <is>
          <t>wc2_orcs_dragonroost</t>
        </is>
      </c>
      <c r="C70" t="inlineStr">
        <is>
          <t>Dragon Roost</t>
        </is>
      </c>
      <c r="D70" s="6" t="inlineStr">
        <is>
          <t>Building</t>
        </is>
      </c>
      <c r="E70" s="6" t="n">
        <v>300000</v>
      </c>
      <c r="F70" s="6" t="n"/>
      <c r="G70" t="inlineStr">
        <is>
          <t>Wood</t>
        </is>
      </c>
      <c r="H70" s="6" t="n">
        <v>1</v>
      </c>
      <c r="I70" s="6" t="n">
        <v>1</v>
      </c>
      <c r="J70" s="6" t="n">
        <v>1</v>
      </c>
      <c r="K70" s="6" t="n"/>
      <c r="X70" s="6" t="n">
        <v>1500</v>
      </c>
    </row>
    <row r="71">
      <c r="A71" t="inlineStr">
        <is>
          <t>warcraft2</t>
        </is>
      </c>
      <c r="B71" t="inlineStr">
        <is>
          <t>wc2_orcs_fortress</t>
        </is>
      </c>
      <c r="C71" t="inlineStr">
        <is>
          <t>Fortress</t>
        </is>
      </c>
      <c r="D71" s="6" t="inlineStr">
        <is>
          <t>Building</t>
        </is>
      </c>
      <c r="E71" s="6" t="n"/>
      <c r="F71" s="6" t="n"/>
      <c r="H71" s="6" t="n">
        <v>1</v>
      </c>
      <c r="I71" s="6" t="n">
        <v>1</v>
      </c>
      <c r="J71" s="6" t="n">
        <v>1</v>
      </c>
      <c r="K71" s="6" t="n"/>
      <c r="X71" s="6" t="n">
        <v>5000</v>
      </c>
    </row>
    <row r="72">
      <c r="A72" t="inlineStr">
        <is>
          <t>warcraft2</t>
        </is>
      </c>
      <c r="B72" t="inlineStr">
        <is>
          <t>wc2_orcs_golbinalchemist</t>
        </is>
      </c>
      <c r="C72" t="inlineStr">
        <is>
          <t>Golbin Alchemist</t>
        </is>
      </c>
      <c r="D72" s="6" t="inlineStr">
        <is>
          <t>Building</t>
        </is>
      </c>
      <c r="E72" s="6" t="n">
        <v>400000</v>
      </c>
      <c r="F72" s="6" t="n"/>
      <c r="G72" t="inlineStr">
        <is>
          <t>Concrete</t>
        </is>
      </c>
      <c r="H72" s="6" t="n">
        <v>1</v>
      </c>
      <c r="I72" s="6" t="n">
        <v>1</v>
      </c>
      <c r="J72" s="6" t="n">
        <v>1</v>
      </c>
      <c r="K72" s="6" t="n"/>
      <c r="X72" s="6" t="n">
        <v>2000</v>
      </c>
    </row>
    <row r="73">
      <c r="A73" t="inlineStr">
        <is>
          <t>warcraft2</t>
        </is>
      </c>
      <c r="B73" t="inlineStr">
        <is>
          <t>wc2_orcs_greathall</t>
        </is>
      </c>
      <c r="C73" t="inlineStr">
        <is>
          <t>Great Hall</t>
        </is>
      </c>
      <c r="D73" s="6" t="inlineStr">
        <is>
          <t>Building</t>
        </is>
      </c>
      <c r="E73" s="6" t="n">
        <v>1000000</v>
      </c>
      <c r="F73" s="6" t="n"/>
      <c r="G73" t="inlineStr">
        <is>
          <t>Concrete</t>
        </is>
      </c>
      <c r="H73" s="6" t="n">
        <v>1</v>
      </c>
      <c r="I73" s="6" t="n">
        <v>1</v>
      </c>
      <c r="J73" s="6" t="n">
        <v>1</v>
      </c>
      <c r="K73" s="6" t="n"/>
      <c r="X73" s="6" t="n">
        <v>5000</v>
      </c>
    </row>
    <row r="74">
      <c r="A74" t="inlineStr">
        <is>
          <t>warcraft2</t>
        </is>
      </c>
      <c r="B74" t="inlineStr">
        <is>
          <t>wc2_orcs_guardtower_plug</t>
        </is>
      </c>
      <c r="C74" t="inlineStr">
        <is>
          <t>Upgraded Guard Tower</t>
        </is>
      </c>
      <c r="D74" s="6" t="inlineStr">
        <is>
          <t>Building</t>
        </is>
      </c>
      <c r="E74" s="6" t="n"/>
      <c r="F74" s="6" t="n"/>
      <c r="H74" s="6" t="n">
        <v>0.8290999999999999</v>
      </c>
      <c r="I74" s="6" t="n">
        <v>1</v>
      </c>
      <c r="J74" s="6" t="n">
        <v>1</v>
      </c>
      <c r="K74" s="6" t="n"/>
      <c r="X74" s="6" t="n">
        <v>600</v>
      </c>
    </row>
    <row r="75">
      <c r="A75" t="inlineStr">
        <is>
          <t>warcraft2</t>
        </is>
      </c>
      <c r="B75" t="inlineStr">
        <is>
          <t>wc2_orcs_ogremound</t>
        </is>
      </c>
      <c r="C75" t="inlineStr">
        <is>
          <t>Ogre Mound</t>
        </is>
      </c>
      <c r="D75" s="6" t="inlineStr">
        <is>
          <t>Building</t>
        </is>
      </c>
      <c r="E75" s="6" t="n">
        <v>250000</v>
      </c>
      <c r="F75" s="6" t="n"/>
      <c r="G75" t="inlineStr">
        <is>
          <t>Wood</t>
        </is>
      </c>
      <c r="H75" s="6" t="n">
        <v>1</v>
      </c>
      <c r="I75" s="6" t="n">
        <v>1</v>
      </c>
      <c r="J75" s="6" t="n">
        <v>1</v>
      </c>
      <c r="K75" s="6" t="n"/>
      <c r="X75" s="6" t="n">
        <v>2500</v>
      </c>
    </row>
    <row r="76">
      <c r="A76" t="inlineStr">
        <is>
          <t>warcraft2</t>
        </is>
      </c>
      <c r="B76" t="inlineStr">
        <is>
          <t>wc2_orcs_orcgoldmine</t>
        </is>
      </c>
      <c r="C76" t="inlineStr">
        <is>
          <t>Orc Gold Mine</t>
        </is>
      </c>
      <c r="D76" s="6" t="inlineStr">
        <is>
          <t>Building</t>
        </is>
      </c>
      <c r="E76" s="6" t="n">
        <v>1000000</v>
      </c>
      <c r="F76" s="6" t="n"/>
      <c r="G76" t="inlineStr">
        <is>
          <t>Concrete</t>
        </is>
      </c>
      <c r="H76" s="6" t="n">
        <v>1</v>
      </c>
      <c r="I76" s="6" t="n">
        <v>1</v>
      </c>
      <c r="J76" s="6" t="n">
        <v>1</v>
      </c>
      <c r="K76" s="6" t="n"/>
      <c r="X76" s="6" t="n">
        <v>10000</v>
      </c>
    </row>
    <row r="77">
      <c r="A77" t="inlineStr">
        <is>
          <t>warcraft2</t>
        </is>
      </c>
      <c r="B77" t="inlineStr">
        <is>
          <t>wc2_orcs_orcgoldmine_bot</t>
        </is>
      </c>
      <c r="C77" t="inlineStr">
        <is>
          <t>Orc Gold Mine</t>
        </is>
      </c>
      <c r="D77" s="6" t="inlineStr">
        <is>
          <t>Building</t>
        </is>
      </c>
      <c r="E77" s="6" t="n">
        <v>1000000</v>
      </c>
      <c r="F77" s="6" t="n"/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K77" s="6" t="n"/>
      <c r="X77" s="6" t="n">
        <v>15000</v>
      </c>
    </row>
    <row r="78">
      <c r="A78" t="inlineStr">
        <is>
          <t>warcraft2</t>
        </is>
      </c>
      <c r="B78" t="inlineStr">
        <is>
          <t>wc2_orcs_pigfarm</t>
        </is>
      </c>
      <c r="C78" t="inlineStr">
        <is>
          <t>Pigfarm</t>
        </is>
      </c>
      <c r="D78" s="6" t="inlineStr">
        <is>
          <t>Building</t>
        </is>
      </c>
      <c r="E78" s="6" t="n">
        <v>250000</v>
      </c>
      <c r="F78" s="6" t="n"/>
      <c r="G78" t="inlineStr">
        <is>
          <t>Wood</t>
        </is>
      </c>
      <c r="H78" s="6" t="n">
        <v>1</v>
      </c>
      <c r="I78" s="6" t="n">
        <v>1</v>
      </c>
      <c r="J78" s="6" t="n">
        <v>1</v>
      </c>
      <c r="K78" s="6" t="n"/>
      <c r="X78" s="6" t="n">
        <v>1000</v>
      </c>
    </row>
    <row r="79">
      <c r="A79" t="inlineStr">
        <is>
          <t>warcraft2</t>
        </is>
      </c>
      <c r="B79" t="inlineStr">
        <is>
          <t>wc2_orcs_stronghold</t>
        </is>
      </c>
      <c r="C79" t="inlineStr">
        <is>
          <t>Stronghold</t>
        </is>
      </c>
      <c r="D79" s="6" t="inlineStr">
        <is>
          <t>Building</t>
        </is>
      </c>
      <c r="E79" s="6" t="n"/>
      <c r="F79" s="6" t="n"/>
      <c r="H79" s="6" t="n">
        <v>1</v>
      </c>
      <c r="I79" s="6" t="n">
        <v>1</v>
      </c>
      <c r="J79" s="6" t="n">
        <v>1</v>
      </c>
      <c r="K79" s="6" t="n"/>
      <c r="X79" s="6" t="n">
        <v>2500</v>
      </c>
    </row>
    <row r="80">
      <c r="A80" t="inlineStr">
        <is>
          <t>warcraft2</t>
        </is>
      </c>
      <c r="B80" t="inlineStr">
        <is>
          <t>wc2_orcs_templeofthedamned</t>
        </is>
      </c>
      <c r="C80" t="inlineStr">
        <is>
          <t>Temple of the Damned</t>
        </is>
      </c>
      <c r="D80" s="6" t="inlineStr">
        <is>
          <t>Building</t>
        </is>
      </c>
      <c r="E80" s="6" t="n">
        <v>1000000</v>
      </c>
      <c r="F80" s="6" t="n"/>
      <c r="G80" t="inlineStr">
        <is>
          <t>Concrete</t>
        </is>
      </c>
      <c r="H80" s="6" t="n">
        <v>1</v>
      </c>
      <c r="I80" s="6" t="n">
        <v>1</v>
      </c>
      <c r="J80" s="6" t="n">
        <v>1</v>
      </c>
      <c r="K80" s="6" t="n"/>
      <c r="X80" s="6" t="n">
        <v>10000</v>
      </c>
    </row>
    <row r="81">
      <c r="A81" t="inlineStr">
        <is>
          <t>warcraft2</t>
        </is>
      </c>
      <c r="B81" t="inlineStr">
        <is>
          <t>wc2_orcs_trolllumbermill</t>
        </is>
      </c>
      <c r="C81" t="inlineStr">
        <is>
          <t>Troll Lumbermill</t>
        </is>
      </c>
      <c r="D81" s="6" t="inlineStr">
        <is>
          <t>Building</t>
        </is>
      </c>
      <c r="E81" s="6" t="n">
        <v>300000</v>
      </c>
      <c r="F81" s="6" t="n"/>
      <c r="G81" t="inlineStr">
        <is>
          <t>Concrete</t>
        </is>
      </c>
      <c r="H81" s="6" t="n">
        <v>1</v>
      </c>
      <c r="I81" s="6" t="n">
        <v>1</v>
      </c>
      <c r="J81" s="6" t="n">
        <v>1</v>
      </c>
      <c r="K81" s="6" t="n"/>
      <c r="X81" s="6" t="n">
        <v>3000</v>
      </c>
    </row>
    <row r="82">
      <c r="A82" s="4" t="inlineStr">
        <is>
          <t>UPGRADES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warcraft2</t>
        </is>
      </c>
      <c r="B83" t="inlineStr">
        <is>
          <t>wc2_orcs_upgrade_armorstrength</t>
        </is>
      </c>
      <c r="C83" t="inlineStr">
        <is>
          <t>Armor Strength</t>
        </is>
      </c>
      <c r="D83" s="6" t="inlineStr">
        <is>
          <t>ResearchedUpgrade</t>
        </is>
      </c>
      <c r="E83" s="6" t="n"/>
      <c r="F83" s="6" t="n"/>
      <c r="H83" s="6" t="n">
        <v>1</v>
      </c>
      <c r="I83" s="6" t="n">
        <v>1</v>
      </c>
      <c r="J83" s="6" t="n">
        <v>1</v>
      </c>
      <c r="K83" s="6" t="n"/>
      <c r="X83" s="6" t="n">
        <v>2500</v>
      </c>
    </row>
    <row r="84">
      <c r="A84" t="inlineStr">
        <is>
          <t>warcraft2</t>
        </is>
      </c>
      <c r="B84" t="inlineStr">
        <is>
          <t>wc2_orcs_upgrade_armorstrengthii</t>
        </is>
      </c>
      <c r="C84" t="inlineStr">
        <is>
          <t>Armor Strength II</t>
        </is>
      </c>
      <c r="D84" s="6" t="inlineStr">
        <is>
          <t>ResearchedUpgrade</t>
        </is>
      </c>
      <c r="E84" s="6" t="n"/>
      <c r="F84" s="6" t="n"/>
      <c r="H84" s="6" t="n">
        <v>1</v>
      </c>
      <c r="I84" s="6" t="n">
        <v>1</v>
      </c>
      <c r="J84" s="6" t="n">
        <v>1</v>
      </c>
      <c r="K84" s="6" t="n"/>
      <c r="X84" s="6" t="n">
        <v>5000</v>
      </c>
    </row>
    <row r="85">
      <c r="A85" t="inlineStr">
        <is>
          <t>warcraft2</t>
        </is>
      </c>
      <c r="B85" t="inlineStr">
        <is>
          <t>wc2_orcs_upgrade_axestrength</t>
        </is>
      </c>
      <c r="C85" t="inlineStr">
        <is>
          <t>Axe Strength</t>
        </is>
      </c>
      <c r="D85" s="6" t="inlineStr">
        <is>
          <t>ResearchedUpgrade</t>
        </is>
      </c>
      <c r="E85" s="6" t="n"/>
      <c r="F85" s="6" t="n"/>
      <c r="H85" s="6" t="n">
        <v>1</v>
      </c>
      <c r="I85" s="6" t="n">
        <v>1</v>
      </c>
      <c r="J85" s="6" t="n">
        <v>1</v>
      </c>
      <c r="K85" s="6" t="n"/>
      <c r="X85" s="6" t="n">
        <v>2500</v>
      </c>
    </row>
    <row r="86">
      <c r="A86" t="inlineStr">
        <is>
          <t>warcraft2</t>
        </is>
      </c>
      <c r="B86" t="inlineStr">
        <is>
          <t>wc2_orcs_upgrade_axestrengthii</t>
        </is>
      </c>
      <c r="C86" t="inlineStr">
        <is>
          <t>Axe Strength II</t>
        </is>
      </c>
      <c r="D86" s="6" t="inlineStr">
        <is>
          <t>ResearchedUpgrade</t>
        </is>
      </c>
      <c r="E86" s="6" t="n"/>
      <c r="F86" s="6" t="n"/>
      <c r="H86" s="6" t="n">
        <v>1</v>
      </c>
      <c r="I86" s="6" t="n">
        <v>1</v>
      </c>
      <c r="J86" s="6" t="n">
        <v>1</v>
      </c>
      <c r="K86" s="6" t="n"/>
      <c r="X86" s="6" t="n">
        <v>5000</v>
      </c>
    </row>
    <row r="87">
      <c r="A87" t="inlineStr">
        <is>
          <t>warcraft2</t>
        </is>
      </c>
      <c r="B87" t="inlineStr">
        <is>
          <t>wc2_orcs_upgrade_berserker</t>
        </is>
      </c>
      <c r="C87" t="inlineStr">
        <is>
          <t>Berserker</t>
        </is>
      </c>
      <c r="D87" s="6" t="inlineStr">
        <is>
          <t>ResearchedUpgrade</t>
        </is>
      </c>
      <c r="E87" s="6" t="n"/>
      <c r="F87" s="6" t="n"/>
      <c r="H87" s="6" t="n">
        <v>1</v>
      </c>
      <c r="I87" s="6" t="n">
        <v>1</v>
      </c>
      <c r="J87" s="6" t="n">
        <v>1</v>
      </c>
      <c r="K87" s="6" t="n"/>
      <c r="X87" s="6" t="n">
        <v>2500</v>
      </c>
    </row>
    <row r="88">
      <c r="A88" t="inlineStr">
        <is>
          <t>warcraft2</t>
        </is>
      </c>
      <c r="B88" t="inlineStr">
        <is>
          <t>wc2_orcs_upgrade_berserkerlightaxes</t>
        </is>
      </c>
      <c r="C88" t="inlineStr">
        <is>
          <t>Berserker Light Axes</t>
        </is>
      </c>
      <c r="D88" s="6" t="inlineStr">
        <is>
          <t>ResearchedUpgrade</t>
        </is>
      </c>
      <c r="E88" s="6" t="n"/>
      <c r="F88" s="6" t="n"/>
      <c r="H88" s="6" t="n">
        <v>1</v>
      </c>
      <c r="I88" s="6" t="n">
        <v>1</v>
      </c>
      <c r="J88" s="6" t="n">
        <v>1</v>
      </c>
      <c r="K88" s="6" t="n"/>
      <c r="X88" s="6" t="n">
        <v>2500</v>
      </c>
    </row>
    <row r="89">
      <c r="A89" t="inlineStr">
        <is>
          <t>warcraft2</t>
        </is>
      </c>
      <c r="B89" t="inlineStr">
        <is>
          <t>wc2_orcs_upgrade_berserkerregeneration</t>
        </is>
      </c>
      <c r="C89" t="inlineStr">
        <is>
          <t>Berserker Regeneration</t>
        </is>
      </c>
      <c r="D89" s="6" t="inlineStr">
        <is>
          <t>ResearchedUpgrade</t>
        </is>
      </c>
      <c r="E89" s="6" t="n"/>
      <c r="F89" s="6" t="n"/>
      <c r="H89" s="6" t="n">
        <v>1</v>
      </c>
      <c r="I89" s="6" t="n">
        <v>1</v>
      </c>
      <c r="J89" s="6" t="n">
        <v>1</v>
      </c>
      <c r="K89" s="6" t="n"/>
      <c r="X89" s="6" t="n">
        <v>2500</v>
      </c>
    </row>
    <row r="90">
      <c r="A90" t="inlineStr">
        <is>
          <t>warcraft2</t>
        </is>
      </c>
      <c r="B90" t="inlineStr">
        <is>
          <t>wc2_orcs_upgrade_berserkerscouting</t>
        </is>
      </c>
      <c r="C90" t="inlineStr">
        <is>
          <t>Berserker Scouting</t>
        </is>
      </c>
      <c r="D90" s="6" t="inlineStr">
        <is>
          <t>ResearchedUpgrade</t>
        </is>
      </c>
      <c r="E90" s="6" t="n"/>
      <c r="F90" s="6" t="n"/>
      <c r="H90" s="6" t="n">
        <v>1</v>
      </c>
      <c r="I90" s="6" t="n">
        <v>1</v>
      </c>
      <c r="J90" s="6" t="n">
        <v>1</v>
      </c>
      <c r="K90" s="6" t="n"/>
      <c r="X90" s="6" t="n">
        <v>2500</v>
      </c>
    </row>
    <row r="91">
      <c r="A91" t="inlineStr">
        <is>
          <t>warcraft2</t>
        </is>
      </c>
      <c r="B91" t="inlineStr">
        <is>
          <t>wc2_orcs_upgrade_bestfarm</t>
        </is>
      </c>
      <c r="C91" t="inlineStr">
        <is>
          <t>Best Farm</t>
        </is>
      </c>
      <c r="D91" s="6" t="inlineStr">
        <is>
          <t>ResearchedUpgrade</t>
        </is>
      </c>
      <c r="E91" s="6" t="n"/>
      <c r="F91" s="6" t="n"/>
      <c r="H91" s="6" t="n">
        <v>1</v>
      </c>
      <c r="I91" s="6" t="n">
        <v>1</v>
      </c>
      <c r="J91" s="6" t="n">
        <v>1</v>
      </c>
      <c r="K91" s="6" t="n"/>
      <c r="X91" s="6" t="n">
        <v>5000</v>
      </c>
    </row>
    <row r="92">
      <c r="A92" t="inlineStr">
        <is>
          <t>warcraft2</t>
        </is>
      </c>
      <c r="B92" t="inlineStr">
        <is>
          <t>wc2_orcs_upgrade_betterfarm</t>
        </is>
      </c>
      <c r="C92" t="inlineStr">
        <is>
          <t>Better Farm</t>
        </is>
      </c>
      <c r="D92" s="6" t="inlineStr">
        <is>
          <t>ResearchedUpgrade</t>
        </is>
      </c>
      <c r="E92" s="6" t="n"/>
      <c r="F92" s="6" t="n"/>
      <c r="H92" s="6" t="n">
        <v>1</v>
      </c>
      <c r="I92" s="6" t="n">
        <v>1</v>
      </c>
      <c r="J92" s="6" t="n">
        <v>1</v>
      </c>
      <c r="K92" s="6" t="n"/>
      <c r="X92" s="6" t="n">
        <v>2500</v>
      </c>
    </row>
    <row r="93">
      <c r="A93" t="inlineStr">
        <is>
          <t>warcraft2</t>
        </is>
      </c>
      <c r="B93" t="inlineStr">
        <is>
          <t>wc2_orcs_upgrade_bloodlust</t>
        </is>
      </c>
      <c r="C93" t="inlineStr">
        <is>
          <t>Bloodlust</t>
        </is>
      </c>
      <c r="D93" s="6" t="inlineStr">
        <is>
          <t>ResearchedUpgrade</t>
        </is>
      </c>
      <c r="E93" s="6" t="n"/>
      <c r="F93" s="6" t="n"/>
      <c r="H93" s="6" t="n">
        <v>0.7674</v>
      </c>
      <c r="I93" s="6" t="n">
        <v>1</v>
      </c>
      <c r="J93" s="6" t="n">
        <v>1</v>
      </c>
      <c r="K93" s="6" t="n"/>
      <c r="X93" s="6" t="n">
        <v>2500</v>
      </c>
    </row>
    <row r="94">
      <c r="A94" t="inlineStr">
        <is>
          <t>warcraft2</t>
        </is>
      </c>
      <c r="B94" t="inlineStr">
        <is>
          <t>wc2_orcs_upgrade_cannondamage</t>
        </is>
      </c>
      <c r="C94" t="inlineStr">
        <is>
          <t>Cannon Damage</t>
        </is>
      </c>
      <c r="D94" s="6" t="inlineStr">
        <is>
          <t>ResearchedUpgrade</t>
        </is>
      </c>
      <c r="E94" s="6" t="n"/>
      <c r="F94" s="6" t="n"/>
      <c r="H94" s="6" t="n">
        <v>1</v>
      </c>
      <c r="I94" s="6" t="n">
        <v>1</v>
      </c>
      <c r="J94" s="6" t="n">
        <v>1</v>
      </c>
      <c r="K94" s="6" t="n"/>
      <c r="X94" s="6" t="n">
        <v>2500</v>
      </c>
    </row>
    <row r="95">
      <c r="A95" t="inlineStr">
        <is>
          <t>warcraft2</t>
        </is>
      </c>
      <c r="B95" t="inlineStr">
        <is>
          <t>wc2_orcs_upgrade_cannondamageii</t>
        </is>
      </c>
      <c r="C95" t="inlineStr">
        <is>
          <t>Cannon Damage II</t>
        </is>
      </c>
      <c r="D95" s="6" t="inlineStr">
        <is>
          <t>ResearchedUpgrade</t>
        </is>
      </c>
      <c r="E95" s="6" t="n"/>
      <c r="F95" s="6" t="n"/>
      <c r="H95" s="6" t="n">
        <v>1</v>
      </c>
      <c r="I95" s="6" t="n">
        <v>1</v>
      </c>
      <c r="J95" s="6" t="n">
        <v>1</v>
      </c>
      <c r="K95" s="6" t="n"/>
      <c r="X95" s="6" t="n">
        <v>5000</v>
      </c>
    </row>
    <row r="96">
      <c r="A96" t="inlineStr">
        <is>
          <t>warcraft2</t>
        </is>
      </c>
      <c r="B96" t="inlineStr">
        <is>
          <t>wc2_orcs_upgrade_catapultstrength</t>
        </is>
      </c>
      <c r="C96" t="inlineStr">
        <is>
          <t>Catapult Strength</t>
        </is>
      </c>
      <c r="D96" s="6" t="inlineStr">
        <is>
          <t>ResearchedUpgrade</t>
        </is>
      </c>
      <c r="E96" s="6" t="n"/>
      <c r="F96" s="6" t="n"/>
      <c r="H96" s="6" t="n">
        <v>1</v>
      </c>
      <c r="I96" s="6" t="n">
        <v>1</v>
      </c>
      <c r="J96" s="6" t="n">
        <v>1</v>
      </c>
      <c r="K96" s="6" t="n"/>
      <c r="X96" s="6" t="n">
        <v>2500</v>
      </c>
    </row>
    <row r="97">
      <c r="A97" t="inlineStr">
        <is>
          <t>warcraft2</t>
        </is>
      </c>
      <c r="B97" t="inlineStr">
        <is>
          <t>wc2_orcs_upgrade_catapultstrengthii</t>
        </is>
      </c>
      <c r="C97" t="inlineStr">
        <is>
          <t>Catapult Strength II</t>
        </is>
      </c>
      <c r="D97" s="6" t="inlineStr">
        <is>
          <t>ResearchedUpgrade</t>
        </is>
      </c>
      <c r="E97" s="6" t="n"/>
      <c r="F97" s="6" t="n"/>
      <c r="H97" s="6" t="n">
        <v>1</v>
      </c>
      <c r="I97" s="6" t="n">
        <v>1</v>
      </c>
      <c r="J97" s="6" t="n">
        <v>1</v>
      </c>
      <c r="K97" s="6" t="n"/>
      <c r="X97" s="6" t="n">
        <v>5000</v>
      </c>
    </row>
    <row r="98">
      <c r="A98" t="inlineStr">
        <is>
          <t>warcraft2</t>
        </is>
      </c>
      <c r="B98" t="inlineStr">
        <is>
          <t>wc2_orcs_upgrade_deathanddecay</t>
        </is>
      </c>
      <c r="C98" t="inlineStr">
        <is>
          <t>Death and Decay</t>
        </is>
      </c>
      <c r="D98" s="6" t="inlineStr">
        <is>
          <t>ResearchedUpgrade</t>
        </is>
      </c>
      <c r="E98" s="6" t="n"/>
      <c r="F98" s="6" t="n"/>
      <c r="H98" s="6" t="n">
        <v>0.4521</v>
      </c>
      <c r="I98" s="6" t="n">
        <v>1</v>
      </c>
      <c r="J98" s="6" t="n">
        <v>1</v>
      </c>
      <c r="K98" s="6" t="n"/>
      <c r="X98" s="6" t="n">
        <v>2500</v>
      </c>
    </row>
    <row r="99">
      <c r="A99" t="inlineStr">
        <is>
          <t>warcraft2</t>
        </is>
      </c>
      <c r="B99" t="inlineStr">
        <is>
          <t>wc2_orcs_upgrade_haste</t>
        </is>
      </c>
      <c r="C99" t="inlineStr">
        <is>
          <t>Haste</t>
        </is>
      </c>
      <c r="D99" s="6" t="inlineStr">
        <is>
          <t>ResearchedUpgrade</t>
        </is>
      </c>
      <c r="E99" s="6" t="n"/>
      <c r="F99" s="6" t="n"/>
      <c r="H99" s="6" t="n">
        <v>0.4521</v>
      </c>
      <c r="I99" s="6" t="n">
        <v>1</v>
      </c>
      <c r="J99" s="6" t="n">
        <v>1</v>
      </c>
      <c r="K99" s="6" t="n"/>
      <c r="X99" s="6" t="n">
        <v>2500</v>
      </c>
    </row>
    <row r="100">
      <c r="A100" t="inlineStr">
        <is>
          <t>warcraft2</t>
        </is>
      </c>
      <c r="B100" t="inlineStr">
        <is>
          <t>wc2_orcs_upgrade_ogremage</t>
        </is>
      </c>
      <c r="C100" t="inlineStr">
        <is>
          <t>Ogre-Mage</t>
        </is>
      </c>
      <c r="D100" s="6" t="inlineStr">
        <is>
          <t>ResearchedUpgrade</t>
        </is>
      </c>
      <c r="E100" s="6" t="n"/>
      <c r="F100" s="6" t="n"/>
      <c r="H100" s="6" t="n">
        <v>0.7674</v>
      </c>
      <c r="I100" s="6" t="n">
        <v>1</v>
      </c>
      <c r="J100" s="6" t="n">
        <v>1</v>
      </c>
      <c r="K100" s="6" t="n"/>
      <c r="X100" s="6" t="n">
        <v>2500</v>
      </c>
    </row>
    <row r="101">
      <c r="A101" t="inlineStr">
        <is>
          <t>warcraft2</t>
        </is>
      </c>
      <c r="B101" t="inlineStr">
        <is>
          <t>wc2_orcs_upgrade_raisedead</t>
        </is>
      </c>
      <c r="C101" t="inlineStr">
        <is>
          <t>Raise Dead</t>
        </is>
      </c>
      <c r="D101" s="6" t="inlineStr">
        <is>
          <t>ResearchedUpgrade</t>
        </is>
      </c>
      <c r="E101" s="6" t="n"/>
      <c r="F101" s="6" t="n"/>
      <c r="H101" s="6" t="n">
        <v>0.4521</v>
      </c>
      <c r="I101" s="6" t="n">
        <v>1</v>
      </c>
      <c r="J101" s="6" t="n">
        <v>1</v>
      </c>
      <c r="K101" s="6" t="n"/>
      <c r="X101" s="6" t="n">
        <v>2500</v>
      </c>
    </row>
    <row r="102">
      <c r="A102" t="inlineStr">
        <is>
          <t>warcraft2</t>
        </is>
      </c>
      <c r="B102" t="inlineStr">
        <is>
          <t>wc2_orcs_upgrade_runes</t>
        </is>
      </c>
      <c r="C102" t="inlineStr">
        <is>
          <t>Runes</t>
        </is>
      </c>
      <c r="D102" s="6" t="inlineStr">
        <is>
          <t>ResearchedUpgrade</t>
        </is>
      </c>
      <c r="E102" s="6" t="n"/>
      <c r="F102" s="6" t="n"/>
      <c r="H102" s="6" t="n">
        <v>0.7674</v>
      </c>
      <c r="I102" s="6" t="n">
        <v>1</v>
      </c>
      <c r="J102" s="6" t="n">
        <v>1</v>
      </c>
      <c r="K102" s="6" t="n"/>
      <c r="X102" s="6" t="n">
        <v>2500</v>
      </c>
    </row>
    <row r="103">
      <c r="A103" t="inlineStr">
        <is>
          <t>warcraft2</t>
        </is>
      </c>
      <c r="B103" t="inlineStr">
        <is>
          <t>wc2_orcs_upgrade_throwingaxestrength</t>
        </is>
      </c>
      <c r="C103" t="inlineStr">
        <is>
          <t>Throwing Axe Strength</t>
        </is>
      </c>
      <c r="D103" s="6" t="inlineStr">
        <is>
          <t>ResearchedUpgrade</t>
        </is>
      </c>
      <c r="E103" s="6" t="n"/>
      <c r="F103" s="6" t="n"/>
      <c r="H103" s="6" t="n">
        <v>1</v>
      </c>
      <c r="I103" s="6" t="n">
        <v>1</v>
      </c>
      <c r="J103" s="6" t="n">
        <v>1</v>
      </c>
      <c r="K103" s="6" t="n"/>
      <c r="X103" s="6" t="n">
        <v>2500</v>
      </c>
    </row>
    <row r="104">
      <c r="A104" t="inlineStr">
        <is>
          <t>warcraft2</t>
        </is>
      </c>
      <c r="B104" t="inlineStr">
        <is>
          <t>wc2_orcs_upgrade_throwingaxestrengthii</t>
        </is>
      </c>
      <c r="C104" t="inlineStr">
        <is>
          <t>Throwing Axe Strength II</t>
        </is>
      </c>
      <c r="D104" s="6" t="inlineStr">
        <is>
          <t>ResearchedUpgrade</t>
        </is>
      </c>
      <c r="E104" s="6" t="n"/>
      <c r="F104" s="6" t="n"/>
      <c r="H104" s="6" t="n">
        <v>1</v>
      </c>
      <c r="I104" s="6" t="n">
        <v>1</v>
      </c>
      <c r="J104" s="6" t="n">
        <v>1</v>
      </c>
      <c r="K104" s="6" t="n"/>
      <c r="X104" s="6" t="n">
        <v>5000</v>
      </c>
    </row>
    <row r="105">
      <c r="A105" t="inlineStr">
        <is>
          <t>warcraft2</t>
        </is>
      </c>
      <c r="B105" t="inlineStr">
        <is>
          <t>wc2_orcs_upgrade_trollheadhunter</t>
        </is>
      </c>
      <c r="C105" t="inlineStr">
        <is>
          <t>Troll Headhunter</t>
        </is>
      </c>
      <c r="D105" s="6" t="inlineStr">
        <is>
          <t>UnitUpgrade</t>
        </is>
      </c>
      <c r="E105" s="6" t="n"/>
      <c r="F105" s="6" t="n"/>
      <c r="H105" s="6" t="n">
        <v>1</v>
      </c>
      <c r="I105" s="6" t="n">
        <v>1</v>
      </c>
      <c r="J105" s="6" t="n">
        <v>1</v>
      </c>
      <c r="K105" s="6" t="n"/>
      <c r="X105" s="6" t="n">
        <v>2500</v>
      </c>
    </row>
    <row r="106">
      <c r="A106" t="inlineStr">
        <is>
          <t>warcraft2</t>
        </is>
      </c>
      <c r="B106" t="inlineStr">
        <is>
          <t>wc2_orcs_upgrade_warcraft3grunt</t>
        </is>
      </c>
      <c r="C106" t="inlineStr">
        <is>
          <t>Warcraft 3 Grunt</t>
        </is>
      </c>
      <c r="D106" s="6" t="inlineStr">
        <is>
          <t>UnitUpgrade</t>
        </is>
      </c>
      <c r="E106" s="6" t="n"/>
      <c r="F106" s="6" t="n"/>
      <c r="H106" s="6" t="n">
        <v>1</v>
      </c>
      <c r="I106" s="6" t="n">
        <v>1</v>
      </c>
      <c r="J106" s="6" t="n">
        <v>1</v>
      </c>
      <c r="K106" s="6" t="n"/>
      <c r="X106" s="6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warcraft2</t>
        </is>
      </c>
      <c r="B3" t="inlineStr">
        <is>
          <t>wc2_humans_archmage</t>
        </is>
      </c>
      <c r="C3" t="inlineStr">
        <is>
          <t>Archmage</t>
        </is>
      </c>
      <c r="D3" s="6" t="inlineStr">
        <is>
          <t>SniperInfantry</t>
        </is>
      </c>
      <c r="E3" s="6" t="n">
        <v>50000</v>
      </c>
      <c r="F3" s="6" t="n">
        <v>65</v>
      </c>
      <c r="G3" t="inlineStr">
        <is>
          <t>Flak</t>
        </is>
      </c>
      <c r="H3" s="6" t="n">
        <v>0.6</v>
      </c>
      <c r="I3" s="6" t="n">
        <v>1</v>
      </c>
      <c r="J3" s="6" t="n">
        <v>1</v>
      </c>
      <c r="K3" s="6" t="n"/>
      <c r="P3">
        <f>MAX(P4,P6,P7,P8,P10)</f>
        <v/>
      </c>
      <c r="S3">
        <f>S4+S6+S7+S8+S10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1000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wc2mageFire</t>
        </is>
      </c>
      <c r="C4" s="7" t="inlineStr">
        <is>
          <t>Armament</t>
        </is>
      </c>
      <c r="L4" s="6" t="n">
        <v>8000</v>
      </c>
      <c r="M4" s="6" t="n">
        <v>40</v>
      </c>
      <c r="N4" s="6" t="n">
        <v>1</v>
      </c>
      <c r="O4" s="6" t="n"/>
      <c r="P4" s="6" t="n">
        <v>8000</v>
      </c>
      <c r="Q4" s="6" t="n">
        <v>1</v>
      </c>
      <c r="R4">
        <f>M4+IF(N4&gt;1,N(O4)*(N4-1),0)</f>
        <v/>
      </c>
      <c r="S4">
        <f>IFERROR(L4*MAX(N4,1)/R4*IF(ISBLANK(K3),1,K3),0)</f>
        <v/>
      </c>
      <c r="AB4" s="7" t="inlineStr">
        <is>
          <t>^Warhead_Tesla_Super</t>
        </is>
      </c>
    </row>
    <row r="5">
      <c r="B5" s="7" t="inlineStr">
        <is>
          <t xml:space="preserve">  ↳ wc2mageFire</t>
        </is>
      </c>
      <c r="C5" s="7" t="inlineStr">
        <is>
          <t>Armament@GARRISONED</t>
        </is>
      </c>
      <c r="L5" s="6" t="n">
        <v>8000</v>
      </c>
      <c r="M5" s="6" t="n">
        <v>40</v>
      </c>
      <c r="N5" s="6" t="n">
        <v>1</v>
      </c>
      <c r="O5" s="6" t="n"/>
      <c r="P5" s="6" t="n">
        <v>8000</v>
      </c>
      <c r="Q5" s="6" t="n">
        <v>1</v>
      </c>
      <c r="R5">
        <f>M5+IF(N5&gt;1,N(O5)*(N5-1),0)</f>
        <v/>
      </c>
      <c r="S5">
        <f>IFERROR(L5*MAX(N5,1)/R5*IF(ISBLANK(K3),1,K3),0)</f>
        <v/>
      </c>
      <c r="AB5" s="7" t="inlineStr">
        <is>
          <t>^Warhead_Tesla_Super</t>
        </is>
      </c>
    </row>
    <row r="6">
      <c r="B6" s="7" t="inlineStr">
        <is>
          <t xml:space="preserve">  ↳ wc2mageFireballVisible</t>
        </is>
      </c>
      <c r="C6" s="7" t="inlineStr">
        <is>
          <t>Armament@FIREBALL_VISIBLE</t>
        </is>
      </c>
      <c r="L6" s="6" t="n">
        <v>18000</v>
      </c>
      <c r="M6" s="6" t="n">
        <v>80</v>
      </c>
      <c r="N6" s="6" t="n">
        <v>1</v>
      </c>
      <c r="O6" s="6" t="n"/>
      <c r="P6" s="6" t="n">
        <v>8000</v>
      </c>
      <c r="Q6" s="6" t="n">
        <v>1</v>
      </c>
      <c r="R6">
        <f>M6+IF(N6&gt;1,N(O6)*(N6-1),0)</f>
        <v/>
      </c>
      <c r="S6">
        <f>IFERROR(L6*MAX(N6,1)/R6*IF(ISBLANK(K3),1,K3),0)</f>
        <v/>
      </c>
      <c r="AB6" s="7" t="inlineStr">
        <is>
          <t>^TankDestroyerCannon, ^MediumCannon, ^HeavyCannon, ^Grenade, ^ShrapnelWeapon, ^HeavyBomb, ^MediumMissile, ^Chaingun, ^FlakWeapon</t>
        </is>
      </c>
    </row>
    <row r="7">
      <c r="B7" s="7" t="inlineStr">
        <is>
          <t xml:space="preserve">  ↳ wc2mageFireballExplosion</t>
        </is>
      </c>
      <c r="C7" s="7" t="inlineStr">
        <is>
          <t>Armament@FIREBALL_EXPLOSIONS</t>
        </is>
      </c>
      <c r="L7" s="6" t="n">
        <v>18000</v>
      </c>
      <c r="M7" s="6" t="n">
        <v>80</v>
      </c>
      <c r="N7" s="6" t="n">
        <v>5</v>
      </c>
      <c r="O7" s="6" t="n">
        <v>0</v>
      </c>
      <c r="P7" s="6" t="n">
        <v>8000</v>
      </c>
      <c r="Q7" s="6" t="n">
        <v>1</v>
      </c>
      <c r="R7">
        <f>M7+IF(N7&gt;1,N(O7)*(N7-1),0)</f>
        <v/>
      </c>
      <c r="S7">
        <f>IFERROR(L7*MAX(N7,1)/R7*IF(ISBLANK(K3),1,K3),0)</f>
        <v/>
      </c>
      <c r="AB7" s="7" t="inlineStr">
        <is>
          <t>wc2mageFireballVisible</t>
        </is>
      </c>
    </row>
    <row r="8">
      <c r="B8" s="7" t="inlineStr">
        <is>
          <t xml:space="preserve">  ↳ wc2mageSlow</t>
        </is>
      </c>
      <c r="C8" s="7" t="inlineStr">
        <is>
          <t>Armament@SLOW</t>
        </is>
      </c>
      <c r="L8" s="6" t="n">
        <v>1</v>
      </c>
      <c r="M8" s="6" t="n">
        <v>60</v>
      </c>
      <c r="N8" s="6" t="n">
        <v>1</v>
      </c>
      <c r="O8" s="6" t="n"/>
      <c r="P8" s="6" t="n">
        <v>8000</v>
      </c>
      <c r="Q8" s="6" t="n">
        <v>1</v>
      </c>
      <c r="R8">
        <f>M8+IF(N8&gt;1,N(O8)*(N8-1),0)</f>
        <v/>
      </c>
      <c r="S8">
        <f>IFERROR(L8*MAX(N8,1)/R8*IF(ISBLANK(K3),1,K3),0)</f>
        <v/>
      </c>
      <c r="AB8" s="7" t="inlineStr"/>
    </row>
    <row r="9">
      <c r="B9" s="7" t="inlineStr">
        <is>
          <t xml:space="preserve">  ↳ wc2magePolymorph</t>
        </is>
      </c>
      <c r="C9" s="7" t="inlineStr">
        <is>
          <t>Armament@POLYMORPH</t>
        </is>
      </c>
      <c r="L9" s="6" t="n"/>
      <c r="M9" s="6" t="n">
        <v>60</v>
      </c>
      <c r="N9" s="6" t="n">
        <v>1</v>
      </c>
      <c r="O9" s="6" t="n"/>
      <c r="P9" s="6" t="n">
        <v>8000</v>
      </c>
      <c r="Q9" s="6" t="n">
        <v>1</v>
      </c>
      <c r="R9">
        <f>M9+IF(N9&gt;1,N(O9)*(N9-1),0)</f>
        <v/>
      </c>
      <c r="S9">
        <f>IFERROR(L9*MAX(N9,1)/R9*IF(ISBLANK(K3),1,K3),0)</f>
        <v/>
      </c>
      <c r="AB9" s="7" t="inlineStr"/>
    </row>
    <row r="10">
      <c r="B10" s="7" t="inlineStr">
        <is>
          <t xml:space="preserve">  ↳ wc2mageBlizzard</t>
        </is>
      </c>
      <c r="C10" s="7" t="inlineStr">
        <is>
          <t>Armament@BLIZZARD</t>
        </is>
      </c>
      <c r="L10" s="6" t="n">
        <v>1</v>
      </c>
      <c r="M10" s="6" t="n">
        <v>50</v>
      </c>
      <c r="N10" s="6" t="n">
        <v>1</v>
      </c>
      <c r="O10" s="6" t="n"/>
      <c r="P10" s="6" t="n">
        <v>8000</v>
      </c>
      <c r="Q10" s="6" t="n">
        <v>1</v>
      </c>
      <c r="R10">
        <f>M10+IF(N10&gt;1,N(O10)*(N10-1),0)</f>
        <v/>
      </c>
      <c r="S10">
        <f>IFERROR(L10*MAX(N10,1)/R10*IF(ISBLANK(K3),1,K3),0)</f>
        <v/>
      </c>
      <c r="AB10" s="7" t="inlineStr"/>
    </row>
    <row r="11">
      <c r="A11" t="inlineStr">
        <is>
          <t>warcraft2</t>
        </is>
      </c>
      <c r="B11" t="inlineStr">
        <is>
          <t>wc2_humans_dwarvenrifleman</t>
        </is>
      </c>
      <c r="C11" t="inlineStr">
        <is>
          <t>Dwarven Rifleman</t>
        </is>
      </c>
      <c r="D11" s="6" t="inlineStr">
        <is>
          <t>HeavyInfantry</t>
        </is>
      </c>
      <c r="E11" s="6" t="n">
        <v>24000</v>
      </c>
      <c r="F11" s="6" t="n">
        <v>64</v>
      </c>
      <c r="G11" t="inlineStr">
        <is>
          <t>Plate</t>
        </is>
      </c>
      <c r="H11" s="6" t="n">
        <v>1</v>
      </c>
      <c r="I11" s="6" t="n">
        <v>0.8</v>
      </c>
      <c r="J11" s="6" t="n">
        <v>1</v>
      </c>
      <c r="K11" s="6" t="n">
        <v>0.005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600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wc2_dwarf_Rifle</t>
        </is>
      </c>
      <c r="C12" s="7" t="inlineStr">
        <is>
          <t>Armament</t>
        </is>
      </c>
      <c r="L12" s="6" t="n">
        <v>24000</v>
      </c>
      <c r="M12" s="6" t="n">
        <v>60</v>
      </c>
      <c r="N12" s="6" t="n">
        <v>1</v>
      </c>
      <c r="O12" s="6" t="n"/>
      <c r="P12" s="6" t="n">
        <v>6936</v>
      </c>
      <c r="Q12" s="6" t="n">
        <v>1</v>
      </c>
      <c r="R12">
        <f>M12+IF(N12&gt;1,N(O12)*(N12-1),0)</f>
        <v/>
      </c>
      <c r="S12">
        <f>IFERROR(L12*MAX(N12,1)/R12*IF(ISBLANK(K11),1,K11),0)</f>
        <v/>
      </c>
      <c r="AB12" s="7" t="inlineStr">
        <is>
          <t>^RailgunWeapon, ^MediumMissile, ^TankDestroyerCannon</t>
        </is>
      </c>
    </row>
    <row r="13">
      <c r="B13" s="7" t="inlineStr">
        <is>
          <t xml:space="preserve">  ↳ wc2_dwarf_Rifle</t>
        </is>
      </c>
      <c r="C13" s="7" t="inlineStr">
        <is>
          <t>Armament@GARRISONED</t>
        </is>
      </c>
      <c r="L13" s="6" t="n">
        <v>24000</v>
      </c>
      <c r="M13" s="6" t="n">
        <v>60</v>
      </c>
      <c r="N13" s="6" t="n">
        <v>1</v>
      </c>
      <c r="O13" s="6" t="n"/>
      <c r="P13" s="6" t="n">
        <v>6936</v>
      </c>
      <c r="Q13" s="6" t="n">
        <v>1</v>
      </c>
      <c r="R13">
        <f>M13+IF(N13&gt;1,N(O13)*(N13-1),0)</f>
        <v/>
      </c>
      <c r="S13">
        <f>IFERROR(L13*MAX(N13,1)/R13*IF(ISBLANK(K11),1,K11),0)</f>
        <v/>
      </c>
      <c r="AB13" s="7" t="inlineStr">
        <is>
          <t>^RailgunWeapon, ^MediumMissile, ^TankDestroyerCannon</t>
        </is>
      </c>
    </row>
    <row r="14">
      <c r="A14" t="inlineStr">
        <is>
          <t>warcraft2</t>
        </is>
      </c>
      <c r="B14" t="inlineStr">
        <is>
          <t>wc2_humans_elvenarcher</t>
        </is>
      </c>
      <c r="C14" t="inlineStr">
        <is>
          <t>Elven Archer</t>
        </is>
      </c>
      <c r="D14" s="6" t="inlineStr">
        <is>
          <t>AntiTankAntiAirInfantry</t>
        </is>
      </c>
      <c r="E14" s="6" t="n">
        <v>25000</v>
      </c>
      <c r="F14" s="6" t="n">
        <v>75</v>
      </c>
      <c r="G14" t="inlineStr">
        <is>
          <t>Flak</t>
        </is>
      </c>
      <c r="H14" s="6" t="n">
        <v>1</v>
      </c>
      <c r="I14" s="6" t="n">
        <v>0.5</v>
      </c>
      <c r="J14" s="6" t="n">
        <v>1</v>
      </c>
      <c r="K14" s="6" t="n">
        <v>0.0075</v>
      </c>
      <c r="P14">
        <f>MAX(P15)</f>
        <v/>
      </c>
      <c r="S14">
        <f>S15</f>
        <v/>
      </c>
      <c r="T14">
        <f>(E14/100000+F14/100+(P14/1000)*J14/5+S14/200)*200*I14*H14</f>
        <v/>
      </c>
      <c r="U14">
        <f>((E14*F14/25000)+((P14/1000)*J14*S14/2.5))*I14*H14</f>
        <v/>
      </c>
      <c r="V14">
        <f>(E14*F14*(P14/1000)*J14*S14*I14*H14)/12500000</f>
        <v/>
      </c>
      <c r="W14">
        <f>(((E14/20000)+(F14/70)+(S14/200)+((P14/7000)*J14))*500/4+(((E14/20000)*(F14/70))+(((P14/7000)*J14)*(S14/200)))*500/2+((E14/20000)*(F14/70)*((P14/7000)*J14)*(S14/200))*500)*(H14/1.0)/3</f>
        <v/>
      </c>
      <c r="X14" s="6" t="n">
        <v>600</v>
      </c>
      <c r="Y14">
        <f>IFERROR(W14-X14,"")</f>
        <v/>
      </c>
      <c r="Z14">
        <f>IFERROR(ABS(Y14)/MAX(X14,1),"")</f>
        <v/>
      </c>
      <c r="AA14">
        <f>IFERROR(ROUND(((3*X14-(((E14/20000)+(F14/70)+(S14/200))*500/4+((E14/20000)*(F14/70))*500/2)*(H14/1.0))/(500/4+((S14/200))*500/2+((E14/20000)*(F14/70)*(S14/200))*500)*(H14/1.0)*7000)/J14,-1),"")</f>
        <v/>
      </c>
    </row>
    <row r="15">
      <c r="B15" s="7" t="inlineStr">
        <is>
          <t xml:space="preserve">  ↳ wc2arrowFire</t>
        </is>
      </c>
      <c r="C15" s="7" t="inlineStr">
        <is>
          <t>Armament</t>
        </is>
      </c>
      <c r="L15" s="6" t="n">
        <v>24000</v>
      </c>
      <c r="M15" s="6" t="n">
        <v>25</v>
      </c>
      <c r="N15" s="6" t="n">
        <v>1</v>
      </c>
      <c r="O15" s="6" t="n"/>
      <c r="P15" s="6" t="n">
        <v>6973</v>
      </c>
      <c r="Q15" s="6" t="n">
        <v>1</v>
      </c>
      <c r="R15">
        <f>M15+IF(N15&gt;1,N(O15)*(N15-1),0)</f>
        <v/>
      </c>
      <c r="S15">
        <f>IFERROR(L15*MAX(N15,1)/R15*IF(ISBLANK(K14),1,K14),0)</f>
        <v/>
      </c>
      <c r="AB15" s="7" t="inlineStr">
        <is>
          <t>^Warhead_CannonHE_Medium</t>
        </is>
      </c>
    </row>
    <row r="16">
      <c r="B16" s="7" t="inlineStr">
        <is>
          <t xml:space="preserve">  ↳ wc2arrowFire</t>
        </is>
      </c>
      <c r="C16" s="7" t="inlineStr">
        <is>
          <t>Armament@GARRISONED</t>
        </is>
      </c>
      <c r="L16" s="6" t="n">
        <v>24000</v>
      </c>
      <c r="M16" s="6" t="n">
        <v>25</v>
      </c>
      <c r="N16" s="6" t="n">
        <v>1</v>
      </c>
      <c r="O16" s="6" t="n"/>
      <c r="P16" s="6" t="n">
        <v>6973</v>
      </c>
      <c r="Q16" s="6" t="n">
        <v>1</v>
      </c>
      <c r="R16">
        <f>M16+IF(N16&gt;1,N(O16)*(N16-1),0)</f>
        <v/>
      </c>
      <c r="S16">
        <f>IFERROR(L16*MAX(N16,1)/R16*IF(ISBLANK(K14),1,K14),0)</f>
        <v/>
      </c>
      <c r="AB16" s="7" t="inlineStr">
        <is>
          <t>^Warhead_CannonHE_Medium</t>
        </is>
      </c>
    </row>
    <row r="17">
      <c r="A17" t="inlineStr">
        <is>
          <t>warcraft2</t>
        </is>
      </c>
      <c r="B17" t="inlineStr">
        <is>
          <t>wc2_humans_elvenranger</t>
        </is>
      </c>
      <c r="C17" t="inlineStr">
        <is>
          <t>Elven Ranger</t>
        </is>
      </c>
      <c r="D17" s="6" t="inlineStr">
        <is>
          <t>AntiTankAntiAirInfantry</t>
        </is>
      </c>
      <c r="E17" s="6" t="n">
        <v>25000</v>
      </c>
      <c r="F17" s="6" t="n">
        <v>75</v>
      </c>
      <c r="G17" t="inlineStr">
        <is>
          <t>Flak</t>
        </is>
      </c>
      <c r="H17" s="6" t="n">
        <v>1</v>
      </c>
      <c r="I17" s="6" t="n">
        <v>1</v>
      </c>
      <c r="J17" s="6" t="n">
        <v>1</v>
      </c>
      <c r="K17" s="6" t="n"/>
      <c r="P17">
        <f>MAX(P18)</f>
        <v/>
      </c>
      <c r="S17">
        <f>S18</f>
        <v/>
      </c>
      <c r="T17">
        <f>(E17/100000+F17/100+(P17/1000)*J17/5+S17/200)*200*I17*H17</f>
        <v/>
      </c>
      <c r="U17">
        <f>((E17*F17/25000)+((P17/1000)*J17*S17/2.5))*I17*H17</f>
        <v/>
      </c>
      <c r="V17">
        <f>(E17*F17*(P17/1000)*J17*S17*I17*H17)/12500000</f>
        <v/>
      </c>
      <c r="W17">
        <f>(T17+U17+V17)/3</f>
        <v/>
      </c>
      <c r="X17" s="6" t="n">
        <v>600</v>
      </c>
      <c r="Y17">
        <f>IFERROR(W17-X17,"")</f>
        <v/>
      </c>
      <c r="Z17">
        <f>IFERROR(ABS(Y17)/MAX(X17,1),"")</f>
        <v/>
      </c>
      <c r="AA17">
        <f>IFERROR((X17-(((E17/100000+F17/100+S17/200)*200*I17*H17)+((E17*F17/25000)*I17*H17))/3)/(((J17/5)*200*I17*H17)+((J17*S17/2.5)*I17*H17)+((E17*F17*J17*S17*I17*H17)/12500000))/3*1000,"")</f>
        <v/>
      </c>
    </row>
    <row r="18">
      <c r="B18" s="7" t="inlineStr">
        <is>
          <t xml:space="preserve">  ↳ wc2arrowFire</t>
        </is>
      </c>
      <c r="C18" s="7" t="inlineStr">
        <is>
          <t>Armament</t>
        </is>
      </c>
      <c r="L18" s="6" t="n">
        <v>24000</v>
      </c>
      <c r="M18" s="6" t="n">
        <v>25</v>
      </c>
      <c r="N18" s="6" t="n">
        <v>1</v>
      </c>
      <c r="O18" s="6" t="n"/>
      <c r="P18" s="6" t="n">
        <v>6973</v>
      </c>
      <c r="Q18" s="6" t="n">
        <v>1</v>
      </c>
      <c r="R18">
        <f>M18+IF(N18&gt;1,N(O18)*(N18-1),0)</f>
        <v/>
      </c>
      <c r="S18">
        <f>IFERROR(L18*MAX(N18,1)/R18*IF(ISBLANK(K17),1,K17),0)</f>
        <v/>
      </c>
      <c r="AB18" s="7" t="inlineStr">
        <is>
          <t>^Warhead_CannonHE_Medium</t>
        </is>
      </c>
    </row>
    <row r="19">
      <c r="B19" s="7" t="inlineStr">
        <is>
          <t xml:space="preserve">  ↳ wc2arrowFire</t>
        </is>
      </c>
      <c r="C19" s="7" t="inlineStr">
        <is>
          <t>Armament@GARRISONED</t>
        </is>
      </c>
      <c r="L19" s="6" t="n">
        <v>24000</v>
      </c>
      <c r="M19" s="6" t="n">
        <v>25</v>
      </c>
      <c r="N19" s="6" t="n">
        <v>1</v>
      </c>
      <c r="O19" s="6" t="n"/>
      <c r="P19" s="6" t="n">
        <v>6973</v>
      </c>
      <c r="Q19" s="6" t="n">
        <v>1</v>
      </c>
      <c r="R19">
        <f>M19+IF(N19&gt;1,N(O19)*(N19-1),0)</f>
        <v/>
      </c>
      <c r="S19">
        <f>IFERROR(L19*MAX(N19,1)/R19*IF(ISBLANK(K17),1,K17),0)</f>
        <v/>
      </c>
      <c r="AB19" s="7" t="inlineStr">
        <is>
          <t>^Warhead_CannonHE_Medium</t>
        </is>
      </c>
    </row>
    <row r="20">
      <c r="A20" t="inlineStr">
        <is>
          <t>warcraft2</t>
        </is>
      </c>
      <c r="B20" t="inlineStr">
        <is>
          <t>wc2_humans_footman</t>
        </is>
      </c>
      <c r="C20" t="inlineStr">
        <is>
          <t>Footman</t>
        </is>
      </c>
      <c r="D20" s="6" t="inlineStr">
        <is>
          <t>MeleeInfantry</t>
        </is>
      </c>
      <c r="E20" s="6" t="n">
        <v>50000</v>
      </c>
      <c r="F20" s="6" t="n">
        <v>75</v>
      </c>
      <c r="G20" t="inlineStr">
        <is>
          <t>Plate</t>
        </is>
      </c>
      <c r="H20" s="6" t="n">
        <v>1</v>
      </c>
      <c r="I20" s="6" t="n">
        <v>0.75</v>
      </c>
      <c r="J20" s="6" t="n">
        <v>1</v>
      </c>
      <c r="K20" s="6" t="n">
        <v>0.013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500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wc2footmanslice</t>
        </is>
      </c>
      <c r="C21" s="7" t="inlineStr">
        <is>
          <t>Armament</t>
        </is>
      </c>
      <c r="L21" s="6" t="n">
        <v>12000</v>
      </c>
      <c r="M21" s="6" t="n">
        <v>15</v>
      </c>
      <c r="N21" s="6" t="n">
        <v>1</v>
      </c>
      <c r="O21" s="6" t="n"/>
      <c r="P21" s="6" t="n">
        <v>1333</v>
      </c>
      <c r="Q21" s="6" t="n">
        <v>1</v>
      </c>
      <c r="R21">
        <f>M21+IF(N21&gt;1,N(O21)*(N21-1),0)</f>
        <v/>
      </c>
      <c r="S21">
        <f>IFERROR(L21*MAX(N21,1)/R21*IF(ISBLANK(K20),1,K20),0)</f>
        <v/>
      </c>
      <c r="AB21" s="7" t="inlineStr">
        <is>
          <t>^Warhead_Melee_Medium</t>
        </is>
      </c>
    </row>
    <row r="22">
      <c r="A22" t="inlineStr">
        <is>
          <t>warcraft2</t>
        </is>
      </c>
      <c r="B22" t="inlineStr">
        <is>
          <t>wc2_humans_highelfpriest</t>
        </is>
      </c>
      <c r="C22" t="inlineStr">
        <is>
          <t>High Elf priest</t>
        </is>
      </c>
      <c r="D22" s="6" t="inlineStr">
        <is>
          <t>SniperInfantry</t>
        </is>
      </c>
      <c r="E22" s="6" t="n">
        <v>50000</v>
      </c>
      <c r="F22" s="6" t="n">
        <v>65</v>
      </c>
      <c r="G22" t="inlineStr">
        <is>
          <t>Flak</t>
        </is>
      </c>
      <c r="H22" s="6" t="n">
        <v>0.6</v>
      </c>
      <c r="I22" s="6" t="n">
        <v>1</v>
      </c>
      <c r="J22" s="6" t="n">
        <v>1</v>
      </c>
      <c r="K22" s="6" t="n"/>
      <c r="P22">
        <f>MAX(P23,P24,P25)</f>
        <v/>
      </c>
      <c r="S22">
        <f>S23+S24+S25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1000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wc2mageFire</t>
        </is>
      </c>
      <c r="C23" s="7" t="inlineStr">
        <is>
          <t>Armament</t>
        </is>
      </c>
      <c r="L23" s="6" t="n">
        <v>8000</v>
      </c>
      <c r="M23" s="6" t="n">
        <v>40</v>
      </c>
      <c r="N23" s="6" t="n">
        <v>1</v>
      </c>
      <c r="O23" s="6" t="n"/>
      <c r="P23" s="6" t="n">
        <v>8000</v>
      </c>
      <c r="Q23" s="6" t="n">
        <v>1</v>
      </c>
      <c r="R23">
        <f>M23+IF(N23&gt;1,N(O23)*(N23-1),0)</f>
        <v/>
      </c>
      <c r="S23">
        <f>IFERROR(L23*MAX(N23,1)/R23*IF(ISBLANK(K22),1,K22),0)</f>
        <v/>
      </c>
      <c r="AB23" s="7" t="inlineStr">
        <is>
          <t>^Warhead_Tesla_Super</t>
        </is>
      </c>
    </row>
    <row r="24">
      <c r="B24" s="7" t="inlineStr">
        <is>
          <t xml:space="preserve">  ↳ wc2priesthealing</t>
        </is>
      </c>
      <c r="C24" s="7" t="inlineStr">
        <is>
          <t>Armament@HEAL</t>
        </is>
      </c>
      <c r="L24" s="6" t="n">
        <v>-5000</v>
      </c>
      <c r="M24" s="6" t="n">
        <v>40</v>
      </c>
      <c r="N24" s="6" t="n">
        <v>1</v>
      </c>
      <c r="O24" s="6" t="n"/>
      <c r="P24" s="6" t="n">
        <v>5120</v>
      </c>
      <c r="Q24" s="6" t="n">
        <v>1</v>
      </c>
      <c r="R24">
        <f>M24+IF(N24&gt;1,N(O24)*(N24-1),0)</f>
        <v/>
      </c>
      <c r="S24">
        <f>IFERROR(L24*MAX(N24,1)/R24*IF(ISBLANK(K22),1,K22),0)</f>
        <v/>
      </c>
      <c r="AB24" s="7" t="inlineStr"/>
    </row>
    <row r="25">
      <c r="B25" s="7" t="inlineStr">
        <is>
          <t xml:space="preserve">  ↳ wc2paladinexorcism</t>
        </is>
      </c>
      <c r="C25" s="7" t="inlineStr">
        <is>
          <t>Armament@EXORCISM</t>
        </is>
      </c>
      <c r="L25" s="6" t="n">
        <v>4025</v>
      </c>
      <c r="M25" s="6" t="n">
        <v>60</v>
      </c>
      <c r="N25" s="6" t="n">
        <v>1</v>
      </c>
      <c r="O25" s="6" t="n"/>
      <c r="P25" s="6" t="n">
        <v>5120</v>
      </c>
      <c r="Q25" s="6" t="n">
        <v>1</v>
      </c>
      <c r="R25">
        <f>M25+IF(N25&gt;1,N(O25)*(N25-1),0)</f>
        <v/>
      </c>
      <c r="S25">
        <f>IFERROR(L25*MAX(N25,1)/R25*IF(ISBLANK(K22),1,K22),0)</f>
        <v/>
      </c>
      <c r="AB25" s="7" t="inlineStr"/>
    </row>
    <row r="26">
      <c r="A26" t="inlineStr">
        <is>
          <t>warcraft2</t>
        </is>
      </c>
      <c r="B26" t="inlineStr">
        <is>
          <t>wc2_humans_highelfsorceress</t>
        </is>
      </c>
      <c r="C26" t="inlineStr">
        <is>
          <t>High Elf Sorceress</t>
        </is>
      </c>
      <c r="D26" s="6" t="inlineStr">
        <is>
          <t>SniperInfantry</t>
        </is>
      </c>
      <c r="E26" s="6" t="n">
        <v>50000</v>
      </c>
      <c r="F26" s="6" t="n">
        <v>65</v>
      </c>
      <c r="G26" t="inlineStr">
        <is>
          <t>Flak</t>
        </is>
      </c>
      <c r="H26" s="6" t="n">
        <v>0.6</v>
      </c>
      <c r="I26" s="6" t="n">
        <v>1</v>
      </c>
      <c r="J26" s="6" t="n">
        <v>1</v>
      </c>
      <c r="K26" s="6" t="n"/>
      <c r="P26">
        <f>MAX(P27,P28,P29)</f>
        <v/>
      </c>
      <c r="S26">
        <f>S27+S28+S29</f>
        <v/>
      </c>
      <c r="T26">
        <f>(E26/100000+F26/100+(P26/1000)*J26/5+S26/200)*200*I26*H26</f>
        <v/>
      </c>
      <c r="U26">
        <f>((E26*F26/25000)+((P26/1000)*J26*S26/2.5))*I26*H26</f>
        <v/>
      </c>
      <c r="V26">
        <f>(E26*F26*(P26/1000)*J26*S26*I26*H26)/12500000</f>
        <v/>
      </c>
      <c r="W26">
        <f>(T26+U26+V26)/3</f>
        <v/>
      </c>
      <c r="X26" s="6" t="n">
        <v>1000</v>
      </c>
      <c r="Y26">
        <f>IFERROR(W26-X26,"")</f>
        <v/>
      </c>
      <c r="Z26">
        <f>IFERROR(ABS(Y26)/MAX(X26,1),"")</f>
        <v/>
      </c>
      <c r="AA26">
        <f>IFERROR((X26-(((E26/100000+F26/100+S26/200)*200*I26*H26)+((E26*F26/25000)*I26*H26))/3)/(((J26/5)*200*I26*H26)+((J26*S26/2.5)*I26*H26)+((E26*F26*J26*S26*I26*H26)/12500000))/3*1000,"")</f>
        <v/>
      </c>
    </row>
    <row r="27">
      <c r="B27" s="7" t="inlineStr">
        <is>
          <t xml:space="preserve">  ↳ wc2mageFire</t>
        </is>
      </c>
      <c r="C27" s="7" t="inlineStr">
        <is>
          <t>Armament</t>
        </is>
      </c>
      <c r="L27" s="6" t="n">
        <v>8000</v>
      </c>
      <c r="M27" s="6" t="n">
        <v>40</v>
      </c>
      <c r="N27" s="6" t="n">
        <v>1</v>
      </c>
      <c r="O27" s="6" t="n"/>
      <c r="P27" s="6" t="n">
        <v>8000</v>
      </c>
      <c r="Q27" s="6" t="n">
        <v>1</v>
      </c>
      <c r="R27">
        <f>M27+IF(N27&gt;1,N(O27)*(N27-1),0)</f>
        <v/>
      </c>
      <c r="S27">
        <f>IFERROR(L27*MAX(N27,1)/R27*IF(ISBLANK(K26),1,K26),0)</f>
        <v/>
      </c>
      <c r="AB27" s="7" t="inlineStr">
        <is>
          <t>^Warhead_Tesla_Super</t>
        </is>
      </c>
    </row>
    <row r="28">
      <c r="B28" s="7" t="inlineStr">
        <is>
          <t xml:space="preserve">  ↳ wc2paladinhealing</t>
        </is>
      </c>
      <c r="C28" s="7" t="inlineStr">
        <is>
          <t>Armament@HEAL</t>
        </is>
      </c>
      <c r="L28" s="6" t="n">
        <v>-4025</v>
      </c>
      <c r="M28" s="6" t="n">
        <v>60</v>
      </c>
      <c r="N28" s="6" t="n">
        <v>1</v>
      </c>
      <c r="O28" s="6" t="n"/>
      <c r="P28" s="6" t="n">
        <v>5120</v>
      </c>
      <c r="Q28" s="6" t="n">
        <v>1</v>
      </c>
      <c r="R28">
        <f>M28+IF(N28&gt;1,N(O28)*(N28-1),0)</f>
        <v/>
      </c>
      <c r="S28">
        <f>IFERROR(L28*MAX(N28,1)/R28*IF(ISBLANK(K26),1,K26),0)</f>
        <v/>
      </c>
      <c r="AB28" s="7" t="inlineStr"/>
    </row>
    <row r="29">
      <c r="B29" s="7" t="inlineStr">
        <is>
          <t xml:space="preserve">  ↳ wc2paladinexorcism</t>
        </is>
      </c>
      <c r="C29" s="7" t="inlineStr">
        <is>
          <t>Armament@EXORCISM</t>
        </is>
      </c>
      <c r="L29" s="6" t="n">
        <v>4025</v>
      </c>
      <c r="M29" s="6" t="n">
        <v>60</v>
      </c>
      <c r="N29" s="6" t="n">
        <v>1</v>
      </c>
      <c r="O29" s="6" t="n"/>
      <c r="P29" s="6" t="n">
        <v>5120</v>
      </c>
      <c r="Q29" s="6" t="n">
        <v>1</v>
      </c>
      <c r="R29">
        <f>M29+IF(N29&gt;1,N(O29)*(N29-1),0)</f>
        <v/>
      </c>
      <c r="S29">
        <f>IFERROR(L29*MAX(N29,1)/R29*IF(ISBLANK(K26),1,K26),0)</f>
        <v/>
      </c>
      <c r="AB29" s="7" t="inlineStr"/>
    </row>
    <row r="30">
      <c r="A30" t="inlineStr">
        <is>
          <t>warcraft2</t>
        </is>
      </c>
      <c r="B30" t="inlineStr">
        <is>
          <t>wc2_humans_highelvenarcher</t>
        </is>
      </c>
      <c r="C30" t="inlineStr">
        <is>
          <t>High Elven Archer</t>
        </is>
      </c>
      <c r="D30" s="6" t="inlineStr">
        <is>
          <t>AntiTankAntiAirInfantry</t>
        </is>
      </c>
      <c r="E30" s="6" t="n">
        <v>35000</v>
      </c>
      <c r="F30" s="6" t="n">
        <v>85</v>
      </c>
      <c r="G30" t="inlineStr">
        <is>
          <t>Flak</t>
        </is>
      </c>
      <c r="H30" s="6" t="n">
        <v>1</v>
      </c>
      <c r="I30" s="6" t="n">
        <v>1</v>
      </c>
      <c r="J30" s="6" t="n">
        <v>1</v>
      </c>
      <c r="K30" s="6" t="n"/>
      <c r="P30">
        <f>MAX(P31)</f>
        <v/>
      </c>
      <c r="S30">
        <f>S31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(((E30/20000)+(F30/70)+(S30/200)+((P30/7000)*J30))*500/4+(((E30/20000)*(F30/70))+(((P30/7000)*J30)*(S30/200)))*500/2+((E30/20000)*(F30/70)*((P30/7000)*J30)*(S30/200))*500)*(H30/1.0)/3</f>
        <v/>
      </c>
      <c r="X30" s="6" t="n">
        <v>1100</v>
      </c>
      <c r="Y30">
        <f>IFERROR(W30-X30,"")</f>
        <v/>
      </c>
      <c r="Z30">
        <f>IFERROR(ABS(Y30)/MAX(X30,1),"")</f>
        <v/>
      </c>
      <c r="AA30">
        <f>IFERROR(ROUND(((3*X30-(((E30/20000)+(F30/70)+(S30/200))*500/4+((E30/20000)*(F30/70))*500/2)*(H30/1.0))/(500/4+((S30/200))*500/2+((E30/20000)*(F30/70)*(S30/200))*500)*(H30/1.0)*7000)/J30,-1),"")</f>
        <v/>
      </c>
    </row>
    <row r="31">
      <c r="B31" s="7" t="inlineStr">
        <is>
          <t xml:space="preserve">  ↳ wc2highArrowFire</t>
        </is>
      </c>
      <c r="C31" s="7" t="inlineStr">
        <is>
          <t>Armament</t>
        </is>
      </c>
      <c r="L31" s="6" t="n">
        <v>33000</v>
      </c>
      <c r="M31" s="6" t="n">
        <v>35</v>
      </c>
      <c r="N31" s="6" t="n">
        <v>1</v>
      </c>
      <c r="O31" s="6" t="n"/>
      <c r="P31" s="6" t="n">
        <v>7487</v>
      </c>
      <c r="Q31" s="6" t="n">
        <v>1</v>
      </c>
      <c r="R31">
        <f>M31+IF(N31&gt;1,N(O31)*(N31-1),0)</f>
        <v/>
      </c>
      <c r="S31">
        <f>IFERROR(L31*MAX(N31,1)/R31*IF(ISBLANK(K30),1,K30),0)</f>
        <v/>
      </c>
      <c r="AB31" s="7" t="inlineStr">
        <is>
          <t>^Warhead_CannonHE_Medium</t>
        </is>
      </c>
    </row>
    <row r="32">
      <c r="B32" s="7" t="inlineStr">
        <is>
          <t xml:space="preserve">  ↳ wc2highArrowFire</t>
        </is>
      </c>
      <c r="C32" s="7" t="inlineStr">
        <is>
          <t>Armament@GARRISONED</t>
        </is>
      </c>
      <c r="L32" s="6" t="n">
        <v>33000</v>
      </c>
      <c r="M32" s="6" t="n">
        <v>35</v>
      </c>
      <c r="N32" s="6" t="n">
        <v>1</v>
      </c>
      <c r="O32" s="6" t="n"/>
      <c r="P32" s="6" t="n">
        <v>7487</v>
      </c>
      <c r="Q32" s="6" t="n">
        <v>1</v>
      </c>
      <c r="R32">
        <f>M32+IF(N32&gt;1,N(O32)*(N32-1),0)</f>
        <v/>
      </c>
      <c r="S32">
        <f>IFERROR(L32*MAX(N32,1)/R32*IF(ISBLANK(K30),1,K30),0)</f>
        <v/>
      </c>
      <c r="AB32" s="7" t="inlineStr">
        <is>
          <t>^Warhead_CannonHE_Medium</t>
        </is>
      </c>
    </row>
    <row r="33">
      <c r="A33" t="inlineStr">
        <is>
          <t>warcraft2</t>
        </is>
      </c>
      <c r="B33" t="inlineStr">
        <is>
          <t>wc2_humans_knight</t>
        </is>
      </c>
      <c r="C33" t="inlineStr">
        <is>
          <t>Knight</t>
        </is>
      </c>
      <c r="D33" s="6" t="inlineStr">
        <is>
          <t>LineBreaker</t>
        </is>
      </c>
      <c r="E33" s="6" t="n">
        <v>167500</v>
      </c>
      <c r="F33" s="6" t="n">
        <v>115</v>
      </c>
      <c r="G33" t="inlineStr">
        <is>
          <t>Medium</t>
        </is>
      </c>
      <c r="H33" s="6" t="n">
        <v>0.75</v>
      </c>
      <c r="I33" s="6" t="n">
        <v>1</v>
      </c>
      <c r="J33" s="6" t="n">
        <v>1</v>
      </c>
      <c r="K33" s="6" t="n"/>
      <c r="P33">
        <f>MAX(P34,P35,P36,P37)</f>
        <v/>
      </c>
      <c r="S33">
        <f>S34+S35+S36+S37</f>
        <v/>
      </c>
      <c r="T33">
        <f>(E33/100000+F33/100+(P33/1000)*J33/5+S33/200)*200*I33*H33</f>
        <v/>
      </c>
      <c r="U33">
        <f>((E33*F33/25000)+((P33/1000)*J33*S33/2.5))*I33*H33</f>
        <v/>
      </c>
      <c r="V33">
        <f>(E33*F33*(P33/1000)*J33*S33*I33*H33)/12500000</f>
        <v/>
      </c>
      <c r="W33">
        <f>(((E33/240000)+(F33/95)+(S33/600)+((P33/5500)*J33))*800/4+(((E33/240000)*(F33/95))+(((P33/5500)*J33)*(S33/600)))*800/2+((E33/240000)*(F33/95)*((P33/5500)*J33)*(S33/600))*800)*(H33/1.0)/3</f>
        <v/>
      </c>
      <c r="X33" s="6" t="n">
        <v>1600</v>
      </c>
      <c r="Y33">
        <f>IFERROR(W33-X33,"")</f>
        <v/>
      </c>
      <c r="Z33">
        <f>IFERROR(ABS(Y33)/MAX(X33,1),"")</f>
        <v/>
      </c>
      <c r="AA33">
        <f>IFERROR(ROUND(((3*X33-(((E33/240000)+(F33/95)+(S33/600))*800/4+((E33/240000)*(F33/95))*800/2)*(H33/1.0))/(800/4+((S33/600))*800/2+((E33/240000)*(F33/95)*(S33/600))*800)*(H33/1.0)*5500)/J33,-1),"")</f>
        <v/>
      </c>
    </row>
    <row r="34">
      <c r="B34" s="7" t="inlineStr">
        <is>
          <t xml:space="preserve">  ↳ wc2knightslice</t>
        </is>
      </c>
      <c r="C34" s="7" t="inlineStr">
        <is>
          <t>Armament</t>
        </is>
      </c>
      <c r="L34" s="6" t="n">
        <v>16000</v>
      </c>
      <c r="M34" s="6" t="n">
        <v>12</v>
      </c>
      <c r="N34" s="6" t="n">
        <v>1</v>
      </c>
      <c r="O34" s="6" t="n"/>
      <c r="P34" s="6" t="n">
        <v>1420</v>
      </c>
      <c r="Q34" s="6" t="n">
        <v>1</v>
      </c>
      <c r="R34">
        <f>M34+IF(N34&gt;1,N(O34)*(N34-1),0)</f>
        <v/>
      </c>
      <c r="S34">
        <f>IFERROR(L34*MAX(N34,1)/R34*IF(ISBLANK(K33),1,K33),0)</f>
        <v/>
      </c>
      <c r="AB34" s="7" t="inlineStr">
        <is>
          <t>^Warhead_Melee_Medium</t>
        </is>
      </c>
    </row>
    <row r="35">
      <c r="B35" s="7" t="inlineStr">
        <is>
          <t xml:space="preserve">  ↳ wc2paladinholyvision</t>
        </is>
      </c>
      <c r="C35" s="7" t="inlineStr">
        <is>
          <t>Armament@HOLYVISION</t>
        </is>
      </c>
      <c r="L35" s="6" t="n">
        <v>0</v>
      </c>
      <c r="M35" s="6" t="n">
        <v>60</v>
      </c>
      <c r="N35" s="6" t="n">
        <v>1</v>
      </c>
      <c r="O35" s="6" t="n"/>
      <c r="P35" s="6" t="n">
        <v>512000</v>
      </c>
      <c r="Q35" s="6" t="n">
        <v>1</v>
      </c>
      <c r="R35">
        <f>M35+IF(N35&gt;1,N(O35)*(N35-1),0)</f>
        <v/>
      </c>
      <c r="S35">
        <f>IFERROR(L35*MAX(N35,1)/R35*IF(ISBLANK(K33),1,K33),0)</f>
        <v/>
      </c>
      <c r="AB35" s="7" t="inlineStr"/>
    </row>
    <row r="36">
      <c r="B36" s="7" t="inlineStr">
        <is>
          <t xml:space="preserve">  ↳ wc2paladinhealing</t>
        </is>
      </c>
      <c r="C36" s="7" t="inlineStr">
        <is>
          <t>Armament@HEAL</t>
        </is>
      </c>
      <c r="L36" s="6" t="n">
        <v>-4025</v>
      </c>
      <c r="M36" s="6" t="n">
        <v>60</v>
      </c>
      <c r="N36" s="6" t="n">
        <v>1</v>
      </c>
      <c r="O36" s="6" t="n"/>
      <c r="P36" s="6" t="n">
        <v>5120</v>
      </c>
      <c r="Q36" s="6" t="n">
        <v>1</v>
      </c>
      <c r="R36">
        <f>M36+IF(N36&gt;1,N(O36)*(N36-1),0)</f>
        <v/>
      </c>
      <c r="S36">
        <f>IFERROR(L36*MAX(N36,1)/R36*IF(ISBLANK(K33),1,K33),0)</f>
        <v/>
      </c>
      <c r="AB36" s="7" t="inlineStr"/>
    </row>
    <row r="37">
      <c r="B37" s="7" t="inlineStr">
        <is>
          <t xml:space="preserve">  ↳ wc2paladinexorcism</t>
        </is>
      </c>
      <c r="C37" s="7" t="inlineStr">
        <is>
          <t>Armament@EXORCISM</t>
        </is>
      </c>
      <c r="L37" s="6" t="n">
        <v>4025</v>
      </c>
      <c r="M37" s="6" t="n">
        <v>60</v>
      </c>
      <c r="N37" s="6" t="n">
        <v>1</v>
      </c>
      <c r="O37" s="6" t="n"/>
      <c r="P37" s="6" t="n">
        <v>5120</v>
      </c>
      <c r="Q37" s="6" t="n">
        <v>1</v>
      </c>
      <c r="R37">
        <f>M37+IF(N37&gt;1,N(O37)*(N37-1),0)</f>
        <v/>
      </c>
      <c r="S37">
        <f>IFERROR(L37*MAX(N37,1)/R37*IF(ISBLANK(K33),1,K33),0)</f>
        <v/>
      </c>
      <c r="AB37" s="7" t="inlineStr"/>
    </row>
    <row r="38">
      <c r="A38" t="inlineStr">
        <is>
          <t>warcraft2</t>
        </is>
      </c>
      <c r="B38" t="inlineStr">
        <is>
          <t>wc2_humans_mage</t>
        </is>
      </c>
      <c r="C38" t="inlineStr">
        <is>
          <t>Mage</t>
        </is>
      </c>
      <c r="D38" s="6" t="inlineStr">
        <is>
          <t>SniperInfantry</t>
        </is>
      </c>
      <c r="E38" s="6" t="n">
        <v>50000</v>
      </c>
      <c r="F38" s="6" t="n">
        <v>65</v>
      </c>
      <c r="G38" t="inlineStr">
        <is>
          <t>Flak</t>
        </is>
      </c>
      <c r="H38" s="6" t="n">
        <v>0.6</v>
      </c>
      <c r="I38" s="6" t="n">
        <v>1</v>
      </c>
      <c r="J38" s="6" t="n">
        <v>1</v>
      </c>
      <c r="K38" s="6" t="n"/>
      <c r="P38">
        <f>MAX(P39,P41,P42,P43,P45)</f>
        <v/>
      </c>
      <c r="S38">
        <f>S39+S41+S42+S43+S45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1000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wc2mageFire</t>
        </is>
      </c>
      <c r="C39" s="7" t="inlineStr">
        <is>
          <t>Armament</t>
        </is>
      </c>
      <c r="L39" s="6" t="n">
        <v>8000</v>
      </c>
      <c r="M39" s="6" t="n">
        <v>40</v>
      </c>
      <c r="N39" s="6" t="n">
        <v>1</v>
      </c>
      <c r="O39" s="6" t="n"/>
      <c r="P39" s="6" t="n">
        <v>8000</v>
      </c>
      <c r="Q39" s="6" t="n">
        <v>1</v>
      </c>
      <c r="R39">
        <f>M39+IF(N39&gt;1,N(O39)*(N39-1),0)</f>
        <v/>
      </c>
      <c r="S39">
        <f>IFERROR(L39*MAX(N39,1)/R39*IF(ISBLANK(K38),1,K38),0)</f>
        <v/>
      </c>
      <c r="AB39" s="7" t="inlineStr">
        <is>
          <t>^Warhead_Tesla_Super</t>
        </is>
      </c>
    </row>
    <row r="40">
      <c r="B40" s="7" t="inlineStr">
        <is>
          <t xml:space="preserve">  ↳ wc2mageFire</t>
        </is>
      </c>
      <c r="C40" s="7" t="inlineStr">
        <is>
          <t>Armament@GARRISONED</t>
        </is>
      </c>
      <c r="L40" s="6" t="n">
        <v>8000</v>
      </c>
      <c r="M40" s="6" t="n">
        <v>40</v>
      </c>
      <c r="N40" s="6" t="n">
        <v>1</v>
      </c>
      <c r="O40" s="6" t="n"/>
      <c r="P40" s="6" t="n">
        <v>8000</v>
      </c>
      <c r="Q40" s="6" t="n">
        <v>1</v>
      </c>
      <c r="R40">
        <f>M40+IF(N40&gt;1,N(O40)*(N40-1),0)</f>
        <v/>
      </c>
      <c r="S40">
        <f>IFERROR(L40*MAX(N40,1)/R40*IF(ISBLANK(K38),1,K38),0)</f>
        <v/>
      </c>
      <c r="AB40" s="7" t="inlineStr">
        <is>
          <t>^Warhead_Tesla_Super</t>
        </is>
      </c>
    </row>
    <row r="41">
      <c r="B41" s="7" t="inlineStr">
        <is>
          <t xml:space="preserve">  ↳ wc2mageFireballVisible</t>
        </is>
      </c>
      <c r="C41" s="7" t="inlineStr">
        <is>
          <t>Armament@FIREBALL_VISIBLE</t>
        </is>
      </c>
      <c r="L41" s="6" t="n">
        <v>18000</v>
      </c>
      <c r="M41" s="6" t="n">
        <v>80</v>
      </c>
      <c r="N41" s="6" t="n">
        <v>1</v>
      </c>
      <c r="O41" s="6" t="n"/>
      <c r="P41" s="6" t="n">
        <v>8000</v>
      </c>
      <c r="Q41" s="6" t="n">
        <v>1</v>
      </c>
      <c r="R41">
        <f>M41+IF(N41&gt;1,N(O41)*(N41-1),0)</f>
        <v/>
      </c>
      <c r="S41">
        <f>IFERROR(L41*MAX(N41,1)/R41*IF(ISBLANK(K38),1,K38),0)</f>
        <v/>
      </c>
      <c r="AB41" s="7" t="inlineStr">
        <is>
          <t>^TankDestroyerCannon, ^MediumCannon, ^HeavyCannon, ^Grenade, ^ShrapnelWeapon, ^HeavyBomb, ^MediumMissile, ^Chaingun, ^FlakWeapon</t>
        </is>
      </c>
    </row>
    <row r="42">
      <c r="B42" s="7" t="inlineStr">
        <is>
          <t xml:space="preserve">  ↳ wc2mageFireballExplosion</t>
        </is>
      </c>
      <c r="C42" s="7" t="inlineStr">
        <is>
          <t>Armament@FIREBALL_EXPLOSIONS</t>
        </is>
      </c>
      <c r="L42" s="6" t="n">
        <v>18000</v>
      </c>
      <c r="M42" s="6" t="n">
        <v>80</v>
      </c>
      <c r="N42" s="6" t="n">
        <v>5</v>
      </c>
      <c r="O42" s="6" t="n">
        <v>0</v>
      </c>
      <c r="P42" s="6" t="n">
        <v>8000</v>
      </c>
      <c r="Q42" s="6" t="n">
        <v>1</v>
      </c>
      <c r="R42">
        <f>M42+IF(N42&gt;1,N(O42)*(N42-1),0)</f>
        <v/>
      </c>
      <c r="S42">
        <f>IFERROR(L42*MAX(N42,1)/R42*IF(ISBLANK(K38),1,K38),0)</f>
        <v/>
      </c>
      <c r="AB42" s="7" t="inlineStr">
        <is>
          <t>wc2mageFireballVisible</t>
        </is>
      </c>
    </row>
    <row r="43">
      <c r="B43" s="7" t="inlineStr">
        <is>
          <t xml:space="preserve">  ↳ wc2mageSlow</t>
        </is>
      </c>
      <c r="C43" s="7" t="inlineStr">
        <is>
          <t>Armament@SLOW</t>
        </is>
      </c>
      <c r="L43" s="6" t="n">
        <v>1</v>
      </c>
      <c r="M43" s="6" t="n">
        <v>60</v>
      </c>
      <c r="N43" s="6" t="n">
        <v>1</v>
      </c>
      <c r="O43" s="6" t="n"/>
      <c r="P43" s="6" t="n">
        <v>8000</v>
      </c>
      <c r="Q43" s="6" t="n">
        <v>1</v>
      </c>
      <c r="R43">
        <f>M43+IF(N43&gt;1,N(O43)*(N43-1),0)</f>
        <v/>
      </c>
      <c r="S43">
        <f>IFERROR(L43*MAX(N43,1)/R43*IF(ISBLANK(K38),1,K38),0)</f>
        <v/>
      </c>
      <c r="AB43" s="7" t="inlineStr"/>
    </row>
    <row r="44">
      <c r="B44" s="7" t="inlineStr">
        <is>
          <t xml:space="preserve">  ↳ wc2magePolymorph</t>
        </is>
      </c>
      <c r="C44" s="7" t="inlineStr">
        <is>
          <t>Armament@POLYMORPH</t>
        </is>
      </c>
      <c r="L44" s="6" t="n"/>
      <c r="M44" s="6" t="n">
        <v>60</v>
      </c>
      <c r="N44" s="6" t="n">
        <v>1</v>
      </c>
      <c r="O44" s="6" t="n"/>
      <c r="P44" s="6" t="n">
        <v>8000</v>
      </c>
      <c r="Q44" s="6" t="n">
        <v>1</v>
      </c>
      <c r="R44">
        <f>M44+IF(N44&gt;1,N(O44)*(N44-1),0)</f>
        <v/>
      </c>
      <c r="S44">
        <f>IFERROR(L44*MAX(N44,1)/R44*IF(ISBLANK(K38),1,K38),0)</f>
        <v/>
      </c>
      <c r="AB44" s="7" t="inlineStr"/>
    </row>
    <row r="45">
      <c r="B45" s="7" t="inlineStr">
        <is>
          <t xml:space="preserve">  ↳ wc2mageBlizzard</t>
        </is>
      </c>
      <c r="C45" s="7" t="inlineStr">
        <is>
          <t>Armament@BLIZZARD</t>
        </is>
      </c>
      <c r="L45" s="6" t="n">
        <v>1</v>
      </c>
      <c r="M45" s="6" t="n">
        <v>50</v>
      </c>
      <c r="N45" s="6" t="n">
        <v>1</v>
      </c>
      <c r="O45" s="6" t="n"/>
      <c r="P45" s="6" t="n">
        <v>8000</v>
      </c>
      <c r="Q45" s="6" t="n">
        <v>1</v>
      </c>
      <c r="R45">
        <f>M45+IF(N45&gt;1,N(O45)*(N45-1),0)</f>
        <v/>
      </c>
      <c r="S45">
        <f>IFERROR(L45*MAX(N45,1)/R45*IF(ISBLANK(K38),1,K38),0)</f>
        <v/>
      </c>
      <c r="AB45" s="7" t="inlineStr"/>
    </row>
    <row r="46">
      <c r="A46" t="inlineStr">
        <is>
          <t>warcraft2</t>
        </is>
      </c>
      <c r="B46" t="inlineStr">
        <is>
          <t>wc2_humans_militiapeasant</t>
        </is>
      </c>
      <c r="C46" t="inlineStr">
        <is>
          <t>Militia Peasant</t>
        </is>
      </c>
      <c r="D46" s="6" t="inlineStr">
        <is>
          <t>MeleeInfantry</t>
        </is>
      </c>
      <c r="E46" s="6" t="n">
        <v>20000</v>
      </c>
      <c r="F46" s="6" t="n">
        <v>90</v>
      </c>
      <c r="G46" t="inlineStr">
        <is>
          <t>Light</t>
        </is>
      </c>
      <c r="H46" s="6" t="n">
        <v>1</v>
      </c>
      <c r="I46" s="6" t="n">
        <v>1</v>
      </c>
      <c r="J46" s="6" t="n">
        <v>1</v>
      </c>
      <c r="K46" s="6" t="n"/>
      <c r="P46">
        <f>MAX(P47)</f>
        <v/>
      </c>
      <c r="S46">
        <f>S47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300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wc2footmanslice</t>
        </is>
      </c>
      <c r="C47" s="7" t="inlineStr">
        <is>
          <t>Armament</t>
        </is>
      </c>
      <c r="L47" s="6" t="n">
        <v>12000</v>
      </c>
      <c r="M47" s="6" t="n">
        <v>15</v>
      </c>
      <c r="N47" s="6" t="n">
        <v>1</v>
      </c>
      <c r="O47" s="6" t="n"/>
      <c r="P47" s="6" t="n">
        <v>1333</v>
      </c>
      <c r="Q47" s="6" t="n">
        <v>1</v>
      </c>
      <c r="R47">
        <f>M47+IF(N47&gt;1,N(O47)*(N47-1),0)</f>
        <v/>
      </c>
      <c r="S47">
        <f>IFERROR(L47*MAX(N47,1)/R47*IF(ISBLANK(K46),1,K46),0)</f>
        <v/>
      </c>
      <c r="AB47" s="7" t="inlineStr">
        <is>
          <t>^Warhead_Melee_Medium</t>
        </is>
      </c>
    </row>
    <row r="48">
      <c r="A48" t="inlineStr">
        <is>
          <t>warcraft2</t>
        </is>
      </c>
      <c r="B48" t="inlineStr">
        <is>
          <t>wc2_humans_mortarteam</t>
        </is>
      </c>
      <c r="C48" t="inlineStr">
        <is>
          <t>Mortar Team</t>
        </is>
      </c>
      <c r="D48" s="6" t="inlineStr">
        <is>
          <t>MortarInfantry</t>
        </is>
      </c>
      <c r="E48" s="6" t="n">
        <v>40000</v>
      </c>
      <c r="F48" s="6" t="n">
        <v>80</v>
      </c>
      <c r="G48" t="inlineStr">
        <is>
          <t>None</t>
        </is>
      </c>
      <c r="H48" s="6" t="n">
        <v>1</v>
      </c>
      <c r="I48" s="6" t="n">
        <v>0.6</v>
      </c>
      <c r="J48" s="6" t="n">
        <v>1</v>
      </c>
      <c r="K48" s="6" t="n"/>
      <c r="P48">
        <f>MAX(P49)</f>
        <v/>
      </c>
      <c r="S48">
        <f>S49</f>
        <v/>
      </c>
      <c r="T48">
        <f>(E48/100000+F48/100+(P48/1000)*J48/5+S48/200)*200*I48*H48</f>
        <v/>
      </c>
      <c r="U48">
        <f>((E48*F48/25000)+((P48/1000)*J48*S48/2.5))*I48*H48</f>
        <v/>
      </c>
      <c r="V48">
        <f>(E48*F48*(P48/1000)*J48*S48*I48*H48)/12500000</f>
        <v/>
      </c>
      <c r="W48">
        <f>(T48+U48+V48)/3</f>
        <v/>
      </c>
      <c r="X48" s="6" t="n">
        <v>800</v>
      </c>
      <c r="Y48">
        <f>IFERROR(W48-X48,"")</f>
        <v/>
      </c>
      <c r="Z48">
        <f>IFERROR(ABS(Y48)/MAX(X48,1),"")</f>
        <v/>
      </c>
      <c r="AA48">
        <f>IFERROR((X48-(((E48/100000+F48/100+S48/200)*200*I48*H48)+((E48*F48/25000)*I48*H48))/3)/(((J48/5)*200*I48*H48)+((J48*S48/2.5)*I48*H48)+((E48*F48*J48*S48*I48*H48)/12500000))/3*1000,"")</f>
        <v/>
      </c>
    </row>
    <row r="49">
      <c r="B49" s="7" t="inlineStr">
        <is>
          <t xml:space="preserve">  ↳ MortarTeamArtilleryShell</t>
        </is>
      </c>
      <c r="C49" s="7" t="inlineStr">
        <is>
          <t>Armament</t>
        </is>
      </c>
      <c r="L49" s="6" t="n">
        <v>80000</v>
      </c>
      <c r="M49" s="6" t="n">
        <v>200</v>
      </c>
      <c r="N49" s="6" t="n">
        <v>1</v>
      </c>
      <c r="O49" s="6" t="n"/>
      <c r="P49" s="6" t="n">
        <v>12000</v>
      </c>
      <c r="Q49" s="6" t="n">
        <v>1</v>
      </c>
      <c r="R49">
        <f>M49+IF(N49&gt;1,N(O49)*(N49-1),0)</f>
        <v/>
      </c>
      <c r="S49">
        <f>IFERROR(L49*MAX(N49,1)/R49*IF(ISBLANK(K48),1,K48),0)</f>
        <v/>
      </c>
      <c r="AB49" s="7" t="inlineStr">
        <is>
          <t>^Warhead_CannonHE_Medium</t>
        </is>
      </c>
    </row>
    <row r="50">
      <c r="B50" s="7" t="inlineStr">
        <is>
          <t xml:space="preserve">  ↳ MortarTeamArtilleryShell</t>
        </is>
      </c>
      <c r="C50" s="7" t="inlineStr">
        <is>
          <t>Armament@GARRISONED</t>
        </is>
      </c>
      <c r="L50" s="6" t="n">
        <v>80000</v>
      </c>
      <c r="M50" s="6" t="n">
        <v>200</v>
      </c>
      <c r="N50" s="6" t="n">
        <v>1</v>
      </c>
      <c r="O50" s="6" t="n"/>
      <c r="P50" s="6" t="n">
        <v>12000</v>
      </c>
      <c r="Q50" s="6" t="n">
        <v>1</v>
      </c>
      <c r="R50">
        <f>M50+IF(N50&gt;1,N(O50)*(N50-1),0)</f>
        <v/>
      </c>
      <c r="S50">
        <f>IFERROR(L50*MAX(N50,1)/R50*IF(ISBLANK(K48),1,K48),0)</f>
        <v/>
      </c>
      <c r="AB50" s="7" t="inlineStr">
        <is>
          <t>^Warhead_CannonHE_Medium</t>
        </is>
      </c>
    </row>
    <row r="51">
      <c r="A51" t="inlineStr">
        <is>
          <t>warcraft2</t>
        </is>
      </c>
      <c r="B51" t="inlineStr">
        <is>
          <t>wc2_humans_warcraft3footman</t>
        </is>
      </c>
      <c r="C51" t="inlineStr">
        <is>
          <t>Warcraft 3 Footman</t>
        </is>
      </c>
      <c r="D51" s="6" t="inlineStr">
        <is>
          <t>MeleeInfantry</t>
        </is>
      </c>
      <c r="E51" s="6" t="n">
        <v>80000</v>
      </c>
      <c r="F51" s="6" t="n">
        <v>85</v>
      </c>
      <c r="G51" t="inlineStr">
        <is>
          <t>Plate</t>
        </is>
      </c>
      <c r="H51" s="6" t="n">
        <v>1</v>
      </c>
      <c r="I51" s="6" t="n">
        <v>1</v>
      </c>
      <c r="J51" s="6" t="n">
        <v>1</v>
      </c>
      <c r="K51" s="6" t="n">
        <v>0.013</v>
      </c>
      <c r="P51">
        <f>MAX(P52)</f>
        <v/>
      </c>
      <c r="S51">
        <f>S52</f>
        <v/>
      </c>
      <c r="T51">
        <f>(E51/100000+F51/100+(P51/1000)*J51/5+S51/200)*200*I51*H51</f>
        <v/>
      </c>
      <c r="U51">
        <f>((E51*F51/25000)+((P51/1000)*J51*S51/2.5))*I51*H51</f>
        <v/>
      </c>
      <c r="V51">
        <f>(E51*F51*(P51/1000)*J51*S51*I51*H51)/12500000</f>
        <v/>
      </c>
      <c r="W51">
        <f>(T51+U51+V51)/3</f>
        <v/>
      </c>
      <c r="X51" s="6" t="n">
        <v>900</v>
      </c>
      <c r="Y51">
        <f>IFERROR(W51-X51,"")</f>
        <v/>
      </c>
      <c r="Z51">
        <f>IFERROR(ABS(Y51)/MAX(X51,1),"")</f>
        <v/>
      </c>
      <c r="AA51">
        <f>IFERROR((X51-(((E51/100000+F51/100+S51/200)*200*I51*H51)+((E51*F51/25000)*I51*H51))/3)/(((J51/5)*200*I51*H51)+((J51*S51/2.5)*I51*H51)+((E51*F51*J51*S51*I51*H51)/12500000))/3*1000,"")</f>
        <v/>
      </c>
    </row>
    <row r="52">
      <c r="B52" s="7" t="inlineStr">
        <is>
          <t xml:space="preserve">  ↳ wc2footmanslice2</t>
        </is>
      </c>
      <c r="C52" s="7" t="inlineStr">
        <is>
          <t>Armament</t>
        </is>
      </c>
      <c r="L52" s="6" t="n">
        <v>18000</v>
      </c>
      <c r="M52" s="6" t="n">
        <v>15</v>
      </c>
      <c r="N52" s="6" t="n">
        <v>1</v>
      </c>
      <c r="O52" s="6" t="n"/>
      <c r="P52" s="6" t="n">
        <v>1533</v>
      </c>
      <c r="Q52" s="6" t="n">
        <v>1</v>
      </c>
      <c r="R52">
        <f>M52+IF(N52&gt;1,N(O52)*(N52-1),0)</f>
        <v/>
      </c>
      <c r="S52">
        <f>IFERROR(L52*MAX(N52,1)/R52*IF(ISBLANK(K51),1,K51),0)</f>
        <v/>
      </c>
      <c r="AB52" s="7" t="inlineStr">
        <is>
          <t>^Warhead_Melee_Medium</t>
        </is>
      </c>
    </row>
    <row r="53">
      <c r="A53" s="4" t="inlineStr">
        <is>
          <t>VEHICLES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>
      <c r="A54" t="inlineStr">
        <is>
          <t>warcraft2</t>
        </is>
      </c>
      <c r="B54" t="inlineStr">
        <is>
          <t>wc2_humans_ballista</t>
        </is>
      </c>
      <c r="C54" t="inlineStr">
        <is>
          <t>Ballista</t>
        </is>
      </c>
      <c r="D54" s="6" t="inlineStr">
        <is>
          <t>Artillery</t>
        </is>
      </c>
      <c r="E54" s="6" t="n">
        <v>45000</v>
      </c>
      <c r="F54" s="6" t="n">
        <v>45</v>
      </c>
      <c r="G54" t="inlineStr">
        <is>
          <t>Light</t>
        </is>
      </c>
      <c r="H54" s="6" t="n">
        <v>0.9762999999999999</v>
      </c>
      <c r="I54" s="6" t="n">
        <v>1</v>
      </c>
      <c r="J54" s="6" t="n">
        <v>1</v>
      </c>
      <c r="K54" s="6" t="n"/>
      <c r="P54">
        <f>MAX(P55)</f>
        <v/>
      </c>
      <c r="S54">
        <f>S55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(((E54/60000)+(F54/75)+(S54/500)+((P54/15000)*J54))*500/4+(((E54/60000)*(F54/75))+(((P54/15000)*J54)*(S54/500)))*500/2+((E54/60000)*(F54/75)*((P54/15000)*J54)*(S54/500))*500)*(H54/1.0)/3</f>
        <v/>
      </c>
      <c r="X54" s="6" t="n">
        <v>900</v>
      </c>
      <c r="Y54">
        <f>IFERROR(W54-X54,"")</f>
        <v/>
      </c>
      <c r="Z54">
        <f>IFERROR(ABS(Y54)/MAX(X54,1),"")</f>
        <v/>
      </c>
      <c r="AA54">
        <f>IFERROR(ROUND(((3*X54-(((E54/60000)+(F54/75)+(S54/500))*500/4+((E54/60000)*(F54/75))*500/2)*(H54/1.0))/(500/4+((S54/500))*500/2+((E54/60000)*(F54/75)*(S54/500))*500)*(H54/1.0)*15000)/J54,-1),"")</f>
        <v/>
      </c>
    </row>
    <row r="55">
      <c r="B55" s="7" t="inlineStr">
        <is>
          <t xml:space="preserve">  ↳ wc2ballistaFire</t>
        </is>
      </c>
      <c r="C55" s="7" t="inlineStr">
        <is>
          <t>Armament</t>
        </is>
      </c>
      <c r="L55" s="6" t="n">
        <v>90000</v>
      </c>
      <c r="M55" s="6" t="n">
        <v>180</v>
      </c>
      <c r="N55" s="6" t="n">
        <v>1</v>
      </c>
      <c r="O55" s="6" t="n"/>
      <c r="P55" s="6" t="n">
        <v>14450</v>
      </c>
      <c r="Q55" s="6" t="n">
        <v>1</v>
      </c>
      <c r="R55">
        <f>M55+IF(N55&gt;1,N(O55)*(N55-1),0)</f>
        <v/>
      </c>
      <c r="S55">
        <f>IFERROR(L55*MAX(N55,1)/R55*IF(ISBLANK(K54),1,K54),0)</f>
        <v/>
      </c>
      <c r="AB55" s="7" t="inlineStr">
        <is>
          <t>^Warhead_Demolition_Light, ^Warhead_Demolition_Heavy, ^Warhead_Concussion_Medium</t>
        </is>
      </c>
    </row>
    <row r="56">
      <c r="A56" t="inlineStr">
        <is>
          <t>warcraft2</t>
        </is>
      </c>
      <c r="B56" t="inlineStr">
        <is>
          <t>wc2_humans_demolitionsquad</t>
        </is>
      </c>
      <c r="C56" t="inlineStr">
        <is>
          <t>Demolition Squad</t>
        </is>
      </c>
      <c r="D56" s="6" t="inlineStr">
        <is>
          <t>LineBreaker</t>
        </is>
      </c>
      <c r="E56" s="6" t="n">
        <v>40000</v>
      </c>
      <c r="F56" s="6" t="n">
        <v>80</v>
      </c>
      <c r="G56" t="inlineStr">
        <is>
          <t>Superheavy</t>
        </is>
      </c>
      <c r="H56" s="6" t="n">
        <v>1</v>
      </c>
      <c r="I56" s="6" t="n">
        <v>1</v>
      </c>
      <c r="J56" s="6" t="n">
        <v>1</v>
      </c>
      <c r="K56" s="6" t="n"/>
      <c r="P56">
        <f>MAX(P58)</f>
        <v/>
      </c>
      <c r="S56">
        <f>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(((E56/750000)+(F56/80)+(S56/1600)+((P56/2500)*J56))*1600/4+(((E56/750000)*(F56/80))+(((P56/2500)*J56)*(S56/1600)))*1600/2+((E56/750000)*(F56/80)*((P56/2500)*J56)*(S56/1600))*1600)*(H56/1.0)/3</f>
        <v/>
      </c>
      <c r="X56" s="6" t="n">
        <v>800</v>
      </c>
      <c r="Y56">
        <f>IFERROR(W56-X56,"")</f>
        <v/>
      </c>
      <c r="Z56">
        <f>IFERROR(ABS(Y56)/MAX(X56,1),"")</f>
        <v/>
      </c>
      <c r="AA56">
        <f>IFERROR(ROUND(((3*X56-(((E56/750000)+(F56/80)+(S56/1600))*1600/4+((E56/750000)*(F56/80))*1600/2)*(H56/1.0))/(1600/4+((S56/1600))*1600/2+((E56/750000)*(F56/80)*(S56/1600))*1600)*(H56/1.0)*2500)/J56,-1),"")</f>
        <v/>
      </c>
    </row>
    <row r="57">
      <c r="B57" s="7" t="inlineStr">
        <is>
          <t xml:space="preserve">  ↳ wc2demolitionsquadTargeting</t>
        </is>
      </c>
      <c r="C57" s="7" t="inlineStr">
        <is>
          <t>Armament</t>
        </is>
      </c>
      <c r="L57" s="6" t="n"/>
      <c r="M57" s="6" t="n"/>
      <c r="N57" s="6" t="n">
        <v>1</v>
      </c>
      <c r="O57" s="6" t="n"/>
      <c r="P57" s="6" t="n">
        <v>1536</v>
      </c>
      <c r="Q57" s="6" t="n">
        <v>1</v>
      </c>
      <c r="R57">
        <f>M57+IF(N57&gt;1,N(O57)*(N57-1),0)</f>
        <v/>
      </c>
      <c r="S57">
        <f>IFERROR(L57*MAX(N57,1)/R57*IF(ISBLANK(K56),1,K56),0)</f>
        <v/>
      </c>
      <c r="AB57" s="7" t="inlineStr"/>
    </row>
    <row r="58">
      <c r="B58" s="7" t="inlineStr">
        <is>
          <t xml:space="preserve">  ↳ wc2demolitionsquadMelee</t>
        </is>
      </c>
      <c r="C58" s="7" t="inlineStr">
        <is>
          <t>Armament@Melee</t>
        </is>
      </c>
      <c r="L58" s="6" t="n">
        <v>12000</v>
      </c>
      <c r="M58" s="6" t="n">
        <v>15</v>
      </c>
      <c r="N58" s="6" t="n">
        <v>1</v>
      </c>
      <c r="O58" s="6" t="n"/>
      <c r="P58" s="6" t="n">
        <v>1333</v>
      </c>
      <c r="Q58" s="6" t="n">
        <v>1</v>
      </c>
      <c r="R58">
        <f>M58+IF(N58&gt;1,N(O58)*(N58-1),0)</f>
        <v/>
      </c>
      <c r="S58">
        <f>IFERROR(L58*MAX(N58,1)/R58*IF(ISBLANK(K56),1,K56),0)</f>
        <v/>
      </c>
      <c r="AB58" s="7" t="inlineStr">
        <is>
          <t>^Warhead_Melee_Medium</t>
        </is>
      </c>
    </row>
    <row r="59">
      <c r="A59" t="inlineStr">
        <is>
          <t>warcraft2</t>
        </is>
      </c>
      <c r="B59" t="inlineStr">
        <is>
          <t>wc2_humans_mobileconstructionvehiclehuman</t>
        </is>
      </c>
      <c r="C59" t="inlineStr">
        <is>
          <t>Mobile Construction Vehicle (Human)</t>
        </is>
      </c>
      <c r="D59" s="6" t="inlineStr">
        <is>
          <t>SupportVehicle</t>
        </is>
      </c>
      <c r="E59" s="6" t="n">
        <v>300000</v>
      </c>
      <c r="F59" s="6" t="n">
        <v>75</v>
      </c>
      <c r="G59" t="inlineStr">
        <is>
          <t>Plate</t>
        </is>
      </c>
      <c r="H59" s="6" t="n">
        <v>0.9762999999999999</v>
      </c>
      <c r="I59" s="6" t="n">
        <v>1</v>
      </c>
      <c r="J59" s="6" t="n">
        <v>1</v>
      </c>
      <c r="K59" s="6" t="n"/>
      <c r="X59" s="6" t="n">
        <v>5000</v>
      </c>
    </row>
    <row r="60">
      <c r="A60" t="inlineStr">
        <is>
          <t>warcraft2</t>
        </is>
      </c>
      <c r="B60" t="inlineStr">
        <is>
          <t>wc2_humans_paladin</t>
        </is>
      </c>
      <c r="C60" t="inlineStr">
        <is>
          <t>Paladin</t>
        </is>
      </c>
      <c r="D60" s="6" t="inlineStr">
        <is>
          <t>LineBreaker</t>
        </is>
      </c>
      <c r="E60" s="6" t="n">
        <v>167500</v>
      </c>
      <c r="F60" s="6" t="n">
        <v>115</v>
      </c>
      <c r="G60" t="inlineStr">
        <is>
          <t>Medium</t>
        </is>
      </c>
      <c r="H60" s="6" t="n">
        <v>0.9429</v>
      </c>
      <c r="I60" s="6" t="n">
        <v>1</v>
      </c>
      <c r="J60" s="6" t="n">
        <v>1</v>
      </c>
      <c r="K60" s="6" t="n"/>
      <c r="P60">
        <f>MAX(P61,P62,P63,P64)</f>
        <v/>
      </c>
      <c r="S60">
        <f>S61+S62+S63+S64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(((E60/750000)+(F60/80)+(S60/1600)+((P60/2500)*J60))*1600/4+(((E60/750000)*(F60/80))+(((P60/2500)*J60)*(S60/1600)))*1600/2+((E60/750000)*(F60/80)*((P60/2500)*J60)*(S60/1600))*1600)*(H60/1.0)/3</f>
        <v/>
      </c>
      <c r="X60" s="6" t="n">
        <v>1600</v>
      </c>
      <c r="Y60">
        <f>IFERROR(W60-X60,"")</f>
        <v/>
      </c>
      <c r="Z60">
        <f>IFERROR(ABS(Y60)/MAX(X60,1),"")</f>
        <v/>
      </c>
      <c r="AA60">
        <f>IFERROR(ROUND(((3*X60-(((E60/750000)+(F60/80)+(S60/1600))*1600/4+((E60/750000)*(F60/80))*1600/2)*(H60/1.0))/(1600/4+((S60/1600))*1600/2+((E60/750000)*(F60/80)*(S60/1600))*1600)*(H60/1.0)*2500)/J60,-1),"")</f>
        <v/>
      </c>
    </row>
    <row r="61">
      <c r="B61" s="7" t="inlineStr">
        <is>
          <t xml:space="preserve">  ↳ wc2knightslice</t>
        </is>
      </c>
      <c r="C61" s="7" t="inlineStr">
        <is>
          <t>Armament</t>
        </is>
      </c>
      <c r="L61" s="6" t="n">
        <v>16000</v>
      </c>
      <c r="M61" s="6" t="n">
        <v>12</v>
      </c>
      <c r="N61" s="6" t="n">
        <v>1</v>
      </c>
      <c r="O61" s="6" t="n"/>
      <c r="P61" s="6" t="n">
        <v>1420</v>
      </c>
      <c r="Q61" s="6" t="n">
        <v>1</v>
      </c>
      <c r="R61">
        <f>M61+IF(N61&gt;1,N(O61)*(N61-1),0)</f>
        <v/>
      </c>
      <c r="S61">
        <f>IFERROR(L61*MAX(N61,1)/R61*IF(ISBLANK(K60),1,K60),0)</f>
        <v/>
      </c>
      <c r="AB61" s="7" t="inlineStr">
        <is>
          <t>^Warhead_Melee_Medium</t>
        </is>
      </c>
    </row>
    <row r="62">
      <c r="B62" s="7" t="inlineStr">
        <is>
          <t xml:space="preserve">  ↳ wc2paladinholyvision</t>
        </is>
      </c>
      <c r="C62" s="7" t="inlineStr">
        <is>
          <t>Armament@HOLYVISION</t>
        </is>
      </c>
      <c r="L62" s="6" t="n">
        <v>0</v>
      </c>
      <c r="M62" s="6" t="n">
        <v>60</v>
      </c>
      <c r="N62" s="6" t="n">
        <v>1</v>
      </c>
      <c r="O62" s="6" t="n"/>
      <c r="P62" s="6" t="n">
        <v>512000</v>
      </c>
      <c r="Q62" s="6" t="n">
        <v>1</v>
      </c>
      <c r="R62">
        <f>M62+IF(N62&gt;1,N(O62)*(N62-1),0)</f>
        <v/>
      </c>
      <c r="S62">
        <f>IFERROR(L62*MAX(N62,1)/R62*IF(ISBLANK(K60),1,K60),0)</f>
        <v/>
      </c>
      <c r="AB62" s="7" t="inlineStr"/>
    </row>
    <row r="63">
      <c r="B63" s="7" t="inlineStr">
        <is>
          <t xml:space="preserve">  ↳ wc2paladinhealing</t>
        </is>
      </c>
      <c r="C63" s="7" t="inlineStr">
        <is>
          <t>Armament@HEAL</t>
        </is>
      </c>
      <c r="L63" s="6" t="n">
        <v>-4025</v>
      </c>
      <c r="M63" s="6" t="n">
        <v>60</v>
      </c>
      <c r="N63" s="6" t="n">
        <v>1</v>
      </c>
      <c r="O63" s="6" t="n"/>
      <c r="P63" s="6" t="n">
        <v>5120</v>
      </c>
      <c r="Q63" s="6" t="n">
        <v>1</v>
      </c>
      <c r="R63">
        <f>M63+IF(N63&gt;1,N(O63)*(N63-1),0)</f>
        <v/>
      </c>
      <c r="S63">
        <f>IFERROR(L63*MAX(N63,1)/R63*IF(ISBLANK(K60),1,K60),0)</f>
        <v/>
      </c>
      <c r="AB63" s="7" t="inlineStr"/>
    </row>
    <row r="64">
      <c r="B64" s="7" t="inlineStr">
        <is>
          <t xml:space="preserve">  ↳ wc2paladinexorcism</t>
        </is>
      </c>
      <c r="C64" s="7" t="inlineStr">
        <is>
          <t>Armament@EXORCISM</t>
        </is>
      </c>
      <c r="L64" s="6" t="n">
        <v>4025</v>
      </c>
      <c r="M64" s="6" t="n">
        <v>60</v>
      </c>
      <c r="N64" s="6" t="n">
        <v>1</v>
      </c>
      <c r="O64" s="6" t="n"/>
      <c r="P64" s="6" t="n">
        <v>5120</v>
      </c>
      <c r="Q64" s="6" t="n">
        <v>1</v>
      </c>
      <c r="R64">
        <f>M64+IF(N64&gt;1,N(O64)*(N64-1),0)</f>
        <v/>
      </c>
      <c r="S64">
        <f>IFERROR(L64*MAX(N64,1)/R64*IF(ISBLANK(K60),1,K60),0)</f>
        <v/>
      </c>
      <c r="AB64" s="7" t="inlineStr"/>
    </row>
    <row r="65">
      <c r="A65" t="inlineStr">
        <is>
          <t>warcraft2</t>
        </is>
      </c>
      <c r="B65" t="inlineStr">
        <is>
          <t>wc2_humans_peasant</t>
        </is>
      </c>
      <c r="C65" t="inlineStr">
        <is>
          <t>Peasant</t>
        </is>
      </c>
      <c r="D65" s="6" t="inlineStr">
        <is>
          <t>Harvester</t>
        </is>
      </c>
      <c r="E65" s="6" t="n">
        <v>40000</v>
      </c>
      <c r="F65" s="6" t="n">
        <v>80</v>
      </c>
      <c r="G65" t="inlineStr">
        <is>
          <t>Light</t>
        </is>
      </c>
      <c r="H65" s="6" t="n">
        <v>1</v>
      </c>
      <c r="I65" s="6" t="n">
        <v>1</v>
      </c>
      <c r="J65" s="6" t="n">
        <v>1</v>
      </c>
      <c r="K65" s="6" t="n"/>
      <c r="P65">
        <f>MAX(P66)</f>
        <v/>
      </c>
      <c r="S65">
        <f>S66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500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wc2peasantsmack</t>
        </is>
      </c>
      <c r="C66" s="7" t="inlineStr">
        <is>
          <t>Armament</t>
        </is>
      </c>
      <c r="L66" s="6" t="n">
        <v>12000</v>
      </c>
      <c r="M66" s="6" t="n">
        <v>15</v>
      </c>
      <c r="N66" s="6" t="n">
        <v>1</v>
      </c>
      <c r="O66" s="6" t="n"/>
      <c r="P66" s="6" t="n">
        <v>1333</v>
      </c>
      <c r="Q66" s="6" t="n">
        <v>1</v>
      </c>
      <c r="R66">
        <f>M66+IF(N66&gt;1,N(O66)*(N66-1),0)</f>
        <v/>
      </c>
      <c r="S66">
        <f>IFERROR(L66*MAX(N66,1)/R66*IF(ISBLANK(K65),1,K65),0)</f>
        <v/>
      </c>
      <c r="AB66" s="7" t="inlineStr">
        <is>
          <t>^Warhead_Melee_Medium</t>
        </is>
      </c>
    </row>
    <row r="67">
      <c r="A67" t="inlineStr">
        <is>
          <t>warcraft2</t>
        </is>
      </c>
      <c r="B67" t="inlineStr">
        <is>
          <t>wc2_humans_siegeengine</t>
        </is>
      </c>
      <c r="C67" t="inlineStr">
        <is>
          <t>Siege Engine</t>
        </is>
      </c>
      <c r="D67" s="6" t="inlineStr">
        <is>
          <t>Artillery</t>
        </is>
      </c>
      <c r="E67" s="6" t="n">
        <v>70000</v>
      </c>
      <c r="F67" s="6" t="n">
        <v>70</v>
      </c>
      <c r="G67" t="inlineStr">
        <is>
          <t>Light</t>
        </is>
      </c>
      <c r="H67" s="6" t="n">
        <v>0.9762999999999999</v>
      </c>
      <c r="I67" s="6" t="n">
        <v>1</v>
      </c>
      <c r="J67" s="6" t="n">
        <v>1</v>
      </c>
      <c r="K67" s="6" t="n"/>
      <c r="P67">
        <f>MAX(P68)</f>
        <v/>
      </c>
      <c r="S67">
        <f>S68</f>
        <v/>
      </c>
      <c r="T67">
        <f>(E67/100000+F67/100+(P67/1000)*J67/5+S67/200)*200*I67*H67</f>
        <v/>
      </c>
      <c r="U67">
        <f>((E67*F67/25000)+((P67/1000)*J67*S67/2.5))*I67*H67</f>
        <v/>
      </c>
      <c r="V67">
        <f>(E67*F67*(P67/1000)*J67*S67*I67*H67)/12500000</f>
        <v/>
      </c>
      <c r="W67">
        <f>(((E67/60000)+(F67/75)+(S67/500)+((P67/15000)*J67))*500/4+(((E67/60000)*(F67/75))+(((P67/15000)*J67)*(S67/500)))*500/2+((E67/60000)*(F67/75)*((P67/15000)*J67)*(S67/500))*500)*(H67/1.0)/3</f>
        <v/>
      </c>
      <c r="X67" s="6" t="n">
        <v>1800</v>
      </c>
      <c r="Y67">
        <f>IFERROR(W67-X67,"")</f>
        <v/>
      </c>
      <c r="Z67">
        <f>IFERROR(ABS(Y67)/MAX(X67,1),"")</f>
        <v/>
      </c>
      <c r="AA67">
        <f>IFERROR(ROUND(((3*X67-(((E67/60000)+(F67/75)+(S67/500))*500/4+((E67/60000)*(F67/75))*500/2)*(H67/1.0))/(500/4+((S67/500))*500/2+((E67/60000)*(F67/75)*(S67/500))*500)*(H67/1.0)*15000)/J67,-1),"")</f>
        <v/>
      </c>
    </row>
    <row r="68">
      <c r="B68" s="7" t="inlineStr">
        <is>
          <t xml:space="preserve">  ↳ SiegeEngineCannon</t>
        </is>
      </c>
      <c r="C68" s="7" t="inlineStr">
        <is>
          <t>Armament</t>
        </is>
      </c>
      <c r="L68" s="6" t="n">
        <v>140000</v>
      </c>
      <c r="M68" s="6" t="n">
        <v>100</v>
      </c>
      <c r="N68" s="6" t="n">
        <v>1</v>
      </c>
      <c r="O68" s="6" t="n"/>
      <c r="P68" s="6" t="n">
        <v>11200</v>
      </c>
      <c r="Q68" s="6" t="n">
        <v>1</v>
      </c>
      <c r="R68">
        <f>M68+IF(N68&gt;1,N(O68)*(N68-1),0)</f>
        <v/>
      </c>
      <c r="S68">
        <f>IFERROR(L68*MAX(N68,1)/R68*IF(ISBLANK(K67),1,K67),0)</f>
        <v/>
      </c>
      <c r="AB68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9">
      <c r="A69" t="inlineStr">
        <is>
          <t>warcraft2</t>
        </is>
      </c>
      <c r="B69" t="inlineStr">
        <is>
          <t>wc2_humans_warcraft3knight</t>
        </is>
      </c>
      <c r="C69" t="inlineStr">
        <is>
          <t>Warcraft 3 Knight</t>
        </is>
      </c>
      <c r="D69" s="6" t="inlineStr">
        <is>
          <t>LineBreaker</t>
        </is>
      </c>
      <c r="E69" s="6" t="n">
        <v>180000</v>
      </c>
      <c r="F69" s="6" t="n">
        <v>120</v>
      </c>
      <c r="G69" t="inlineStr">
        <is>
          <t>Superheavy</t>
        </is>
      </c>
      <c r="H69" s="6" t="n">
        <v>1</v>
      </c>
      <c r="I69" s="6" t="n">
        <v>1</v>
      </c>
      <c r="J69" s="6" t="n">
        <v>1</v>
      </c>
      <c r="K69" s="6" t="n"/>
      <c r="P69">
        <f>MAX(P70,P71,P72,P73)</f>
        <v/>
      </c>
      <c r="S69">
        <f>S70+S71+S72+S73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(((E69/750000)+(F69/80)+(S69/1600)+((P69/2500)*J69))*1600/4+(((E69/750000)*(F69/80))+(((P69/2500)*J69)*(S69/1600)))*1600/2+((E69/750000)*(F69/80)*((P69/2500)*J69)*(S69/1600))*1600)*(H69/1.0)/3</f>
        <v/>
      </c>
      <c r="X69" s="6" t="n">
        <v>2200</v>
      </c>
      <c r="Y69">
        <f>IFERROR(W69-X69,"")</f>
        <v/>
      </c>
      <c r="Z69">
        <f>IFERROR(ABS(Y69)/MAX(X69,1),"")</f>
        <v/>
      </c>
      <c r="AA69">
        <f>IFERROR(ROUND(((3*X69-(((E69/750000)+(F69/80)+(S69/1600))*1600/4+((E69/750000)*(F69/80))*1600/2)*(H69/1.0))/(1600/4+((S69/1600))*1600/2+((E69/750000)*(F69/80)*(S69/1600))*1600)*(H69/1.0)*2500)/J69,-1),"")</f>
        <v/>
      </c>
    </row>
    <row r="70">
      <c r="B70" s="7" t="inlineStr">
        <is>
          <t xml:space="preserve">  ↳ wc2knightslice</t>
        </is>
      </c>
      <c r="C70" s="7" t="inlineStr">
        <is>
          <t>Armament</t>
        </is>
      </c>
      <c r="L70" s="6" t="n">
        <v>16000</v>
      </c>
      <c r="M70" s="6" t="n">
        <v>12</v>
      </c>
      <c r="N70" s="6" t="n">
        <v>1</v>
      </c>
      <c r="O70" s="6" t="n"/>
      <c r="P70" s="6" t="n">
        <v>1420</v>
      </c>
      <c r="Q70" s="6" t="n">
        <v>1</v>
      </c>
      <c r="R70">
        <f>M70+IF(N70&gt;1,N(O70)*(N70-1),0)</f>
        <v/>
      </c>
      <c r="S70">
        <f>IFERROR(L70*MAX(N70,1)/R70*IF(ISBLANK(K69),1,K69),0)</f>
        <v/>
      </c>
      <c r="AB70" s="7" t="inlineStr">
        <is>
          <t>^Warhead_Melee_Medium</t>
        </is>
      </c>
    </row>
    <row r="71">
      <c r="B71" s="7" t="inlineStr">
        <is>
          <t xml:space="preserve">  ↳ wc2paladinholyvision</t>
        </is>
      </c>
      <c r="C71" s="7" t="inlineStr">
        <is>
          <t>Armament@HOLYVISION</t>
        </is>
      </c>
      <c r="L71" s="6" t="n">
        <v>0</v>
      </c>
      <c r="M71" s="6" t="n">
        <v>60</v>
      </c>
      <c r="N71" s="6" t="n">
        <v>1</v>
      </c>
      <c r="O71" s="6" t="n"/>
      <c r="P71" s="6" t="n">
        <v>512000</v>
      </c>
      <c r="Q71" s="6" t="n">
        <v>1</v>
      </c>
      <c r="R71">
        <f>M71+IF(N71&gt;1,N(O71)*(N71-1),0)</f>
        <v/>
      </c>
      <c r="S71">
        <f>IFERROR(L71*MAX(N71,1)/R71*IF(ISBLANK(K69),1,K69),0)</f>
        <v/>
      </c>
      <c r="AB71" s="7" t="inlineStr"/>
    </row>
    <row r="72">
      <c r="B72" s="7" t="inlineStr">
        <is>
          <t xml:space="preserve">  ↳ wc2paladinhealing</t>
        </is>
      </c>
      <c r="C72" s="7" t="inlineStr">
        <is>
          <t>Armament@HEAL</t>
        </is>
      </c>
      <c r="L72" s="6" t="n">
        <v>-4025</v>
      </c>
      <c r="M72" s="6" t="n">
        <v>60</v>
      </c>
      <c r="N72" s="6" t="n">
        <v>1</v>
      </c>
      <c r="O72" s="6" t="n"/>
      <c r="P72" s="6" t="n">
        <v>5120</v>
      </c>
      <c r="Q72" s="6" t="n">
        <v>1</v>
      </c>
      <c r="R72">
        <f>M72+IF(N72&gt;1,N(O72)*(N72-1),0)</f>
        <v/>
      </c>
      <c r="S72">
        <f>IFERROR(L72*MAX(N72,1)/R72*IF(ISBLANK(K69),1,K69),0)</f>
        <v/>
      </c>
      <c r="AB72" s="7" t="inlineStr"/>
    </row>
    <row r="73">
      <c r="B73" s="7" t="inlineStr">
        <is>
          <t xml:space="preserve">  ↳ wc2paladinexorcism</t>
        </is>
      </c>
      <c r="C73" s="7" t="inlineStr">
        <is>
          <t>Armament@EXORCISM</t>
        </is>
      </c>
      <c r="L73" s="6" t="n">
        <v>4025</v>
      </c>
      <c r="M73" s="6" t="n">
        <v>60</v>
      </c>
      <c r="N73" s="6" t="n">
        <v>1</v>
      </c>
      <c r="O73" s="6" t="n"/>
      <c r="P73" s="6" t="n">
        <v>5120</v>
      </c>
      <c r="Q73" s="6" t="n">
        <v>1</v>
      </c>
      <c r="R73">
        <f>M73+IF(N73&gt;1,N(O73)*(N73-1),0)</f>
        <v/>
      </c>
      <c r="S73">
        <f>IFERROR(L73*MAX(N73,1)/R73*IF(ISBLANK(K69),1,K69),0)</f>
        <v/>
      </c>
      <c r="AB73" s="7" t="inlineStr"/>
    </row>
    <row r="74">
      <c r="A74" s="4" t="inlineStr">
        <is>
          <t>AIRCRAFT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t="inlineStr">
        <is>
          <t>warcraft2</t>
        </is>
      </c>
      <c r="B75" t="inlineStr">
        <is>
          <t>wc2_humans_flyingmachine</t>
        </is>
      </c>
      <c r="C75" t="inlineStr">
        <is>
          <t>Flying Machine</t>
        </is>
      </c>
      <c r="D75" s="6" t="inlineStr">
        <is>
          <t>Helicopter</t>
        </is>
      </c>
      <c r="E75" s="6" t="n">
        <v>25000</v>
      </c>
      <c r="F75" s="6" t="n">
        <v>165</v>
      </c>
      <c r="G75" t="inlineStr">
        <is>
          <t>Helicopter</t>
        </is>
      </c>
      <c r="H75" s="6" t="n">
        <v>1</v>
      </c>
      <c r="I75" s="6" t="n">
        <v>1</v>
      </c>
      <c r="J75" s="6" t="n">
        <v>1</v>
      </c>
      <c r="K75" s="6" t="n"/>
      <c r="X75" s="6" t="n">
        <v>350</v>
      </c>
    </row>
    <row r="76">
      <c r="A76" t="inlineStr">
        <is>
          <t>warcraft2</t>
        </is>
      </c>
      <c r="B76" t="inlineStr">
        <is>
          <t>wc2_humans_gryphonrider</t>
        </is>
      </c>
      <c r="C76" t="inlineStr">
        <is>
          <t>Gryphon Rider</t>
        </is>
      </c>
      <c r="D76" s="6" t="inlineStr">
        <is>
          <t>Spaceship</t>
        </is>
      </c>
      <c r="E76" s="6" t="n">
        <v>125000</v>
      </c>
      <c r="F76" s="6" t="n">
        <v>145</v>
      </c>
      <c r="G76" t="inlineStr">
        <is>
          <t>Spaceship</t>
        </is>
      </c>
      <c r="H76" s="6" t="n">
        <v>0.75</v>
      </c>
      <c r="I76" s="6" t="n">
        <v>1</v>
      </c>
      <c r="J76" s="6" t="n">
        <v>1.25</v>
      </c>
      <c r="K76" s="6" t="n"/>
      <c r="P76">
        <f>MAX(P77)</f>
        <v/>
      </c>
      <c r="S76">
        <f>S77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1500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wc2gryphonFireVisible</t>
        </is>
      </c>
      <c r="C77" s="7" t="inlineStr">
        <is>
          <t>Armament@VISIBLE</t>
        </is>
      </c>
      <c r="L77" s="6" t="n">
        <v>40000</v>
      </c>
      <c r="M77" s="6" t="n">
        <v>100</v>
      </c>
      <c r="N77" s="6" t="n">
        <v>1</v>
      </c>
      <c r="O77" s="6" t="n"/>
      <c r="P77" s="6" t="n">
        <v>4444</v>
      </c>
      <c r="Q77" s="6" t="n">
        <v>1</v>
      </c>
      <c r="R77">
        <f>M77+IF(N77&gt;1,N(O77)*(N77-1),0)</f>
        <v/>
      </c>
      <c r="S77">
        <f>IFERROR(L77*MAX(N77,1)/R77*IF(ISBLANK(K76),1,K76),0)</f>
        <v/>
      </c>
      <c r="AB77" s="7" t="inlineStr">
        <is>
          <t>^LightMissile, ^MediumFlameWeapon, ^HeavyBomb, ^TeslaChargedWeapon</t>
        </is>
      </c>
    </row>
    <row r="78">
      <c r="A78" t="inlineStr">
        <is>
          <t>warcraft2</t>
        </is>
      </c>
      <c r="B78" t="inlineStr">
        <is>
          <t>wc2_humans_gyrocoptermachine</t>
        </is>
      </c>
      <c r="C78" t="inlineStr">
        <is>
          <t>Gyrocopter Machine</t>
        </is>
      </c>
      <c r="D78" s="6" t="inlineStr">
        <is>
          <t>Helicopter</t>
        </is>
      </c>
      <c r="E78" s="6" t="n">
        <v>25000</v>
      </c>
      <c r="F78" s="6" t="n">
        <v>165</v>
      </c>
      <c r="G78" t="inlineStr">
        <is>
          <t>Helicopter</t>
        </is>
      </c>
      <c r="H78" s="6" t="n">
        <v>1</v>
      </c>
      <c r="I78" s="6" t="n">
        <v>1</v>
      </c>
      <c r="J78" s="6" t="n">
        <v>1</v>
      </c>
      <c r="K78" s="6" t="n"/>
      <c r="X78" s="6" t="n">
        <v>350</v>
      </c>
    </row>
    <row r="79">
      <c r="A79" s="4" t="inlineStr">
        <is>
          <t>DEFENSES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t="inlineStr">
        <is>
          <t>warcraft2</t>
        </is>
      </c>
      <c r="B80" t="inlineStr">
        <is>
          <t>wc2_humans_cannontower</t>
        </is>
      </c>
      <c r="C80" t="inlineStr">
        <is>
          <t>Cannon Tower</t>
        </is>
      </c>
      <c r="D80" s="6" t="inlineStr">
        <is>
          <t>BasicDefense</t>
        </is>
      </c>
      <c r="E80" s="6" t="n">
        <v>100000</v>
      </c>
      <c r="F80" s="6" t="n">
        <v>100</v>
      </c>
      <c r="G80" t="inlineStr">
        <is>
          <t>Wood</t>
        </is>
      </c>
      <c r="H80" s="6" t="n">
        <v>0.9762999999999999</v>
      </c>
      <c r="I80" s="6" t="n">
        <v>1</v>
      </c>
      <c r="J80" s="6" t="n">
        <v>1</v>
      </c>
      <c r="K80" s="6" t="n"/>
      <c r="P80">
        <f>MAX(P81,P82)</f>
        <v/>
      </c>
      <c r="S80">
        <f>S81+S82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1500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wc2_tower_arrow</t>
        </is>
      </c>
      <c r="C81" s="7" t="inlineStr">
        <is>
          <t>Armament@guard</t>
        </is>
      </c>
      <c r="L81" s="6" t="n">
        <v>18000</v>
      </c>
      <c r="M81" s="6" t="n">
        <v>34</v>
      </c>
      <c r="N81" s="6" t="n">
        <v>1</v>
      </c>
      <c r="O81" s="6" t="n"/>
      <c r="P81" s="6" t="n">
        <v>8750</v>
      </c>
      <c r="Q81" s="6" t="n">
        <v>1</v>
      </c>
      <c r="R81">
        <f>M81+IF(N81&gt;1,N(O81)*(N81-1),0)</f>
        <v/>
      </c>
      <c r="S81">
        <f>IFERROR(L81*MAX(N81,1)/R81*IF(ISBLANK(K80),1,K80),0)</f>
        <v/>
      </c>
      <c r="AB81" s="7" t="inlineStr">
        <is>
          <t>^RailgunWeapon, ^Chaingun, ^ArrowWeapon</t>
        </is>
      </c>
    </row>
    <row r="82">
      <c r="B82" s="7" t="inlineStr">
        <is>
          <t xml:space="preserve">  ↳ wc2cannontowerFire</t>
        </is>
      </c>
      <c r="C82" s="7" t="inlineStr">
        <is>
          <t>Armament@cannon</t>
        </is>
      </c>
      <c r="L82" s="6" t="n">
        <v>60000</v>
      </c>
      <c r="M82" s="6" t="n">
        <v>90</v>
      </c>
      <c r="N82" s="6" t="n">
        <v>1</v>
      </c>
      <c r="O82" s="6" t="n"/>
      <c r="P82" s="6" t="n">
        <v>10500</v>
      </c>
      <c r="Q82" s="6" t="n">
        <v>1</v>
      </c>
      <c r="R82">
        <f>M82+IF(N82&gt;1,N(O82)*(N82-1),0)</f>
        <v/>
      </c>
      <c r="S82">
        <f>IFERROR(L82*MAX(N82,1)/R82*IF(ISBLANK(K80),1,K80),0)</f>
        <v/>
      </c>
      <c r="AB82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3">
      <c r="A83" t="inlineStr">
        <is>
          <t>warcraft2</t>
        </is>
      </c>
      <c r="B83" t="inlineStr">
        <is>
          <t>wc2_humans_guardtower</t>
        </is>
      </c>
      <c r="C83" t="inlineStr">
        <is>
          <t>Guard Tower</t>
        </is>
      </c>
      <c r="D83" s="6" t="inlineStr">
        <is>
          <t>BasicDefense</t>
        </is>
      </c>
      <c r="E83" s="6" t="n">
        <v>100000</v>
      </c>
      <c r="F83" s="6" t="n">
        <v>100</v>
      </c>
      <c r="G83" t="inlineStr">
        <is>
          <t>Wood</t>
        </is>
      </c>
      <c r="H83" s="6" t="n">
        <v>1</v>
      </c>
      <c r="I83" s="6" t="n">
        <v>1</v>
      </c>
      <c r="J83" s="6" t="n">
        <v>1</v>
      </c>
      <c r="K83" s="6" t="n"/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1500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wc2_tower_arrow</t>
        </is>
      </c>
      <c r="C84" s="7" t="inlineStr">
        <is>
          <t>Armament@guard</t>
        </is>
      </c>
      <c r="L84" s="6" t="n">
        <v>18000</v>
      </c>
      <c r="M84" s="6" t="n">
        <v>34</v>
      </c>
      <c r="N84" s="6" t="n">
        <v>1</v>
      </c>
      <c r="O84" s="6" t="n"/>
      <c r="P84" s="6" t="n">
        <v>8750</v>
      </c>
      <c r="Q84" s="6" t="n">
        <v>1</v>
      </c>
      <c r="R84">
        <f>M84+IF(N84&gt;1,N(O84)*(N84-1),0)</f>
        <v/>
      </c>
      <c r="S84">
        <f>IFERROR(L84*MAX(N84,1)/R84*IF(ISBLANK(K83),1,K83),0)</f>
        <v/>
      </c>
      <c r="AB84" s="7" t="inlineStr">
        <is>
          <t>^RailgunWeapon, ^Chaingun, ^ArrowWeapon</t>
        </is>
      </c>
    </row>
    <row r="85">
      <c r="B85" s="7" t="inlineStr">
        <is>
          <t xml:space="preserve">  ↳ wc2cannontowerFire</t>
        </is>
      </c>
      <c r="C85" s="7" t="inlineStr">
        <is>
          <t>Armament@cannon</t>
        </is>
      </c>
      <c r="L85" s="6" t="n">
        <v>60000</v>
      </c>
      <c r="M85" s="6" t="n">
        <v>90</v>
      </c>
      <c r="N85" s="6" t="n">
        <v>1</v>
      </c>
      <c r="O85" s="6" t="n"/>
      <c r="P85" s="6" t="n">
        <v>10500</v>
      </c>
      <c r="Q85" s="6" t="n">
        <v>1</v>
      </c>
      <c r="R85">
        <f>M85+IF(N85&gt;1,N(O85)*(N85-1),0)</f>
        <v/>
      </c>
      <c r="S85">
        <f>IFERROR(L85*MAX(N85,1)/R85*IF(ISBLANK(K83),1,K83),0)</f>
        <v/>
      </c>
      <c r="AB85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6">
      <c r="A86" t="inlineStr">
        <is>
          <t>warcraft2</t>
        </is>
      </c>
      <c r="B86" t="inlineStr">
        <is>
          <t>wc2_humans_humanscouttower</t>
        </is>
      </c>
      <c r="C86" t="inlineStr">
        <is>
          <t>Human Scout Tower</t>
        </is>
      </c>
      <c r="D86" s="6" t="inlineStr">
        <is>
          <t>BasicDefense</t>
        </is>
      </c>
      <c r="E86" s="6" t="n">
        <v>100000</v>
      </c>
      <c r="F86" s="6" t="n">
        <v>100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K86" s="6" t="n"/>
      <c r="P86">
        <f>MAX(P87,P88)</f>
        <v/>
      </c>
      <c r="S86">
        <f>S87+S88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1200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wc2_tower_arrow</t>
        </is>
      </c>
      <c r="C87" s="7" t="inlineStr">
        <is>
          <t>Armament@guard</t>
        </is>
      </c>
      <c r="L87" s="6" t="n">
        <v>18000</v>
      </c>
      <c r="M87" s="6" t="n">
        <v>34</v>
      </c>
      <c r="N87" s="6" t="n">
        <v>1</v>
      </c>
      <c r="O87" s="6" t="n"/>
      <c r="P87" s="6" t="n">
        <v>8750</v>
      </c>
      <c r="Q87" s="6" t="n">
        <v>1</v>
      </c>
      <c r="R87">
        <f>M87+IF(N87&gt;1,N(O87)*(N87-1),0)</f>
        <v/>
      </c>
      <c r="S87">
        <f>IFERROR(L87*MAX(N87,1)/R87*IF(ISBLANK(K86),1,K86),0)</f>
        <v/>
      </c>
      <c r="AB87" s="7" t="inlineStr">
        <is>
          <t>^RailgunWeapon, ^Chaingun, ^ArrowWeapon</t>
        </is>
      </c>
    </row>
    <row r="88">
      <c r="B88" s="7" t="inlineStr">
        <is>
          <t xml:space="preserve">  ↳ wc2cannontowerFire</t>
        </is>
      </c>
      <c r="C88" s="7" t="inlineStr">
        <is>
          <t>Armament@cannon</t>
        </is>
      </c>
      <c r="L88" s="6" t="n">
        <v>60000</v>
      </c>
      <c r="M88" s="6" t="n">
        <v>90</v>
      </c>
      <c r="N88" s="6" t="n">
        <v>1</v>
      </c>
      <c r="O88" s="6" t="n"/>
      <c r="P88" s="6" t="n">
        <v>10500</v>
      </c>
      <c r="Q88" s="6" t="n">
        <v>1</v>
      </c>
      <c r="R88">
        <f>M88+IF(N88&gt;1,N(O88)*(N88-1),0)</f>
        <v/>
      </c>
      <c r="S88">
        <f>IFERROR(L88*MAX(N88,1)/R88*IF(ISBLANK(K86),1,K86),0)</f>
        <v/>
      </c>
      <c r="AB88" s="7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9">
      <c r="A89" t="inlineStr">
        <is>
          <t>warcraft2</t>
        </is>
      </c>
      <c r="B89" t="inlineStr">
        <is>
          <t>wc2_humans_wall</t>
        </is>
      </c>
      <c r="C89" t="inlineStr">
        <is>
          <t>Wall</t>
        </is>
      </c>
      <c r="D89" s="6" t="inlineStr">
        <is>
          <t>Defense</t>
        </is>
      </c>
      <c r="E89" s="6" t="n">
        <v>25000</v>
      </c>
      <c r="F89" s="6" t="n">
        <v>100</v>
      </c>
      <c r="G89" t="inlineStr">
        <is>
          <t>Heavy</t>
        </is>
      </c>
      <c r="H89" s="6" t="n">
        <v>1</v>
      </c>
      <c r="I89" s="6" t="n">
        <v>1</v>
      </c>
      <c r="J89" s="6" t="n">
        <v>1</v>
      </c>
      <c r="K89" s="6" t="n"/>
      <c r="X89" s="6" t="n">
        <v>300</v>
      </c>
    </row>
    <row r="90">
      <c r="A90" s="4" t="inlineStr">
        <is>
          <t>BUILDINGS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t="inlineStr">
        <is>
          <t>warcraft2</t>
        </is>
      </c>
      <c r="B91" t="inlineStr">
        <is>
          <t>wc2_humans_barracks</t>
        </is>
      </c>
      <c r="C91" t="inlineStr">
        <is>
          <t>Barracks</t>
        </is>
      </c>
      <c r="D91" s="6" t="inlineStr">
        <is>
          <t>Building</t>
        </is>
      </c>
      <c r="E91" s="6" t="n">
        <v>200000</v>
      </c>
      <c r="F91" s="6" t="n"/>
      <c r="G91" t="inlineStr">
        <is>
          <t>Wood</t>
        </is>
      </c>
      <c r="H91" s="6" t="n">
        <v>1</v>
      </c>
      <c r="I91" s="6" t="n">
        <v>1</v>
      </c>
      <c r="J91" s="6" t="n">
        <v>1</v>
      </c>
      <c r="K91" s="6" t="n"/>
      <c r="X91" s="6" t="n">
        <v>1000</v>
      </c>
    </row>
    <row r="92">
      <c r="A92" t="inlineStr">
        <is>
          <t>warcraft2</t>
        </is>
      </c>
      <c r="B92" t="inlineStr">
        <is>
          <t>wc2_humans_blacksmith</t>
        </is>
      </c>
      <c r="C92" t="inlineStr">
        <is>
          <t>Blacksmith</t>
        </is>
      </c>
      <c r="D92" s="6" t="inlineStr">
        <is>
          <t>Building</t>
        </is>
      </c>
      <c r="E92" s="6" t="n">
        <v>250000</v>
      </c>
      <c r="F92" s="6" t="n"/>
      <c r="G92" t="inlineStr">
        <is>
          <t>Wood</t>
        </is>
      </c>
      <c r="H92" s="6" t="n">
        <v>1</v>
      </c>
      <c r="I92" s="6" t="n">
        <v>1</v>
      </c>
      <c r="J92" s="6" t="n">
        <v>1</v>
      </c>
      <c r="K92" s="6" t="n"/>
      <c r="X92" s="6" t="n">
        <v>2500</v>
      </c>
    </row>
    <row r="93">
      <c r="A93" t="inlineStr">
        <is>
          <t>warcraft2</t>
        </is>
      </c>
      <c r="B93" t="inlineStr">
        <is>
          <t>wc2_humans_cannontower_plug</t>
        </is>
      </c>
      <c r="C93" t="inlineStr">
        <is>
          <t>Upgraded Guard Tower</t>
        </is>
      </c>
      <c r="D93" s="6" t="inlineStr">
        <is>
          <t>Building</t>
        </is>
      </c>
      <c r="E93" s="6" t="n"/>
      <c r="F93" s="6" t="n"/>
      <c r="H93" s="6" t="n">
        <v>0.8128</v>
      </c>
      <c r="I93" s="6" t="n">
        <v>1</v>
      </c>
      <c r="J93" s="6" t="n">
        <v>1</v>
      </c>
      <c r="K93" s="6" t="n"/>
      <c r="X93" s="6" t="n">
        <v>600</v>
      </c>
    </row>
    <row r="94">
      <c r="A94" t="inlineStr">
        <is>
          <t>warcraft2</t>
        </is>
      </c>
      <c r="B94" t="inlineStr">
        <is>
          <t>wc2_humans_castle</t>
        </is>
      </c>
      <c r="C94" t="inlineStr">
        <is>
          <t>Castle</t>
        </is>
      </c>
      <c r="D94" s="6" t="inlineStr">
        <is>
          <t>Building</t>
        </is>
      </c>
      <c r="E94" s="6" t="n"/>
      <c r="F94" s="6" t="n"/>
      <c r="H94" s="6" t="n">
        <v>1</v>
      </c>
      <c r="I94" s="6" t="n">
        <v>1</v>
      </c>
      <c r="J94" s="6" t="n">
        <v>1</v>
      </c>
      <c r="K94" s="6" t="n"/>
      <c r="X94" s="6" t="n">
        <v>5000</v>
      </c>
    </row>
    <row r="95">
      <c r="A95" t="inlineStr">
        <is>
          <t>warcraft2</t>
        </is>
      </c>
      <c r="B95" t="inlineStr">
        <is>
          <t>wc2_humans_church</t>
        </is>
      </c>
      <c r="C95" t="inlineStr">
        <is>
          <t>Church</t>
        </is>
      </c>
      <c r="D95" s="6" t="inlineStr">
        <is>
          <t>Building</t>
        </is>
      </c>
      <c r="E95" s="6" t="n">
        <v>250000</v>
      </c>
      <c r="F95" s="6" t="n"/>
      <c r="G95" t="inlineStr">
        <is>
          <t>Wood</t>
        </is>
      </c>
      <c r="H95" s="6" t="n">
        <v>1</v>
      </c>
      <c r="I95" s="6" t="n">
        <v>1</v>
      </c>
      <c r="J95" s="6" t="n">
        <v>1</v>
      </c>
      <c r="K95" s="6" t="n"/>
      <c r="X95" s="6" t="n">
        <v>2500</v>
      </c>
    </row>
    <row r="96">
      <c r="A96" t="inlineStr">
        <is>
          <t>warcraft2</t>
        </is>
      </c>
      <c r="B96" t="inlineStr">
        <is>
          <t>wc2_humans_elvenlumbermill</t>
        </is>
      </c>
      <c r="C96" t="inlineStr">
        <is>
          <t>Elven Lumber Mill</t>
        </is>
      </c>
      <c r="D96" s="6" t="inlineStr">
        <is>
          <t>Building</t>
        </is>
      </c>
      <c r="E96" s="6" t="n">
        <v>300000</v>
      </c>
      <c r="F96" s="6" t="n"/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K96" s="6" t="n"/>
      <c r="X96" s="6" t="n">
        <v>3000</v>
      </c>
    </row>
    <row r="97">
      <c r="A97" t="inlineStr">
        <is>
          <t>warcraft2</t>
        </is>
      </c>
      <c r="B97" t="inlineStr">
        <is>
          <t>wc2_humans_farm</t>
        </is>
      </c>
      <c r="C97" t="inlineStr">
        <is>
          <t>Farm</t>
        </is>
      </c>
      <c r="D97" s="6" t="inlineStr">
        <is>
          <t>Building</t>
        </is>
      </c>
      <c r="E97" s="6" t="n">
        <v>300000</v>
      </c>
      <c r="F97" s="6" t="n"/>
      <c r="G97" t="inlineStr">
        <is>
          <t>Wood</t>
        </is>
      </c>
      <c r="H97" s="6" t="n">
        <v>1</v>
      </c>
      <c r="I97" s="6" t="n">
        <v>1</v>
      </c>
      <c r="J97" s="6" t="n">
        <v>1</v>
      </c>
      <c r="K97" s="6" t="n"/>
      <c r="X97" s="6" t="n">
        <v>1200</v>
      </c>
    </row>
    <row r="98">
      <c r="A98" t="inlineStr">
        <is>
          <t>warcraft2</t>
        </is>
      </c>
      <c r="B98" t="inlineStr">
        <is>
          <t>wc2_humans_gnomishinventor</t>
        </is>
      </c>
      <c r="C98" t="inlineStr">
        <is>
          <t>Gnomish Inventor</t>
        </is>
      </c>
      <c r="D98" s="6" t="inlineStr">
        <is>
          <t>Building</t>
        </is>
      </c>
      <c r="E98" s="6" t="n">
        <v>400000</v>
      </c>
      <c r="F98" s="6" t="n"/>
      <c r="G98" t="inlineStr">
        <is>
          <t>Concrete</t>
        </is>
      </c>
      <c r="H98" s="6" t="n">
        <v>1</v>
      </c>
      <c r="I98" s="6" t="n">
        <v>1</v>
      </c>
      <c r="J98" s="6" t="n">
        <v>1</v>
      </c>
      <c r="K98" s="6" t="n"/>
      <c r="X98" s="6" t="n">
        <v>2000</v>
      </c>
    </row>
    <row r="99">
      <c r="A99" t="inlineStr">
        <is>
          <t>warcraft2</t>
        </is>
      </c>
      <c r="B99" t="inlineStr">
        <is>
          <t>wc2_humans_gryphonaviary</t>
        </is>
      </c>
      <c r="C99" t="inlineStr">
        <is>
          <t>Gryphon Aviary</t>
        </is>
      </c>
      <c r="D99" s="6" t="inlineStr">
        <is>
          <t>Building</t>
        </is>
      </c>
      <c r="E99" s="6" t="n">
        <v>300000</v>
      </c>
      <c r="F99" s="6" t="n"/>
      <c r="G99" t="inlineStr">
        <is>
          <t>Wood</t>
        </is>
      </c>
      <c r="H99" s="6" t="n">
        <v>1</v>
      </c>
      <c r="I99" s="6" t="n">
        <v>1</v>
      </c>
      <c r="J99" s="6" t="n">
        <v>1</v>
      </c>
      <c r="K99" s="6" t="n"/>
      <c r="X99" s="6" t="n">
        <v>1500</v>
      </c>
    </row>
    <row r="100">
      <c r="A100" t="inlineStr">
        <is>
          <t>warcraft2</t>
        </is>
      </c>
      <c r="B100" t="inlineStr">
        <is>
          <t>wc2_humans_guardtower_plug</t>
        </is>
      </c>
      <c r="C100" t="inlineStr">
        <is>
          <t>Upgraded Cannon Tower</t>
        </is>
      </c>
      <c r="D100" s="6" t="inlineStr">
        <is>
          <t>Building</t>
        </is>
      </c>
      <c r="E100" s="6" t="n"/>
      <c r="F100" s="6" t="n"/>
      <c r="H100" s="6" t="n">
        <v>0.8549</v>
      </c>
      <c r="I100" s="6" t="n">
        <v>1</v>
      </c>
      <c r="J100" s="6" t="n">
        <v>1</v>
      </c>
      <c r="K100" s="6" t="n"/>
      <c r="X100" s="6" t="n">
        <v>600</v>
      </c>
    </row>
    <row r="101">
      <c r="A101" t="inlineStr">
        <is>
          <t>warcraft2</t>
        </is>
      </c>
      <c r="B101" t="inlineStr">
        <is>
          <t>wc2_humans_humangoldmine</t>
        </is>
      </c>
      <c r="C101" t="inlineStr">
        <is>
          <t>Human Gold Mine</t>
        </is>
      </c>
      <c r="D101" s="6" t="inlineStr">
        <is>
          <t>Building</t>
        </is>
      </c>
      <c r="E101" s="6" t="n">
        <v>1000000</v>
      </c>
      <c r="F101" s="6" t="n"/>
      <c r="G101" t="inlineStr">
        <is>
          <t>Concrete</t>
        </is>
      </c>
      <c r="H101" s="6" t="n">
        <v>0.9762999999999999</v>
      </c>
      <c r="I101" s="6" t="n">
        <v>1</v>
      </c>
      <c r="J101" s="6" t="n">
        <v>1</v>
      </c>
      <c r="K101" s="6" t="n"/>
      <c r="X101" s="6" t="n">
        <v>10000</v>
      </c>
    </row>
    <row r="102">
      <c r="A102" t="inlineStr">
        <is>
          <t>warcraft2</t>
        </is>
      </c>
      <c r="B102" t="inlineStr">
        <is>
          <t>wc2_humans_humangoldmine_bot</t>
        </is>
      </c>
      <c r="C102" t="inlineStr">
        <is>
          <t>Human Gold Mine</t>
        </is>
      </c>
      <c r="D102" s="6" t="inlineStr">
        <is>
          <t>Building</t>
        </is>
      </c>
      <c r="E102" s="6" t="n">
        <v>1000000</v>
      </c>
      <c r="F102" s="6" t="n"/>
      <c r="G102" t="inlineStr">
        <is>
          <t>Concrete</t>
        </is>
      </c>
      <c r="H102" s="6" t="n">
        <v>0.9762999999999999</v>
      </c>
      <c r="I102" s="6" t="n">
        <v>1</v>
      </c>
      <c r="J102" s="6" t="n">
        <v>1</v>
      </c>
      <c r="K102" s="6" t="n"/>
      <c r="X102" s="6" t="n">
        <v>15000</v>
      </c>
    </row>
    <row r="103">
      <c r="A103" t="inlineStr">
        <is>
          <t>warcraft2</t>
        </is>
      </c>
      <c r="B103" t="inlineStr">
        <is>
          <t>wc2_humans_keep</t>
        </is>
      </c>
      <c r="C103" t="inlineStr">
        <is>
          <t>Keep</t>
        </is>
      </c>
      <c r="D103" s="6" t="inlineStr">
        <is>
          <t>Building</t>
        </is>
      </c>
      <c r="E103" s="6" t="n"/>
      <c r="F103" s="6" t="n"/>
      <c r="H103" s="6" t="n">
        <v>0.9762999999999999</v>
      </c>
      <c r="I103" s="6" t="n">
        <v>1</v>
      </c>
      <c r="J103" s="6" t="n">
        <v>1</v>
      </c>
      <c r="K103" s="6" t="n"/>
      <c r="X103" s="6" t="n">
        <v>2500</v>
      </c>
    </row>
    <row r="104">
      <c r="A104" t="inlineStr">
        <is>
          <t>warcraft2</t>
        </is>
      </c>
      <c r="B104" t="inlineStr">
        <is>
          <t>wc2_humans_magetower</t>
        </is>
      </c>
      <c r="C104" t="inlineStr">
        <is>
          <t>Mage Tower</t>
        </is>
      </c>
      <c r="D104" s="6" t="inlineStr">
        <is>
          <t>Building</t>
        </is>
      </c>
      <c r="E104" s="6" t="n">
        <v>1000000</v>
      </c>
      <c r="F104" s="6" t="n"/>
      <c r="G104" t="inlineStr">
        <is>
          <t>Concrete</t>
        </is>
      </c>
      <c r="H104" s="6" t="n">
        <v>1</v>
      </c>
      <c r="I104" s="6" t="n">
        <v>1</v>
      </c>
      <c r="J104" s="6" t="n">
        <v>1</v>
      </c>
      <c r="K104" s="6" t="n"/>
      <c r="X104" s="6" t="n">
        <v>10000</v>
      </c>
    </row>
    <row r="105">
      <c r="A105" t="inlineStr">
        <is>
          <t>warcraft2</t>
        </is>
      </c>
      <c r="B105" t="inlineStr">
        <is>
          <t>wc2_humans_stables</t>
        </is>
      </c>
      <c r="C105" t="inlineStr">
        <is>
          <t>Stables</t>
        </is>
      </c>
      <c r="D105" s="6" t="inlineStr">
        <is>
          <t>Building</t>
        </is>
      </c>
      <c r="E105" s="6" t="n">
        <v>250000</v>
      </c>
      <c r="F105" s="6" t="n"/>
      <c r="G105" t="inlineStr">
        <is>
          <t>Wood</t>
        </is>
      </c>
      <c r="H105" s="6" t="n">
        <v>1</v>
      </c>
      <c r="I105" s="6" t="n">
        <v>1</v>
      </c>
      <c r="J105" s="6" t="n">
        <v>1</v>
      </c>
      <c r="K105" s="6" t="n"/>
      <c r="X105" s="6" t="n">
        <v>2500</v>
      </c>
    </row>
    <row r="106">
      <c r="A106" t="inlineStr">
        <is>
          <t>warcraft2</t>
        </is>
      </c>
      <c r="B106" t="inlineStr">
        <is>
          <t>wc2_humans_sunwell</t>
        </is>
      </c>
      <c r="C106" t="inlineStr">
        <is>
          <t>Sunwell</t>
        </is>
      </c>
      <c r="D106" s="6" t="inlineStr">
        <is>
          <t>Building</t>
        </is>
      </c>
      <c r="E106" s="6" t="n">
        <v>250000</v>
      </c>
      <c r="F106" s="6" t="n"/>
      <c r="G106" t="inlineStr">
        <is>
          <t>Wood</t>
        </is>
      </c>
      <c r="H106" s="6" t="n">
        <v>1</v>
      </c>
      <c r="I106" s="6" t="n">
        <v>1</v>
      </c>
      <c r="J106" s="6" t="n">
        <v>1</v>
      </c>
      <c r="K106" s="6" t="n"/>
      <c r="X106" s="6" t="n">
        <v>2500</v>
      </c>
    </row>
    <row r="107">
      <c r="A107" t="inlineStr">
        <is>
          <t>warcraft2</t>
        </is>
      </c>
      <c r="B107" t="inlineStr">
        <is>
          <t>wc2_humans_townhall</t>
        </is>
      </c>
      <c r="C107" t="inlineStr">
        <is>
          <t>Town Hall</t>
        </is>
      </c>
      <c r="D107" s="6" t="inlineStr">
        <is>
          <t>Building</t>
        </is>
      </c>
      <c r="E107" s="6" t="n">
        <v>1000000</v>
      </c>
      <c r="F107" s="6" t="n"/>
      <c r="G107" t="inlineStr">
        <is>
          <t>Concrete</t>
        </is>
      </c>
      <c r="H107" s="6" t="n">
        <v>1</v>
      </c>
      <c r="I107" s="6" t="n">
        <v>1</v>
      </c>
      <c r="J107" s="6" t="n">
        <v>1</v>
      </c>
      <c r="K107" s="6" t="n"/>
      <c r="X107" s="6" t="n">
        <v>5000</v>
      </c>
    </row>
    <row r="108">
      <c r="A108" s="4" t="inlineStr">
        <is>
          <t>UPGRADES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t="inlineStr">
        <is>
          <t>warcraft2</t>
        </is>
      </c>
      <c r="B109" t="inlineStr">
        <is>
          <t>wc2_humans_upgrade_armorstrength</t>
        </is>
      </c>
      <c r="C109" t="inlineStr">
        <is>
          <t>Armor Strength</t>
        </is>
      </c>
      <c r="D109" s="6" t="inlineStr">
        <is>
          <t>ResearchedUpgrade</t>
        </is>
      </c>
      <c r="E109" s="6" t="n"/>
      <c r="F109" s="6" t="n"/>
      <c r="H109" s="6" t="n">
        <v>0.9762999999999999</v>
      </c>
      <c r="I109" s="6" t="n">
        <v>1</v>
      </c>
      <c r="J109" s="6" t="n">
        <v>1</v>
      </c>
      <c r="K109" s="6" t="n"/>
      <c r="X109" s="6" t="n">
        <v>2500</v>
      </c>
    </row>
    <row r="110">
      <c r="A110" t="inlineStr">
        <is>
          <t>warcraft2</t>
        </is>
      </c>
      <c r="B110" t="inlineStr">
        <is>
          <t>wc2_humans_upgrade_armorstrengthii</t>
        </is>
      </c>
      <c r="C110" t="inlineStr">
        <is>
          <t>Armor Strength II</t>
        </is>
      </c>
      <c r="D110" s="6" t="inlineStr">
        <is>
          <t>ResearchedUpgrade</t>
        </is>
      </c>
      <c r="E110" s="6" t="n"/>
      <c r="F110" s="6" t="n"/>
      <c r="H110" s="6" t="n">
        <v>0.9762999999999999</v>
      </c>
      <c r="I110" s="6" t="n">
        <v>1</v>
      </c>
      <c r="J110" s="6" t="n">
        <v>1</v>
      </c>
      <c r="K110" s="6" t="n"/>
      <c r="X110" s="6" t="n">
        <v>5000</v>
      </c>
    </row>
    <row r="111">
      <c r="A111" t="inlineStr">
        <is>
          <t>warcraft2</t>
        </is>
      </c>
      <c r="B111" t="inlineStr">
        <is>
          <t>wc2_humans_upgrade_arrowstrength</t>
        </is>
      </c>
      <c r="C111" t="inlineStr">
        <is>
          <t>Arrow Strength</t>
        </is>
      </c>
      <c r="D111" s="6" t="inlineStr">
        <is>
          <t>ResearchedUpgrade</t>
        </is>
      </c>
      <c r="E111" s="6" t="n"/>
      <c r="F111" s="6" t="n"/>
      <c r="H111" s="6" t="n">
        <v>0.9762999999999999</v>
      </c>
      <c r="I111" s="6" t="n">
        <v>1</v>
      </c>
      <c r="J111" s="6" t="n">
        <v>1</v>
      </c>
      <c r="K111" s="6" t="n"/>
      <c r="X111" s="6" t="n">
        <v>2500</v>
      </c>
    </row>
    <row r="112">
      <c r="A112" t="inlineStr">
        <is>
          <t>warcraft2</t>
        </is>
      </c>
      <c r="B112" t="inlineStr">
        <is>
          <t>wc2_humans_upgrade_arrowstrengthii</t>
        </is>
      </c>
      <c r="C112" t="inlineStr">
        <is>
          <t>Arrow Strength II</t>
        </is>
      </c>
      <c r="D112" s="6" t="inlineStr">
        <is>
          <t>ResearchedUpgrade</t>
        </is>
      </c>
      <c r="E112" s="6" t="n"/>
      <c r="F112" s="6" t="n"/>
      <c r="H112" s="6" t="n">
        <v>0.9762999999999999</v>
      </c>
      <c r="I112" s="6" t="n">
        <v>1</v>
      </c>
      <c r="J112" s="6" t="n">
        <v>1</v>
      </c>
      <c r="K112" s="6" t="n"/>
      <c r="X112" s="6" t="n">
        <v>5000</v>
      </c>
    </row>
    <row r="113">
      <c r="A113" t="inlineStr">
        <is>
          <t>warcraft2</t>
        </is>
      </c>
      <c r="B113" t="inlineStr">
        <is>
          <t>wc2_humans_upgrade_ballistastrength</t>
        </is>
      </c>
      <c r="C113" t="inlineStr">
        <is>
          <t>Ballista Strength</t>
        </is>
      </c>
      <c r="D113" s="6" t="inlineStr">
        <is>
          <t>ResearchedUpgrade</t>
        </is>
      </c>
      <c r="E113" s="6" t="n"/>
      <c r="F113" s="6" t="n"/>
      <c r="H113" s="6" t="n">
        <v>0.9762999999999999</v>
      </c>
      <c r="I113" s="6" t="n">
        <v>1</v>
      </c>
      <c r="J113" s="6" t="n">
        <v>1</v>
      </c>
      <c r="K113" s="6" t="n"/>
      <c r="X113" s="6" t="n">
        <v>2500</v>
      </c>
    </row>
    <row r="114">
      <c r="A114" t="inlineStr">
        <is>
          <t>warcraft2</t>
        </is>
      </c>
      <c r="B114" t="inlineStr">
        <is>
          <t>wc2_humans_upgrade_ballistastrengthii</t>
        </is>
      </c>
      <c r="C114" t="inlineStr">
        <is>
          <t>Ballista Strength II</t>
        </is>
      </c>
      <c r="D114" s="6" t="inlineStr">
        <is>
          <t>ResearchedUpgrade</t>
        </is>
      </c>
      <c r="E114" s="6" t="n"/>
      <c r="F114" s="6" t="n"/>
      <c r="H114" s="6" t="n">
        <v>0.9762999999999999</v>
      </c>
      <c r="I114" s="6" t="n">
        <v>1</v>
      </c>
      <c r="J114" s="6" t="n">
        <v>1</v>
      </c>
      <c r="K114" s="6" t="n"/>
      <c r="X114" s="6" t="n">
        <v>5000</v>
      </c>
    </row>
    <row r="115">
      <c r="A115" t="inlineStr">
        <is>
          <t>warcraft2</t>
        </is>
      </c>
      <c r="B115" t="inlineStr">
        <is>
          <t>wc2_humans_upgrade_bestfarm</t>
        </is>
      </c>
      <c r="C115" t="inlineStr">
        <is>
          <t>Best Farm</t>
        </is>
      </c>
      <c r="D115" s="6" t="inlineStr">
        <is>
          <t>ResearchedUpgrade</t>
        </is>
      </c>
      <c r="E115" s="6" t="n"/>
      <c r="F115" s="6" t="n"/>
      <c r="H115" s="6" t="n">
        <v>1</v>
      </c>
      <c r="I115" s="6" t="n">
        <v>1</v>
      </c>
      <c r="J115" s="6" t="n">
        <v>1</v>
      </c>
      <c r="K115" s="6" t="n"/>
      <c r="X115" s="6" t="n">
        <v>5000</v>
      </c>
    </row>
    <row r="116">
      <c r="A116" t="inlineStr">
        <is>
          <t>warcraft2</t>
        </is>
      </c>
      <c r="B116" t="inlineStr">
        <is>
          <t>wc2_humans_upgrade_betterfarm</t>
        </is>
      </c>
      <c r="C116" t="inlineStr">
        <is>
          <t>Better Farm</t>
        </is>
      </c>
      <c r="D116" s="6" t="inlineStr">
        <is>
          <t>ResearchedUpgrade</t>
        </is>
      </c>
      <c r="E116" s="6" t="n"/>
      <c r="F116" s="6" t="n"/>
      <c r="H116" s="6" t="n">
        <v>1</v>
      </c>
      <c r="I116" s="6" t="n">
        <v>1</v>
      </c>
      <c r="J116" s="6" t="n">
        <v>1</v>
      </c>
      <c r="K116" s="6" t="n"/>
      <c r="X116" s="6" t="n">
        <v>2500</v>
      </c>
    </row>
    <row r="117">
      <c r="A117" t="inlineStr">
        <is>
          <t>warcraft2</t>
        </is>
      </c>
      <c r="B117" t="inlineStr">
        <is>
          <t>wc2_humans_upgrade_blizzard</t>
        </is>
      </c>
      <c r="C117" t="inlineStr">
        <is>
          <t>Blizzard</t>
        </is>
      </c>
      <c r="D117" s="6" t="inlineStr">
        <is>
          <t>ResearchedUpgrade</t>
        </is>
      </c>
      <c r="E117" s="6" t="n"/>
      <c r="F117" s="6" t="n"/>
      <c r="H117" s="6" t="n">
        <v>0.4472</v>
      </c>
      <c r="I117" s="6" t="n">
        <v>1</v>
      </c>
      <c r="J117" s="6" t="n">
        <v>1</v>
      </c>
      <c r="K117" s="6" t="n"/>
      <c r="X117" s="6" t="n">
        <v>2500</v>
      </c>
    </row>
    <row r="118">
      <c r="A118" t="inlineStr">
        <is>
          <t>warcraft2</t>
        </is>
      </c>
      <c r="B118" t="inlineStr">
        <is>
          <t>wc2_humans_upgrade_cannondamage</t>
        </is>
      </c>
      <c r="C118" t="inlineStr">
        <is>
          <t>Cannon Damage</t>
        </is>
      </c>
      <c r="D118" s="6" t="inlineStr">
        <is>
          <t>ResearchedUpgrade</t>
        </is>
      </c>
      <c r="E118" s="6" t="n"/>
      <c r="F118" s="6" t="n"/>
      <c r="H118" s="6" t="n">
        <v>0.9762999999999999</v>
      </c>
      <c r="I118" s="6" t="n">
        <v>1</v>
      </c>
      <c r="J118" s="6" t="n">
        <v>1</v>
      </c>
      <c r="K118" s="6" t="n"/>
      <c r="X118" s="6" t="n">
        <v>2500</v>
      </c>
    </row>
    <row r="119">
      <c r="A119" t="inlineStr">
        <is>
          <t>warcraft2</t>
        </is>
      </c>
      <c r="B119" t="inlineStr">
        <is>
          <t>wc2_humans_upgrade_cannondamageii</t>
        </is>
      </c>
      <c r="C119" t="inlineStr">
        <is>
          <t>Cannon Damage II</t>
        </is>
      </c>
      <c r="D119" s="6" t="inlineStr">
        <is>
          <t>ResearchedUpgrade</t>
        </is>
      </c>
      <c r="E119" s="6" t="n"/>
      <c r="F119" s="6" t="n"/>
      <c r="H119" s="6" t="n">
        <v>0.9762999999999999</v>
      </c>
      <c r="I119" s="6" t="n">
        <v>1</v>
      </c>
      <c r="J119" s="6" t="n">
        <v>1</v>
      </c>
      <c r="K119" s="6" t="n"/>
      <c r="X119" s="6" t="n">
        <v>5000</v>
      </c>
    </row>
    <row r="120">
      <c r="A120" t="inlineStr">
        <is>
          <t>warcraft2</t>
        </is>
      </c>
      <c r="B120" t="inlineStr">
        <is>
          <t>wc2_humans_upgrade_exorcism</t>
        </is>
      </c>
      <c r="C120" t="inlineStr">
        <is>
          <t>Exorcism</t>
        </is>
      </c>
      <c r="D120" s="6" t="inlineStr">
        <is>
          <t>ResearchedUpgrade</t>
        </is>
      </c>
      <c r="E120" s="6" t="n"/>
      <c r="F120" s="6" t="n"/>
      <c r="H120" s="6" t="n">
        <v>0.7534</v>
      </c>
      <c r="I120" s="6" t="n">
        <v>1</v>
      </c>
      <c r="J120" s="6" t="n">
        <v>1</v>
      </c>
      <c r="K120" s="6" t="n"/>
      <c r="X120" s="6" t="n">
        <v>2500</v>
      </c>
    </row>
    <row r="121">
      <c r="A121" t="inlineStr">
        <is>
          <t>warcraft2</t>
        </is>
      </c>
      <c r="B121" t="inlineStr">
        <is>
          <t>wc2_humans_upgrade_healing</t>
        </is>
      </c>
      <c r="C121" t="inlineStr">
        <is>
          <t>Healing</t>
        </is>
      </c>
      <c r="D121" s="6" t="inlineStr">
        <is>
          <t>ResearchedUpgrade</t>
        </is>
      </c>
      <c r="E121" s="6" t="n"/>
      <c r="F121" s="6" t="n"/>
      <c r="H121" s="6" t="n">
        <v>0.7534</v>
      </c>
      <c r="I121" s="6" t="n">
        <v>1</v>
      </c>
      <c r="J121" s="6" t="n">
        <v>1</v>
      </c>
      <c r="K121" s="6" t="n"/>
      <c r="X121" s="6" t="n">
        <v>2500</v>
      </c>
    </row>
    <row r="122">
      <c r="A122" t="inlineStr">
        <is>
          <t>warcraft2</t>
        </is>
      </c>
      <c r="B122" t="inlineStr">
        <is>
          <t>wc2_humans_upgrade_highelvenarcher</t>
        </is>
      </c>
      <c r="C122" t="inlineStr">
        <is>
          <t>High Elven Archer</t>
        </is>
      </c>
      <c r="D122" s="6" t="inlineStr">
        <is>
          <t>UnitUpgrade</t>
        </is>
      </c>
      <c r="E122" s="6" t="n"/>
      <c r="F122" s="6" t="n"/>
      <c r="H122" s="6" t="n">
        <v>0.9762999999999999</v>
      </c>
      <c r="I122" s="6" t="n">
        <v>1</v>
      </c>
      <c r="J122" s="6" t="n">
        <v>1</v>
      </c>
      <c r="K122" s="6" t="n"/>
      <c r="X122" s="6" t="n">
        <v>2500</v>
      </c>
    </row>
    <row r="123">
      <c r="A123" t="inlineStr">
        <is>
          <t>warcraft2</t>
        </is>
      </c>
      <c r="B123" t="inlineStr">
        <is>
          <t>wc2_humans_upgrade_paladin</t>
        </is>
      </c>
      <c r="C123" t="inlineStr">
        <is>
          <t>Paladin</t>
        </is>
      </c>
      <c r="D123" s="6" t="inlineStr">
        <is>
          <t>ResearchedUpgrade</t>
        </is>
      </c>
      <c r="E123" s="6" t="n"/>
      <c r="F123" s="6" t="n"/>
      <c r="H123" s="6" t="n">
        <v>0.7534</v>
      </c>
      <c r="I123" s="6" t="n">
        <v>1</v>
      </c>
      <c r="J123" s="6" t="n">
        <v>1</v>
      </c>
      <c r="K123" s="6" t="n"/>
      <c r="X123" s="6" t="n">
        <v>2500</v>
      </c>
    </row>
    <row r="124">
      <c r="A124" t="inlineStr">
        <is>
          <t>warcraft2</t>
        </is>
      </c>
      <c r="B124" t="inlineStr">
        <is>
          <t>wc2_humans_upgrade_polymorph</t>
        </is>
      </c>
      <c r="C124" t="inlineStr">
        <is>
          <t>Polymorph</t>
        </is>
      </c>
      <c r="D124" s="6" t="inlineStr">
        <is>
          <t>ResearchedUpgrade</t>
        </is>
      </c>
      <c r="E124" s="6" t="n"/>
      <c r="F124" s="6" t="n"/>
      <c r="H124" s="6" t="n">
        <v>0.4472</v>
      </c>
      <c r="I124" s="6" t="n">
        <v>1</v>
      </c>
      <c r="J124" s="6" t="n">
        <v>1</v>
      </c>
      <c r="K124" s="6" t="n"/>
      <c r="X124" s="6" t="n">
        <v>2500</v>
      </c>
    </row>
    <row r="125">
      <c r="A125" t="inlineStr">
        <is>
          <t>warcraft2</t>
        </is>
      </c>
      <c r="B125" t="inlineStr">
        <is>
          <t>wc2_humans_upgrade_ranger</t>
        </is>
      </c>
      <c r="C125" t="inlineStr">
        <is>
          <t>Ranger</t>
        </is>
      </c>
      <c r="D125" s="6" t="inlineStr">
        <is>
          <t>ResearchedUpgrade</t>
        </is>
      </c>
      <c r="E125" s="6" t="n"/>
      <c r="F125" s="6" t="n"/>
      <c r="H125" s="6" t="n">
        <v>0.9762999999999999</v>
      </c>
      <c r="I125" s="6" t="n">
        <v>1</v>
      </c>
      <c r="J125" s="6" t="n">
        <v>1</v>
      </c>
      <c r="K125" s="6" t="n"/>
      <c r="X125" s="6" t="n">
        <v>2500</v>
      </c>
    </row>
    <row r="126">
      <c r="A126" t="inlineStr">
        <is>
          <t>warcraft2</t>
        </is>
      </c>
      <c r="B126" t="inlineStr">
        <is>
          <t>wc2_humans_upgrade_rangerlongbow</t>
        </is>
      </c>
      <c r="C126" t="inlineStr">
        <is>
          <t>Ranger Longbow</t>
        </is>
      </c>
      <c r="D126" s="6" t="inlineStr">
        <is>
          <t>ResearchedUpgrade</t>
        </is>
      </c>
      <c r="E126" s="6" t="n"/>
      <c r="F126" s="6" t="n"/>
      <c r="H126" s="6" t="n">
        <v>0.9762999999999999</v>
      </c>
      <c r="I126" s="6" t="n">
        <v>1</v>
      </c>
      <c r="J126" s="6" t="n">
        <v>1</v>
      </c>
      <c r="K126" s="6" t="n"/>
      <c r="X126" s="6" t="n">
        <v>2500</v>
      </c>
    </row>
    <row r="127">
      <c r="A127" t="inlineStr">
        <is>
          <t>warcraft2</t>
        </is>
      </c>
      <c r="B127" t="inlineStr">
        <is>
          <t>wc2_humans_upgrade_rangermarksman</t>
        </is>
      </c>
      <c r="C127" t="inlineStr">
        <is>
          <t>Ranger Marksman</t>
        </is>
      </c>
      <c r="D127" s="6" t="inlineStr">
        <is>
          <t>ResearchedUpgrade</t>
        </is>
      </c>
      <c r="E127" s="6" t="n"/>
      <c r="F127" s="6" t="n"/>
      <c r="H127" s="6" t="n">
        <v>0.9762999999999999</v>
      </c>
      <c r="I127" s="6" t="n">
        <v>1</v>
      </c>
      <c r="J127" s="6" t="n">
        <v>1</v>
      </c>
      <c r="K127" s="6" t="n"/>
      <c r="X127" s="6" t="n">
        <v>2500</v>
      </c>
    </row>
    <row r="128">
      <c r="A128" t="inlineStr">
        <is>
          <t>warcraft2</t>
        </is>
      </c>
      <c r="B128" t="inlineStr">
        <is>
          <t>wc2_humans_upgrade_rangerscouting</t>
        </is>
      </c>
      <c r="C128" t="inlineStr">
        <is>
          <t>Ranger Scouting</t>
        </is>
      </c>
      <c r="D128" s="6" t="inlineStr">
        <is>
          <t>ResearchedUpgrade</t>
        </is>
      </c>
      <c r="E128" s="6" t="n"/>
      <c r="F128" s="6" t="n"/>
      <c r="H128" s="6" t="n">
        <v>0.9762999999999999</v>
      </c>
      <c r="I128" s="6" t="n">
        <v>1</v>
      </c>
      <c r="J128" s="6" t="n">
        <v>1</v>
      </c>
      <c r="K128" s="6" t="n"/>
      <c r="X128" s="6" t="n">
        <v>2500</v>
      </c>
    </row>
    <row r="129">
      <c r="A129" t="inlineStr">
        <is>
          <t>warcraft2</t>
        </is>
      </c>
      <c r="B129" t="inlineStr">
        <is>
          <t>wc2_humans_upgrade_slow</t>
        </is>
      </c>
      <c r="C129" t="inlineStr">
        <is>
          <t>Slow</t>
        </is>
      </c>
      <c r="D129" s="6" t="inlineStr">
        <is>
          <t>ResearchedUpgrade</t>
        </is>
      </c>
      <c r="E129" s="6" t="n"/>
      <c r="F129" s="6" t="n"/>
      <c r="H129" s="6" t="n">
        <v>0.4472</v>
      </c>
      <c r="I129" s="6" t="n">
        <v>1</v>
      </c>
      <c r="J129" s="6" t="n">
        <v>1</v>
      </c>
      <c r="K129" s="6" t="n"/>
      <c r="X129" s="6" t="n">
        <v>2500</v>
      </c>
    </row>
    <row r="130">
      <c r="A130" t="inlineStr">
        <is>
          <t>warcraft2</t>
        </is>
      </c>
      <c r="B130" t="inlineStr">
        <is>
          <t>wc2_humans_upgrade_swordstrength</t>
        </is>
      </c>
      <c r="C130" t="inlineStr">
        <is>
          <t>Sword Strength</t>
        </is>
      </c>
      <c r="D130" s="6" t="inlineStr">
        <is>
          <t>ResearchedUpgrade</t>
        </is>
      </c>
      <c r="E130" s="6" t="n"/>
      <c r="F130" s="6" t="n"/>
      <c r="H130" s="6" t="n">
        <v>0.9762999999999999</v>
      </c>
      <c r="I130" s="6" t="n">
        <v>1</v>
      </c>
      <c r="J130" s="6" t="n">
        <v>1</v>
      </c>
      <c r="K130" s="6" t="n"/>
      <c r="X130" s="6" t="n">
        <v>2500</v>
      </c>
    </row>
    <row r="131">
      <c r="A131" t="inlineStr">
        <is>
          <t>warcraft2</t>
        </is>
      </c>
      <c r="B131" t="inlineStr">
        <is>
          <t>wc2_humans_upgrade_swordstrengthii</t>
        </is>
      </c>
      <c r="C131" t="inlineStr">
        <is>
          <t>Sword Strength II</t>
        </is>
      </c>
      <c r="D131" s="6" t="inlineStr">
        <is>
          <t>ResearchedUpgrade</t>
        </is>
      </c>
      <c r="E131" s="6" t="n"/>
      <c r="F131" s="6" t="n"/>
      <c r="H131" s="6" t="n">
        <v>0.9762999999999999</v>
      </c>
      <c r="I131" s="6" t="n">
        <v>1</v>
      </c>
      <c r="J131" s="6" t="n">
        <v>1</v>
      </c>
      <c r="K131" s="6" t="n"/>
      <c r="X131" s="6" t="n">
        <v>5000</v>
      </c>
    </row>
    <row r="132">
      <c r="A132" t="inlineStr">
        <is>
          <t>warcraft2</t>
        </is>
      </c>
      <c r="B132" t="inlineStr">
        <is>
          <t>wc2_humans_upgrade_warcraft3footman</t>
        </is>
      </c>
      <c r="C132" t="inlineStr">
        <is>
          <t>Warcraft 3 Footman</t>
        </is>
      </c>
      <c r="D132" s="6" t="inlineStr">
        <is>
          <t>UnitUpgrade</t>
        </is>
      </c>
      <c r="E132" s="6" t="n"/>
      <c r="F132" s="6" t="n"/>
      <c r="H132" s="6" t="n">
        <v>0.9762999999999999</v>
      </c>
      <c r="I132" s="6" t="n">
        <v>1</v>
      </c>
      <c r="J132" s="6" t="n">
        <v>1</v>
      </c>
      <c r="K132" s="6" t="n"/>
      <c r="X132" s="6" t="n">
        <v>2500</v>
      </c>
    </row>
    <row r="133">
      <c r="A133" t="inlineStr">
        <is>
          <t>warcraft2</t>
        </is>
      </c>
      <c r="B133" t="inlineStr">
        <is>
          <t>wc2_humans_upgrade_warcraft3knightwip</t>
        </is>
      </c>
      <c r="C133" t="inlineStr">
        <is>
          <t>Warcraft 3 Knight (WIP)</t>
        </is>
      </c>
      <c r="D133" s="6" t="inlineStr">
        <is>
          <t>UnitUpgrade</t>
        </is>
      </c>
      <c r="E133" s="6" t="n"/>
      <c r="F133" s="6" t="n"/>
      <c r="H133" s="6" t="n">
        <v>0.7534</v>
      </c>
      <c r="I133" s="6" t="n">
        <v>1</v>
      </c>
      <c r="J133" s="6" t="n">
        <v>1</v>
      </c>
      <c r="K133" s="6" t="n"/>
      <c r="X133" s="6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2026-08-18T06:40:34Z</dcterms:created>
  <dcterms:modified xsi:type="dcterms:W3CDTF">2026-08-18T06:40:34Z</dcterms:modified>
</cp:coreProperties>
</file>